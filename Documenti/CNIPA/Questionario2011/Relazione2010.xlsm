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theme/themeOverride1.xml" ContentType="application/vnd.openxmlformats-officedocument.themeOverride+xml"/>
  <Override PartName="/xl/charts/chart15.xml" ContentType="application/vnd.openxmlformats-officedocument.drawingml.chart+xml"/>
  <Override PartName="/xl/theme/themeOverride2.xml" ContentType="application/vnd.openxmlformats-officedocument.themeOverride+xml"/>
  <Override PartName="/xl/charts/chart16.xml" ContentType="application/vnd.openxmlformats-officedocument.drawingml.chart+xml"/>
  <Override PartName="/xl/theme/themeOverride3.xml" ContentType="application/vnd.openxmlformats-officedocument.themeOverride+xml"/>
  <Override PartName="/xl/charts/chart17.xml" ContentType="application/vnd.openxmlformats-officedocument.drawingml.chart+xml"/>
  <Override PartName="/xl/theme/themeOverride4.xml" ContentType="application/vnd.openxmlformats-officedocument.themeOverride+xml"/>
  <Override PartName="/xl/charts/chart18.xml" ContentType="application/vnd.openxmlformats-officedocument.drawingml.chart+xml"/>
  <Override PartName="/xl/theme/themeOverride5.xml" ContentType="application/vnd.openxmlformats-officedocument.themeOverride+xml"/>
  <Override PartName="/xl/charts/chart19.xml" ContentType="application/vnd.openxmlformats-officedocument.drawingml.chart+xml"/>
  <Override PartName="/xl/theme/themeOverride6.xml" ContentType="application/vnd.openxmlformats-officedocument.themeOverride+xml"/>
  <Override PartName="/xl/charts/chart20.xml" ContentType="application/vnd.openxmlformats-officedocument.drawingml.chart+xml"/>
  <Override PartName="/xl/theme/themeOverride7.xml" ContentType="application/vnd.openxmlformats-officedocument.themeOverride+xml"/>
  <Override PartName="/xl/charts/chart21.xml" ContentType="application/vnd.openxmlformats-officedocument.drawingml.chart+xml"/>
  <Override PartName="/xl/theme/themeOverride8.xml" ContentType="application/vnd.openxmlformats-officedocument.themeOverride+xml"/>
  <Override PartName="/xl/charts/chart22.xml" ContentType="application/vnd.openxmlformats-officedocument.drawingml.chart+xml"/>
  <Override PartName="/xl/theme/themeOverride9.xml" ContentType="application/vnd.openxmlformats-officedocument.themeOverride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theme/themeOverride10.xml" ContentType="application/vnd.openxmlformats-officedocument.themeOverride+xml"/>
  <Override PartName="/xl/charts/chart29.xml" ContentType="application/vnd.openxmlformats-officedocument.drawingml.chart+xml"/>
  <Override PartName="/xl/theme/themeOverride11.xml" ContentType="application/vnd.openxmlformats-officedocument.themeOverride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theme/themeOverride12.xml" ContentType="application/vnd.openxmlformats-officedocument.themeOverride+xml"/>
  <Override PartName="/xl/drawings/drawing2.xml" ContentType="application/vnd.openxmlformats-officedocument.drawing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1721" codeName="{8C4F1C90-05EB-6A55-5F09-09C24B55AC0B}"/>
  <workbookPr codeName="ThisWorkbook" autoCompressPictures="0"/>
  <bookViews>
    <workbookView xWindow="80" yWindow="0" windowWidth="28500" windowHeight="23040" tabRatio="675" firstSheet="2" activeTab="7"/>
  </bookViews>
  <sheets>
    <sheet name="Risultati 2005" sheetId="13" r:id="rId1"/>
    <sheet name="Risultati 2006" sheetId="14" r:id="rId2"/>
    <sheet name="Risultati 2007" sheetId="18" r:id="rId3"/>
    <sheet name="Risultati 2008" sheetId="20" r:id="rId4"/>
    <sheet name="Risultati 2009" sheetId="23" r:id="rId5"/>
    <sheet name="Sintesi" sheetId="3" r:id="rId6"/>
    <sheet name="Quesiti x SI" sheetId="12" r:id="rId7"/>
    <sheet name="Risultati x Quesito" sheetId="7" r:id="rId8"/>
    <sheet name="KPI4" sheetId="11" r:id="rId9"/>
    <sheet name="KPI3" sheetId="10" r:id="rId10"/>
    <sheet name="KPI2" sheetId="9" r:id="rId11"/>
    <sheet name="KPI1" sheetId="8" r:id="rId12"/>
    <sheet name="Dati" sheetId="4" r:id="rId13"/>
    <sheet name="Classificazione" sheetId="16" r:id="rId14"/>
    <sheet name="Dati RUPA" sheetId="17" r:id="rId15"/>
  </sheets>
  <definedNames>
    <definedName name="_Hlk168829828" localSheetId="5">Sintesi!$P$83</definedName>
    <definedName name="_Toc119640626" localSheetId="7">'Risultati x Quesito'!#REF!</definedName>
    <definedName name="_Toc119640630" localSheetId="7">'Risultati x Quesito'!#REF!</definedName>
    <definedName name="_Toc119640638" localSheetId="7">'Risultati x Quesito'!#REF!</definedName>
    <definedName name="_Toc119640640" localSheetId="7">'Risultati x Quesito'!#REF!</definedName>
    <definedName name="_Toc119640693" localSheetId="7">'Risultati x Quesito'!#REF!</definedName>
    <definedName name="_Toc119640731" localSheetId="7">'Risultati x Quesito'!#REF!</definedName>
    <definedName name="_Toc119640733" localSheetId="7">'Risultati x Quesito'!#REF!</definedName>
    <definedName name="_Toc119640735" localSheetId="7">'Risultati x Quesito'!#REF!</definedName>
    <definedName name="_Toc119640737" localSheetId="7">'Risultati x Quesito'!#REF!</definedName>
    <definedName name="_Toc119640741" localSheetId="7">'Risultati x Quesito'!#REF!</definedName>
    <definedName name="_xlnm.Print_Area" localSheetId="12">Dati!$A$11:$E$70</definedName>
    <definedName name="_xlnm.Print_Area" localSheetId="7">'Risultati x Quesito'!$E$1:$U$275</definedName>
    <definedName name="OLE_LINK1" localSheetId="7">'Risultati x Quesito'!#REF!</definedName>
    <definedName name="_xlnm.Print_Titles" localSheetId="7">'Risultati x Quesito'!$1:$1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1" i="4" l="1"/>
  <c r="D21" i="4"/>
  <c r="E21" i="4"/>
  <c r="A22" i="4"/>
  <c r="D22" i="4"/>
  <c r="E22" i="4"/>
  <c r="A23" i="4"/>
  <c r="D23" i="4"/>
  <c r="E23" i="4"/>
  <c r="A24" i="4"/>
  <c r="D24" i="4"/>
  <c r="E24" i="4"/>
  <c r="A25" i="4"/>
  <c r="D25" i="4"/>
  <c r="E25" i="4"/>
  <c r="A26" i="4"/>
  <c r="D26" i="4"/>
  <c r="E26" i="4"/>
  <c r="A27" i="4"/>
  <c r="D27" i="4"/>
  <c r="E27" i="4"/>
  <c r="A28" i="4"/>
  <c r="D28" i="4"/>
  <c r="E28" i="4"/>
  <c r="A29" i="4"/>
  <c r="D29" i="4"/>
  <c r="E29" i="4"/>
  <c r="A30" i="4"/>
  <c r="D30" i="4"/>
  <c r="E30" i="4"/>
  <c r="A31" i="4"/>
  <c r="D31" i="4"/>
  <c r="E31" i="4"/>
  <c r="A32" i="4"/>
  <c r="D32" i="4"/>
  <c r="E32" i="4"/>
  <c r="A33" i="4"/>
  <c r="D33" i="4"/>
  <c r="E33" i="4"/>
  <c r="A34" i="4"/>
  <c r="D34" i="4"/>
  <c r="E34" i="4"/>
  <c r="A35" i="4"/>
  <c r="D35" i="4"/>
  <c r="E35" i="4"/>
  <c r="A36" i="4"/>
  <c r="D36" i="4"/>
  <c r="E36" i="4"/>
  <c r="A37" i="4"/>
  <c r="D37" i="4"/>
  <c r="E37" i="4"/>
  <c r="A38" i="4"/>
  <c r="D38" i="4"/>
  <c r="E38" i="4"/>
  <c r="A39" i="4"/>
  <c r="D39" i="4"/>
  <c r="E39" i="4"/>
  <c r="A40" i="4"/>
  <c r="D40" i="4"/>
  <c r="E40" i="4"/>
  <c r="A41" i="4"/>
  <c r="D41" i="4"/>
  <c r="E41" i="4"/>
  <c r="A42" i="4"/>
  <c r="D42" i="4"/>
  <c r="E42" i="4"/>
  <c r="A43" i="4"/>
  <c r="D43" i="4"/>
  <c r="E43" i="4"/>
  <c r="A44" i="4"/>
  <c r="D44" i="4"/>
  <c r="E44" i="4"/>
  <c r="A45" i="4"/>
  <c r="D45" i="4"/>
  <c r="E45" i="4"/>
  <c r="A46" i="4"/>
  <c r="D46" i="4"/>
  <c r="E46" i="4"/>
  <c r="A47" i="4"/>
  <c r="D47" i="4"/>
  <c r="E47" i="4"/>
  <c r="A48" i="4"/>
  <c r="D48" i="4"/>
  <c r="E48" i="4"/>
  <c r="A49" i="4"/>
  <c r="D49" i="4"/>
  <c r="E49" i="4"/>
  <c r="A50" i="4"/>
  <c r="D50" i="4"/>
  <c r="E50" i="4"/>
  <c r="A51" i="4"/>
  <c r="D51" i="4"/>
  <c r="E51" i="4"/>
  <c r="A52" i="4"/>
  <c r="D52" i="4"/>
  <c r="E52" i="4"/>
  <c r="A53" i="4"/>
  <c r="D53" i="4"/>
  <c r="E53" i="4"/>
  <c r="A54" i="4"/>
  <c r="D54" i="4"/>
  <c r="E54" i="4"/>
  <c r="A55" i="4"/>
  <c r="D55" i="4"/>
  <c r="E55" i="4"/>
  <c r="A56" i="4"/>
  <c r="D56" i="4"/>
  <c r="E56" i="4"/>
  <c r="A57" i="4"/>
  <c r="D57" i="4"/>
  <c r="E57" i="4"/>
  <c r="A58" i="4"/>
  <c r="D58" i="4"/>
  <c r="E58" i="4"/>
  <c r="A59" i="4"/>
  <c r="D59" i="4"/>
  <c r="E59" i="4"/>
  <c r="A60" i="4"/>
  <c r="D60" i="4"/>
  <c r="E60" i="4"/>
  <c r="A61" i="4"/>
  <c r="D61" i="4"/>
  <c r="E61" i="4"/>
  <c r="A62" i="4"/>
  <c r="D62" i="4"/>
  <c r="E62" i="4"/>
  <c r="A63" i="4"/>
  <c r="D63" i="4"/>
  <c r="E63" i="4"/>
  <c r="A64" i="4"/>
  <c r="D64" i="4"/>
  <c r="E64" i="4"/>
  <c r="A65" i="4"/>
  <c r="D65" i="4"/>
  <c r="E65" i="4"/>
  <c r="A66" i="4"/>
  <c r="D66" i="4"/>
  <c r="E66" i="4"/>
  <c r="E2" i="11"/>
  <c r="H2" i="11"/>
  <c r="K28" i="11"/>
  <c r="DQ21" i="4"/>
  <c r="DQ22" i="4"/>
  <c r="DQ23" i="4"/>
  <c r="DQ24" i="4"/>
  <c r="DQ25" i="4"/>
  <c r="DQ26" i="4"/>
  <c r="DQ27" i="4"/>
  <c r="DQ28" i="4"/>
  <c r="DQ29" i="4"/>
  <c r="DQ30" i="4"/>
  <c r="DQ31" i="4"/>
  <c r="DQ32" i="4"/>
  <c r="DQ33" i="4"/>
  <c r="DQ34" i="4"/>
  <c r="DQ35" i="4"/>
  <c r="DQ36" i="4"/>
  <c r="DQ37" i="4"/>
  <c r="DQ38" i="4"/>
  <c r="DQ39" i="4"/>
  <c r="DQ40" i="4"/>
  <c r="DQ41" i="4"/>
  <c r="DQ42" i="4"/>
  <c r="DQ43" i="4"/>
  <c r="DQ44" i="4"/>
  <c r="DQ45" i="4"/>
  <c r="DQ46" i="4"/>
  <c r="DQ47" i="4"/>
  <c r="DQ48" i="4"/>
  <c r="DQ49" i="4"/>
  <c r="DQ50" i="4"/>
  <c r="DQ51" i="4"/>
  <c r="DQ52" i="4"/>
  <c r="DQ53" i="4"/>
  <c r="DQ54" i="4"/>
  <c r="DQ55" i="4"/>
  <c r="DQ56" i="4"/>
  <c r="DQ57" i="4"/>
  <c r="DQ58" i="4"/>
  <c r="DQ59" i="4"/>
  <c r="DQ60" i="4"/>
  <c r="DQ61" i="4"/>
  <c r="DQ62" i="4"/>
  <c r="DQ63" i="4"/>
  <c r="DQ64" i="4"/>
  <c r="DQ65" i="4"/>
  <c r="DQ66" i="4"/>
  <c r="K29" i="11"/>
  <c r="Q243" i="7"/>
  <c r="K30" i="11"/>
  <c r="DS21" i="4"/>
  <c r="DS22" i="4"/>
  <c r="DS23" i="4"/>
  <c r="DS24" i="4"/>
  <c r="DS25" i="4"/>
  <c r="DS26" i="4"/>
  <c r="DS27" i="4"/>
  <c r="DS28" i="4"/>
  <c r="DS29" i="4"/>
  <c r="DS30" i="4"/>
  <c r="DS31" i="4"/>
  <c r="DS32" i="4"/>
  <c r="DS33" i="4"/>
  <c r="DS34" i="4"/>
  <c r="DS35" i="4"/>
  <c r="DS36" i="4"/>
  <c r="DS37" i="4"/>
  <c r="DS38" i="4"/>
  <c r="DS39" i="4"/>
  <c r="DS40" i="4"/>
  <c r="DS41" i="4"/>
  <c r="DS42" i="4"/>
  <c r="DS43" i="4"/>
  <c r="DS44" i="4"/>
  <c r="DS45" i="4"/>
  <c r="DS46" i="4"/>
  <c r="DS47" i="4"/>
  <c r="DS48" i="4"/>
  <c r="DS49" i="4"/>
  <c r="DS50" i="4"/>
  <c r="DS51" i="4"/>
  <c r="DS52" i="4"/>
  <c r="DS53" i="4"/>
  <c r="DS54" i="4"/>
  <c r="DS55" i="4"/>
  <c r="DS56" i="4"/>
  <c r="DS57" i="4"/>
  <c r="DS58" i="4"/>
  <c r="DS59" i="4"/>
  <c r="DS60" i="4"/>
  <c r="DS61" i="4"/>
  <c r="DS62" i="4"/>
  <c r="DS63" i="4"/>
  <c r="DS64" i="4"/>
  <c r="DS65" i="4"/>
  <c r="DS66" i="4"/>
  <c r="K31" i="11"/>
  <c r="Q247" i="7"/>
  <c r="J30" i="11"/>
  <c r="J31" i="11"/>
  <c r="Q248" i="7"/>
  <c r="L30" i="11"/>
  <c r="L31" i="11"/>
  <c r="Q249" i="7"/>
  <c r="Q250" i="7"/>
  <c r="DT21" i="4"/>
  <c r="DT22" i="4"/>
  <c r="DT23" i="4"/>
  <c r="DT24" i="4"/>
  <c r="DT25" i="4"/>
  <c r="DT26" i="4"/>
  <c r="DT27" i="4"/>
  <c r="DT28" i="4"/>
  <c r="DT29" i="4"/>
  <c r="DT30" i="4"/>
  <c r="DT31" i="4"/>
  <c r="DT32" i="4"/>
  <c r="DT33" i="4"/>
  <c r="DT34" i="4"/>
  <c r="DT35" i="4"/>
  <c r="DT36" i="4"/>
  <c r="DT37" i="4"/>
  <c r="DT38" i="4"/>
  <c r="DT39" i="4"/>
  <c r="DT40" i="4"/>
  <c r="DT41" i="4"/>
  <c r="DT42" i="4"/>
  <c r="DT43" i="4"/>
  <c r="DT44" i="4"/>
  <c r="DT45" i="4"/>
  <c r="DT46" i="4"/>
  <c r="DT47" i="4"/>
  <c r="DT48" i="4"/>
  <c r="DT49" i="4"/>
  <c r="DT50" i="4"/>
  <c r="DT51" i="4"/>
  <c r="DT52" i="4"/>
  <c r="DT53" i="4"/>
  <c r="DT54" i="4"/>
  <c r="DT55" i="4"/>
  <c r="DT56" i="4"/>
  <c r="DT57" i="4"/>
  <c r="DT58" i="4"/>
  <c r="DT59" i="4"/>
  <c r="DT60" i="4"/>
  <c r="DT61" i="4"/>
  <c r="DT62" i="4"/>
  <c r="DT63" i="4"/>
  <c r="DT64" i="4"/>
  <c r="DT65" i="4"/>
  <c r="DT66" i="4"/>
  <c r="DT67" i="4"/>
  <c r="DR21" i="4"/>
  <c r="DR22" i="4"/>
  <c r="DR23" i="4"/>
  <c r="DR24" i="4"/>
  <c r="DR25" i="4"/>
  <c r="DR26" i="4"/>
  <c r="DR27" i="4"/>
  <c r="DR28" i="4"/>
  <c r="DR29" i="4"/>
  <c r="DR30" i="4"/>
  <c r="DR31" i="4"/>
  <c r="DR32" i="4"/>
  <c r="DR33" i="4"/>
  <c r="DR34" i="4"/>
  <c r="DR35" i="4"/>
  <c r="DR36" i="4"/>
  <c r="DR37" i="4"/>
  <c r="DR38" i="4"/>
  <c r="DR39" i="4"/>
  <c r="DR40" i="4"/>
  <c r="DR41" i="4"/>
  <c r="DR42" i="4"/>
  <c r="DR43" i="4"/>
  <c r="DR44" i="4"/>
  <c r="DR45" i="4"/>
  <c r="DR46" i="4"/>
  <c r="DR47" i="4"/>
  <c r="DR48" i="4"/>
  <c r="DR49" i="4"/>
  <c r="DR50" i="4"/>
  <c r="DR51" i="4"/>
  <c r="DR52" i="4"/>
  <c r="DR53" i="4"/>
  <c r="DR54" i="4"/>
  <c r="DR55" i="4"/>
  <c r="DR56" i="4"/>
  <c r="DR57" i="4"/>
  <c r="DR58" i="4"/>
  <c r="DR59" i="4"/>
  <c r="DR60" i="4"/>
  <c r="DR61" i="4"/>
  <c r="DR62" i="4"/>
  <c r="DR63" i="4"/>
  <c r="DR64" i="4"/>
  <c r="DR65" i="4"/>
  <c r="DR66" i="4"/>
  <c r="DR67" i="4"/>
  <c r="O274" i="7"/>
  <c r="O273" i="7"/>
  <c r="O272" i="7"/>
  <c r="O271" i="7"/>
  <c r="O270" i="7"/>
  <c r="O268" i="7"/>
  <c r="O267" i="7"/>
  <c r="O266" i="7"/>
  <c r="O263" i="7"/>
  <c r="O262" i="7"/>
  <c r="O261" i="7"/>
  <c r="O258" i="7"/>
  <c r="O257" i="7"/>
  <c r="O256" i="7"/>
  <c r="O255" i="7"/>
  <c r="O254" i="7"/>
  <c r="O253" i="7"/>
  <c r="O250" i="7"/>
  <c r="O249" i="7"/>
  <c r="O248" i="7"/>
  <c r="O247" i="7"/>
  <c r="O245" i="7"/>
  <c r="O244" i="7"/>
  <c r="O243" i="7"/>
  <c r="O240" i="7"/>
  <c r="O239" i="7"/>
  <c r="O238" i="7"/>
  <c r="O236" i="7"/>
  <c r="O235" i="7"/>
  <c r="O234" i="7"/>
  <c r="O232" i="7"/>
  <c r="O231" i="7"/>
  <c r="O230" i="7"/>
  <c r="O229" i="7"/>
  <c r="O226" i="7"/>
  <c r="O225" i="7"/>
  <c r="O224" i="7"/>
  <c r="O222" i="7"/>
  <c r="O221" i="7"/>
  <c r="O220" i="7"/>
  <c r="O217" i="7"/>
  <c r="O216" i="7"/>
  <c r="O215" i="7"/>
  <c r="O212" i="7"/>
  <c r="O211" i="7"/>
  <c r="O210" i="7"/>
  <c r="O207" i="7"/>
  <c r="O206" i="7"/>
  <c r="O205" i="7"/>
  <c r="O202" i="7"/>
  <c r="O201" i="7"/>
  <c r="O200" i="7"/>
  <c r="O197" i="7"/>
  <c r="O196" i="7"/>
  <c r="O195" i="7"/>
  <c r="O194" i="7"/>
  <c r="O191" i="7"/>
  <c r="O190" i="7"/>
  <c r="O189" i="7"/>
  <c r="O186" i="7"/>
  <c r="O185" i="7"/>
  <c r="O184" i="7"/>
  <c r="O180" i="7"/>
  <c r="O179" i="7"/>
  <c r="O178" i="7"/>
  <c r="O177" i="7"/>
  <c r="O176" i="7"/>
  <c r="O175" i="7"/>
  <c r="O173" i="7"/>
  <c r="O172" i="7"/>
  <c r="O171" i="7"/>
  <c r="O168" i="7"/>
  <c r="O167" i="7"/>
  <c r="O166" i="7"/>
  <c r="O163" i="7"/>
  <c r="O162" i="7"/>
  <c r="O161" i="7"/>
  <c r="O158" i="7"/>
  <c r="O157" i="7"/>
  <c r="O156" i="7"/>
  <c r="O153" i="7"/>
  <c r="O152" i="7"/>
  <c r="O151" i="7"/>
  <c r="O148" i="7"/>
  <c r="O147" i="7"/>
  <c r="O146" i="7"/>
  <c r="O143" i="7"/>
  <c r="O142" i="7"/>
  <c r="O141" i="7"/>
  <c r="O140" i="7"/>
  <c r="O137" i="7"/>
  <c r="O136" i="7"/>
  <c r="O135" i="7"/>
  <c r="O134" i="7"/>
  <c r="O131" i="7"/>
  <c r="O130" i="7"/>
  <c r="O129" i="7"/>
  <c r="O124" i="7"/>
  <c r="O123" i="7"/>
  <c r="O122" i="7"/>
  <c r="O121" i="7"/>
  <c r="O118" i="7"/>
  <c r="O117" i="7"/>
  <c r="O116" i="7"/>
  <c r="O113" i="7"/>
  <c r="O112" i="7"/>
  <c r="O111" i="7"/>
  <c r="O110" i="7"/>
  <c r="O109" i="7"/>
  <c r="O108" i="7"/>
  <c r="O107" i="7"/>
  <c r="O104" i="7"/>
  <c r="O103" i="7"/>
  <c r="O102" i="7"/>
  <c r="O101" i="7"/>
  <c r="O100" i="7"/>
  <c r="O99" i="7"/>
  <c r="O98" i="7"/>
  <c r="O95" i="7"/>
  <c r="O94" i="7"/>
  <c r="O93" i="7"/>
  <c r="O92" i="7"/>
  <c r="O90" i="7"/>
  <c r="O89" i="7"/>
  <c r="O88" i="7"/>
  <c r="O86" i="7"/>
  <c r="O85" i="7"/>
  <c r="O84" i="7"/>
  <c r="O81" i="7"/>
  <c r="O80" i="7"/>
  <c r="O79" i="7"/>
  <c r="O76" i="7"/>
  <c r="O75" i="7"/>
  <c r="O74" i="7"/>
  <c r="O71" i="7"/>
  <c r="O70" i="7"/>
  <c r="O69" i="7"/>
  <c r="O64" i="7"/>
  <c r="O63" i="7"/>
  <c r="O62" i="7"/>
  <c r="O59" i="7"/>
  <c r="O58" i="7"/>
  <c r="O57" i="7"/>
  <c r="O55" i="7"/>
  <c r="O54" i="7"/>
  <c r="O53" i="7"/>
  <c r="O50" i="7"/>
  <c r="O49" i="7"/>
  <c r="O48" i="7"/>
  <c r="O47" i="7"/>
  <c r="O44" i="7"/>
  <c r="O43" i="7"/>
  <c r="O42" i="7"/>
  <c r="O39" i="7"/>
  <c r="O38" i="7"/>
  <c r="O37" i="7"/>
  <c r="O36" i="7"/>
  <c r="O35" i="7"/>
  <c r="O34" i="7"/>
  <c r="O32" i="7"/>
  <c r="O31" i="7"/>
  <c r="O30" i="7"/>
  <c r="O28" i="7"/>
  <c r="O27" i="7"/>
  <c r="O26" i="7"/>
  <c r="O25" i="7"/>
  <c r="O24" i="7"/>
  <c r="O22" i="7"/>
  <c r="O21" i="7"/>
  <c r="O20" i="7"/>
  <c r="O19" i="7"/>
  <c r="O17" i="7"/>
  <c r="O16" i="7"/>
  <c r="O15" i="7"/>
  <c r="O12" i="7"/>
  <c r="O11" i="7"/>
  <c r="O10" i="7"/>
  <c r="O7" i="7"/>
  <c r="O6" i="7"/>
  <c r="O5" i="7"/>
  <c r="O4" i="7"/>
  <c r="O3" i="7"/>
  <c r="P239" i="7"/>
  <c r="P240" i="7"/>
  <c r="P241" i="7"/>
  <c r="H108" i="7"/>
  <c r="G108" i="7"/>
  <c r="BG21" i="4"/>
  <c r="BH21" i="4"/>
  <c r="BI21" i="4"/>
  <c r="BJ21" i="4"/>
  <c r="T5" i="12"/>
  <c r="BG22" i="4"/>
  <c r="BH22" i="4"/>
  <c r="BI22" i="4"/>
  <c r="BJ22" i="4"/>
  <c r="T6" i="12"/>
  <c r="BG23" i="4"/>
  <c r="BH23" i="4"/>
  <c r="BI23" i="4"/>
  <c r="BJ23" i="4"/>
  <c r="T7" i="12"/>
  <c r="BG24" i="4"/>
  <c r="BH24" i="4"/>
  <c r="BI24" i="4"/>
  <c r="BJ24" i="4"/>
  <c r="T8" i="12"/>
  <c r="BG25" i="4"/>
  <c r="BH25" i="4"/>
  <c r="BI25" i="4"/>
  <c r="BJ25" i="4"/>
  <c r="T9" i="12"/>
  <c r="BG26" i="4"/>
  <c r="BH26" i="4"/>
  <c r="BI26" i="4"/>
  <c r="BJ26" i="4"/>
  <c r="T10" i="12"/>
  <c r="BG27" i="4"/>
  <c r="BH27" i="4"/>
  <c r="BI27" i="4"/>
  <c r="BJ27" i="4"/>
  <c r="T11" i="12"/>
  <c r="BG28" i="4"/>
  <c r="BH28" i="4"/>
  <c r="BI28" i="4"/>
  <c r="BJ28" i="4"/>
  <c r="T12" i="12"/>
  <c r="BG29" i="4"/>
  <c r="BH29" i="4"/>
  <c r="BI29" i="4"/>
  <c r="BJ29" i="4"/>
  <c r="T13" i="12"/>
  <c r="BG30" i="4"/>
  <c r="BH30" i="4"/>
  <c r="BI30" i="4"/>
  <c r="BJ30" i="4"/>
  <c r="T14" i="12"/>
  <c r="BG31" i="4"/>
  <c r="BH31" i="4"/>
  <c r="BI31" i="4"/>
  <c r="BJ31" i="4"/>
  <c r="T15" i="12"/>
  <c r="BG32" i="4"/>
  <c r="BH32" i="4"/>
  <c r="BI32" i="4"/>
  <c r="BJ32" i="4"/>
  <c r="T16" i="12"/>
  <c r="BG33" i="4"/>
  <c r="BH33" i="4"/>
  <c r="BI33" i="4"/>
  <c r="BJ33" i="4"/>
  <c r="T17" i="12"/>
  <c r="BG34" i="4"/>
  <c r="BH34" i="4"/>
  <c r="BI34" i="4"/>
  <c r="BJ34" i="4"/>
  <c r="T18" i="12"/>
  <c r="BG35" i="4"/>
  <c r="BH35" i="4"/>
  <c r="BI35" i="4"/>
  <c r="BJ35" i="4"/>
  <c r="T19" i="12"/>
  <c r="BG36" i="4"/>
  <c r="BH36" i="4"/>
  <c r="BI36" i="4"/>
  <c r="BJ36" i="4"/>
  <c r="T20" i="12"/>
  <c r="BG37" i="4"/>
  <c r="BH37" i="4"/>
  <c r="BI37" i="4"/>
  <c r="BJ37" i="4"/>
  <c r="T21" i="12"/>
  <c r="BG38" i="4"/>
  <c r="BH38" i="4"/>
  <c r="BI38" i="4"/>
  <c r="BJ38" i="4"/>
  <c r="T22" i="12"/>
  <c r="BG39" i="4"/>
  <c r="BH39" i="4"/>
  <c r="BI39" i="4"/>
  <c r="BJ39" i="4"/>
  <c r="T23" i="12"/>
  <c r="BG40" i="4"/>
  <c r="BH40" i="4"/>
  <c r="BI40" i="4"/>
  <c r="BJ40" i="4"/>
  <c r="T24" i="12"/>
  <c r="BG41" i="4"/>
  <c r="BH41" i="4"/>
  <c r="BI41" i="4"/>
  <c r="BJ41" i="4"/>
  <c r="T25" i="12"/>
  <c r="BG42" i="4"/>
  <c r="BH42" i="4"/>
  <c r="BI42" i="4"/>
  <c r="BJ42" i="4"/>
  <c r="T26" i="12"/>
  <c r="BG43" i="4"/>
  <c r="BH43" i="4"/>
  <c r="BI43" i="4"/>
  <c r="BJ43" i="4"/>
  <c r="T27" i="12"/>
  <c r="BG44" i="4"/>
  <c r="BH44" i="4"/>
  <c r="BI44" i="4"/>
  <c r="BJ44" i="4"/>
  <c r="T28" i="12"/>
  <c r="BG45" i="4"/>
  <c r="BH45" i="4"/>
  <c r="BI45" i="4"/>
  <c r="BJ45" i="4"/>
  <c r="T29" i="12"/>
  <c r="BG46" i="4"/>
  <c r="BH46" i="4"/>
  <c r="BI46" i="4"/>
  <c r="BJ46" i="4"/>
  <c r="T30" i="12"/>
  <c r="BG47" i="4"/>
  <c r="BH47" i="4"/>
  <c r="BI47" i="4"/>
  <c r="BJ47" i="4"/>
  <c r="T31" i="12"/>
  <c r="BG48" i="4"/>
  <c r="BH48" i="4"/>
  <c r="BI48" i="4"/>
  <c r="BJ48" i="4"/>
  <c r="T32" i="12"/>
  <c r="BG49" i="4"/>
  <c r="BH49" i="4"/>
  <c r="BI49" i="4"/>
  <c r="BJ49" i="4"/>
  <c r="T33" i="12"/>
  <c r="BG50" i="4"/>
  <c r="BH50" i="4"/>
  <c r="BI50" i="4"/>
  <c r="BJ50" i="4"/>
  <c r="T34" i="12"/>
  <c r="BG51" i="4"/>
  <c r="BH51" i="4"/>
  <c r="BI51" i="4"/>
  <c r="BJ51" i="4"/>
  <c r="T35" i="12"/>
  <c r="BG52" i="4"/>
  <c r="BH52" i="4"/>
  <c r="BI52" i="4"/>
  <c r="BJ52" i="4"/>
  <c r="T36" i="12"/>
  <c r="BG53" i="4"/>
  <c r="BH53" i="4"/>
  <c r="BI53" i="4"/>
  <c r="BJ53" i="4"/>
  <c r="T37" i="12"/>
  <c r="BG54" i="4"/>
  <c r="BH54" i="4"/>
  <c r="BI54" i="4"/>
  <c r="BJ54" i="4"/>
  <c r="T38" i="12"/>
  <c r="BG55" i="4"/>
  <c r="BH55" i="4"/>
  <c r="BI55" i="4"/>
  <c r="BJ55" i="4"/>
  <c r="T39" i="12"/>
  <c r="BG56" i="4"/>
  <c r="BH56" i="4"/>
  <c r="BI56" i="4"/>
  <c r="BJ56" i="4"/>
  <c r="T40" i="12"/>
  <c r="BG57" i="4"/>
  <c r="BH57" i="4"/>
  <c r="BI57" i="4"/>
  <c r="BJ57" i="4"/>
  <c r="T41" i="12"/>
  <c r="BG58" i="4"/>
  <c r="BH58" i="4"/>
  <c r="BI58" i="4"/>
  <c r="BJ58" i="4"/>
  <c r="T42" i="12"/>
  <c r="BG59" i="4"/>
  <c r="BH59" i="4"/>
  <c r="BI59" i="4"/>
  <c r="BJ59" i="4"/>
  <c r="T43" i="12"/>
  <c r="BG60" i="4"/>
  <c r="BH60" i="4"/>
  <c r="BI60" i="4"/>
  <c r="BJ60" i="4"/>
  <c r="T44" i="12"/>
  <c r="BG61" i="4"/>
  <c r="BH61" i="4"/>
  <c r="BI61" i="4"/>
  <c r="BJ61" i="4"/>
  <c r="T45" i="12"/>
  <c r="BG62" i="4"/>
  <c r="BH62" i="4"/>
  <c r="BI62" i="4"/>
  <c r="BJ62" i="4"/>
  <c r="T46" i="12"/>
  <c r="BG63" i="4"/>
  <c r="BH63" i="4"/>
  <c r="BI63" i="4"/>
  <c r="BJ63" i="4"/>
  <c r="T47" i="12"/>
  <c r="BG64" i="4"/>
  <c r="BH64" i="4"/>
  <c r="BI64" i="4"/>
  <c r="BJ64" i="4"/>
  <c r="T48" i="12"/>
  <c r="BG65" i="4"/>
  <c r="BH65" i="4"/>
  <c r="BI65" i="4"/>
  <c r="BJ65" i="4"/>
  <c r="T49" i="12"/>
  <c r="BG66" i="4"/>
  <c r="BH66" i="4"/>
  <c r="BI66" i="4"/>
  <c r="BJ66" i="4"/>
  <c r="T50" i="12"/>
  <c r="T52" i="12"/>
  <c r="F107" i="7"/>
  <c r="F108" i="7"/>
  <c r="H99" i="7"/>
  <c r="G99" i="7"/>
  <c r="BC21" i="4"/>
  <c r="BD21" i="4"/>
  <c r="BE21" i="4"/>
  <c r="BF21" i="4"/>
  <c r="S5" i="12"/>
  <c r="BC22" i="4"/>
  <c r="BD22" i="4"/>
  <c r="BE22" i="4"/>
  <c r="BF22" i="4"/>
  <c r="S6" i="12"/>
  <c r="BC23" i="4"/>
  <c r="BD23" i="4"/>
  <c r="BE23" i="4"/>
  <c r="BF23" i="4"/>
  <c r="S7" i="12"/>
  <c r="BC24" i="4"/>
  <c r="BD24" i="4"/>
  <c r="BE24" i="4"/>
  <c r="BF24" i="4"/>
  <c r="S8" i="12"/>
  <c r="BC25" i="4"/>
  <c r="BD25" i="4"/>
  <c r="BE25" i="4"/>
  <c r="BF25" i="4"/>
  <c r="S9" i="12"/>
  <c r="BC26" i="4"/>
  <c r="BD26" i="4"/>
  <c r="BE26" i="4"/>
  <c r="BF26" i="4"/>
  <c r="S10" i="12"/>
  <c r="BC27" i="4"/>
  <c r="BD27" i="4"/>
  <c r="BE27" i="4"/>
  <c r="BF27" i="4"/>
  <c r="S11" i="12"/>
  <c r="BC28" i="4"/>
  <c r="BD28" i="4"/>
  <c r="BE28" i="4"/>
  <c r="BF28" i="4"/>
  <c r="S12" i="12"/>
  <c r="BC29" i="4"/>
  <c r="BD29" i="4"/>
  <c r="BE29" i="4"/>
  <c r="BF29" i="4"/>
  <c r="S13" i="12"/>
  <c r="BC30" i="4"/>
  <c r="BD30" i="4"/>
  <c r="BE30" i="4"/>
  <c r="BF30" i="4"/>
  <c r="S14" i="12"/>
  <c r="BC31" i="4"/>
  <c r="BD31" i="4"/>
  <c r="BE31" i="4"/>
  <c r="BF31" i="4"/>
  <c r="S15" i="12"/>
  <c r="BC32" i="4"/>
  <c r="BD32" i="4"/>
  <c r="BE32" i="4"/>
  <c r="BF32" i="4"/>
  <c r="S16" i="12"/>
  <c r="BC33" i="4"/>
  <c r="BD33" i="4"/>
  <c r="BE33" i="4"/>
  <c r="BF33" i="4"/>
  <c r="S17" i="12"/>
  <c r="BC34" i="4"/>
  <c r="BD34" i="4"/>
  <c r="BE34" i="4"/>
  <c r="BF34" i="4"/>
  <c r="S18" i="12"/>
  <c r="BC35" i="4"/>
  <c r="BD35" i="4"/>
  <c r="BE35" i="4"/>
  <c r="BF35" i="4"/>
  <c r="S19" i="12"/>
  <c r="BC36" i="4"/>
  <c r="BD36" i="4"/>
  <c r="BE36" i="4"/>
  <c r="BF36" i="4"/>
  <c r="S20" i="12"/>
  <c r="BC37" i="4"/>
  <c r="BD37" i="4"/>
  <c r="BE37" i="4"/>
  <c r="BF37" i="4"/>
  <c r="S21" i="12"/>
  <c r="BC38" i="4"/>
  <c r="BD38" i="4"/>
  <c r="BE38" i="4"/>
  <c r="BF38" i="4"/>
  <c r="S22" i="12"/>
  <c r="BC39" i="4"/>
  <c r="BD39" i="4"/>
  <c r="BE39" i="4"/>
  <c r="BF39" i="4"/>
  <c r="S23" i="12"/>
  <c r="BC40" i="4"/>
  <c r="BD40" i="4"/>
  <c r="BE40" i="4"/>
  <c r="BF40" i="4"/>
  <c r="S24" i="12"/>
  <c r="BC41" i="4"/>
  <c r="BD41" i="4"/>
  <c r="BE41" i="4"/>
  <c r="BF41" i="4"/>
  <c r="S25" i="12"/>
  <c r="BC42" i="4"/>
  <c r="BD42" i="4"/>
  <c r="BE42" i="4"/>
  <c r="BF42" i="4"/>
  <c r="S26" i="12"/>
  <c r="BC43" i="4"/>
  <c r="BD43" i="4"/>
  <c r="BE43" i="4"/>
  <c r="BF43" i="4"/>
  <c r="S27" i="12"/>
  <c r="BC44" i="4"/>
  <c r="BD44" i="4"/>
  <c r="BE44" i="4"/>
  <c r="BF44" i="4"/>
  <c r="S28" i="12"/>
  <c r="BC45" i="4"/>
  <c r="BD45" i="4"/>
  <c r="BE45" i="4"/>
  <c r="BF45" i="4"/>
  <c r="S29" i="12"/>
  <c r="BC46" i="4"/>
  <c r="BD46" i="4"/>
  <c r="BE46" i="4"/>
  <c r="BF46" i="4"/>
  <c r="S30" i="12"/>
  <c r="BC47" i="4"/>
  <c r="BD47" i="4"/>
  <c r="BE47" i="4"/>
  <c r="BF47" i="4"/>
  <c r="S31" i="12"/>
  <c r="BC48" i="4"/>
  <c r="BD48" i="4"/>
  <c r="BE48" i="4"/>
  <c r="BF48" i="4"/>
  <c r="S32" i="12"/>
  <c r="BC49" i="4"/>
  <c r="BD49" i="4"/>
  <c r="BE49" i="4"/>
  <c r="BF49" i="4"/>
  <c r="S33" i="12"/>
  <c r="BC50" i="4"/>
  <c r="BD50" i="4"/>
  <c r="BE50" i="4"/>
  <c r="BF50" i="4"/>
  <c r="S34" i="12"/>
  <c r="BC51" i="4"/>
  <c r="BD51" i="4"/>
  <c r="BE51" i="4"/>
  <c r="BF51" i="4"/>
  <c r="S35" i="12"/>
  <c r="BC52" i="4"/>
  <c r="BD52" i="4"/>
  <c r="BE52" i="4"/>
  <c r="BF52" i="4"/>
  <c r="S36" i="12"/>
  <c r="BC53" i="4"/>
  <c r="BD53" i="4"/>
  <c r="BE53" i="4"/>
  <c r="BF53" i="4"/>
  <c r="S37" i="12"/>
  <c r="BC54" i="4"/>
  <c r="BD54" i="4"/>
  <c r="BE54" i="4"/>
  <c r="BF54" i="4"/>
  <c r="S38" i="12"/>
  <c r="BC55" i="4"/>
  <c r="BD55" i="4"/>
  <c r="BE55" i="4"/>
  <c r="BF55" i="4"/>
  <c r="S39" i="12"/>
  <c r="BC56" i="4"/>
  <c r="BD56" i="4"/>
  <c r="BE56" i="4"/>
  <c r="BF56" i="4"/>
  <c r="S40" i="12"/>
  <c r="BC57" i="4"/>
  <c r="BD57" i="4"/>
  <c r="BE57" i="4"/>
  <c r="BF57" i="4"/>
  <c r="S41" i="12"/>
  <c r="BC58" i="4"/>
  <c r="BD58" i="4"/>
  <c r="BE58" i="4"/>
  <c r="BF58" i="4"/>
  <c r="S42" i="12"/>
  <c r="BC59" i="4"/>
  <c r="BD59" i="4"/>
  <c r="BE59" i="4"/>
  <c r="BF59" i="4"/>
  <c r="S43" i="12"/>
  <c r="BC60" i="4"/>
  <c r="BD60" i="4"/>
  <c r="BE60" i="4"/>
  <c r="BF60" i="4"/>
  <c r="S44" i="12"/>
  <c r="BC61" i="4"/>
  <c r="BD61" i="4"/>
  <c r="BE61" i="4"/>
  <c r="BF61" i="4"/>
  <c r="S45" i="12"/>
  <c r="BC62" i="4"/>
  <c r="BD62" i="4"/>
  <c r="BE62" i="4"/>
  <c r="BF62" i="4"/>
  <c r="S46" i="12"/>
  <c r="BC63" i="4"/>
  <c r="BD63" i="4"/>
  <c r="BE63" i="4"/>
  <c r="BF63" i="4"/>
  <c r="S47" i="12"/>
  <c r="BC64" i="4"/>
  <c r="BD64" i="4"/>
  <c r="BE64" i="4"/>
  <c r="BF64" i="4"/>
  <c r="S48" i="12"/>
  <c r="BC65" i="4"/>
  <c r="BD65" i="4"/>
  <c r="BE65" i="4"/>
  <c r="BF65" i="4"/>
  <c r="S49" i="12"/>
  <c r="BC66" i="4"/>
  <c r="BD66" i="4"/>
  <c r="BE66" i="4"/>
  <c r="BF66" i="4"/>
  <c r="S50" i="12"/>
  <c r="S52" i="12"/>
  <c r="F98" i="7"/>
  <c r="F99" i="7"/>
  <c r="H89" i="7"/>
  <c r="G89" i="7"/>
  <c r="AY21" i="4"/>
  <c r="AZ21" i="4"/>
  <c r="BA21" i="4"/>
  <c r="BB21" i="4"/>
  <c r="R5" i="12"/>
  <c r="AY22" i="4"/>
  <c r="AZ22" i="4"/>
  <c r="BA22" i="4"/>
  <c r="BB22" i="4"/>
  <c r="R6" i="12"/>
  <c r="AY23" i="4"/>
  <c r="AZ23" i="4"/>
  <c r="BA23" i="4"/>
  <c r="BB23" i="4"/>
  <c r="R7" i="12"/>
  <c r="AY24" i="4"/>
  <c r="AZ24" i="4"/>
  <c r="BA24" i="4"/>
  <c r="BB24" i="4"/>
  <c r="R8" i="12"/>
  <c r="AY25" i="4"/>
  <c r="AZ25" i="4"/>
  <c r="BA25" i="4"/>
  <c r="BB25" i="4"/>
  <c r="R9" i="12"/>
  <c r="AY26" i="4"/>
  <c r="AZ26" i="4"/>
  <c r="BA26" i="4"/>
  <c r="BB26" i="4"/>
  <c r="R10" i="12"/>
  <c r="AY27" i="4"/>
  <c r="AZ27" i="4"/>
  <c r="BA27" i="4"/>
  <c r="BB27" i="4"/>
  <c r="R11" i="12"/>
  <c r="AY28" i="4"/>
  <c r="AZ28" i="4"/>
  <c r="BA28" i="4"/>
  <c r="BB28" i="4"/>
  <c r="R12" i="12"/>
  <c r="AY29" i="4"/>
  <c r="AZ29" i="4"/>
  <c r="BA29" i="4"/>
  <c r="BB29" i="4"/>
  <c r="R13" i="12"/>
  <c r="AY30" i="4"/>
  <c r="AZ30" i="4"/>
  <c r="BA30" i="4"/>
  <c r="BB30" i="4"/>
  <c r="R14" i="12"/>
  <c r="AY31" i="4"/>
  <c r="AZ31" i="4"/>
  <c r="BA31" i="4"/>
  <c r="BB31" i="4"/>
  <c r="R15" i="12"/>
  <c r="AY32" i="4"/>
  <c r="AZ32" i="4"/>
  <c r="BA32" i="4"/>
  <c r="BB32" i="4"/>
  <c r="R16" i="12"/>
  <c r="AY33" i="4"/>
  <c r="AZ33" i="4"/>
  <c r="BA33" i="4"/>
  <c r="BB33" i="4"/>
  <c r="R17" i="12"/>
  <c r="AY34" i="4"/>
  <c r="AZ34" i="4"/>
  <c r="BA34" i="4"/>
  <c r="BB34" i="4"/>
  <c r="R18" i="12"/>
  <c r="AY35" i="4"/>
  <c r="AZ35" i="4"/>
  <c r="BA35" i="4"/>
  <c r="BB35" i="4"/>
  <c r="R19" i="12"/>
  <c r="AY36" i="4"/>
  <c r="AZ36" i="4"/>
  <c r="BA36" i="4"/>
  <c r="BB36" i="4"/>
  <c r="R20" i="12"/>
  <c r="AY37" i="4"/>
  <c r="AZ37" i="4"/>
  <c r="BA37" i="4"/>
  <c r="BB37" i="4"/>
  <c r="R21" i="12"/>
  <c r="AY38" i="4"/>
  <c r="AZ38" i="4"/>
  <c r="BA38" i="4"/>
  <c r="BB38" i="4"/>
  <c r="R22" i="12"/>
  <c r="AY39" i="4"/>
  <c r="AZ39" i="4"/>
  <c r="BA39" i="4"/>
  <c r="BB39" i="4"/>
  <c r="R23" i="12"/>
  <c r="AY40" i="4"/>
  <c r="AZ40" i="4"/>
  <c r="BA40" i="4"/>
  <c r="BB40" i="4"/>
  <c r="R24" i="12"/>
  <c r="AY41" i="4"/>
  <c r="AZ41" i="4"/>
  <c r="BA41" i="4"/>
  <c r="BB41" i="4"/>
  <c r="R25" i="12"/>
  <c r="AY42" i="4"/>
  <c r="AZ42" i="4"/>
  <c r="BA42" i="4"/>
  <c r="BB42" i="4"/>
  <c r="R26" i="12"/>
  <c r="AY43" i="4"/>
  <c r="AZ43" i="4"/>
  <c r="BA43" i="4"/>
  <c r="BB43" i="4"/>
  <c r="R27" i="12"/>
  <c r="AY44" i="4"/>
  <c r="AZ44" i="4"/>
  <c r="BA44" i="4"/>
  <c r="BB44" i="4"/>
  <c r="R28" i="12"/>
  <c r="AY45" i="4"/>
  <c r="AZ45" i="4"/>
  <c r="BA45" i="4"/>
  <c r="BB45" i="4"/>
  <c r="R29" i="12"/>
  <c r="AY46" i="4"/>
  <c r="AZ46" i="4"/>
  <c r="BA46" i="4"/>
  <c r="BB46" i="4"/>
  <c r="R30" i="12"/>
  <c r="AY47" i="4"/>
  <c r="AZ47" i="4"/>
  <c r="BA47" i="4"/>
  <c r="BB47" i="4"/>
  <c r="R31" i="12"/>
  <c r="AY48" i="4"/>
  <c r="AZ48" i="4"/>
  <c r="BA48" i="4"/>
  <c r="BB48" i="4"/>
  <c r="R32" i="12"/>
  <c r="AY49" i="4"/>
  <c r="AZ49" i="4"/>
  <c r="BA49" i="4"/>
  <c r="BB49" i="4"/>
  <c r="R33" i="12"/>
  <c r="AY50" i="4"/>
  <c r="AZ50" i="4"/>
  <c r="BA50" i="4"/>
  <c r="BB50" i="4"/>
  <c r="R34" i="12"/>
  <c r="AY51" i="4"/>
  <c r="AZ51" i="4"/>
  <c r="BA51" i="4"/>
  <c r="BB51" i="4"/>
  <c r="R35" i="12"/>
  <c r="AY52" i="4"/>
  <c r="AZ52" i="4"/>
  <c r="BA52" i="4"/>
  <c r="BB52" i="4"/>
  <c r="R36" i="12"/>
  <c r="AY53" i="4"/>
  <c r="AZ53" i="4"/>
  <c r="BA53" i="4"/>
  <c r="BB53" i="4"/>
  <c r="R37" i="12"/>
  <c r="AY54" i="4"/>
  <c r="AZ54" i="4"/>
  <c r="BA54" i="4"/>
  <c r="BB54" i="4"/>
  <c r="R38" i="12"/>
  <c r="AY55" i="4"/>
  <c r="AZ55" i="4"/>
  <c r="BA55" i="4"/>
  <c r="BB55" i="4"/>
  <c r="R39" i="12"/>
  <c r="AY56" i="4"/>
  <c r="AZ56" i="4"/>
  <c r="BA56" i="4"/>
  <c r="BB56" i="4"/>
  <c r="R40" i="12"/>
  <c r="AY57" i="4"/>
  <c r="AZ57" i="4"/>
  <c r="BA57" i="4"/>
  <c r="BB57" i="4"/>
  <c r="R41" i="12"/>
  <c r="AY58" i="4"/>
  <c r="AZ58" i="4"/>
  <c r="BA58" i="4"/>
  <c r="BB58" i="4"/>
  <c r="R42" i="12"/>
  <c r="AY59" i="4"/>
  <c r="AZ59" i="4"/>
  <c r="BA59" i="4"/>
  <c r="BB59" i="4"/>
  <c r="R43" i="12"/>
  <c r="AY60" i="4"/>
  <c r="AZ60" i="4"/>
  <c r="BA60" i="4"/>
  <c r="BB60" i="4"/>
  <c r="R44" i="12"/>
  <c r="AY61" i="4"/>
  <c r="AZ61" i="4"/>
  <c r="BA61" i="4"/>
  <c r="BB61" i="4"/>
  <c r="R45" i="12"/>
  <c r="AY62" i="4"/>
  <c r="AZ62" i="4"/>
  <c r="BA62" i="4"/>
  <c r="BB62" i="4"/>
  <c r="R46" i="12"/>
  <c r="AY63" i="4"/>
  <c r="AZ63" i="4"/>
  <c r="BA63" i="4"/>
  <c r="BB63" i="4"/>
  <c r="R47" i="12"/>
  <c r="AY64" i="4"/>
  <c r="AZ64" i="4"/>
  <c r="BA64" i="4"/>
  <c r="BB64" i="4"/>
  <c r="R48" i="12"/>
  <c r="AY65" i="4"/>
  <c r="AZ65" i="4"/>
  <c r="BA65" i="4"/>
  <c r="BB65" i="4"/>
  <c r="R49" i="12"/>
  <c r="AY66" i="4"/>
  <c r="AZ66" i="4"/>
  <c r="BA66" i="4"/>
  <c r="BB66" i="4"/>
  <c r="R50" i="12"/>
  <c r="R52" i="12"/>
  <c r="F88" i="7"/>
  <c r="F89" i="7"/>
  <c r="H85" i="7"/>
  <c r="G85" i="7"/>
  <c r="AS21" i="4"/>
  <c r="AT21" i="4"/>
  <c r="AU21" i="4"/>
  <c r="AV21" i="4"/>
  <c r="AW21" i="4"/>
  <c r="AX21" i="4"/>
  <c r="Q5" i="12"/>
  <c r="AS22" i="4"/>
  <c r="AT22" i="4"/>
  <c r="AU22" i="4"/>
  <c r="AV22" i="4"/>
  <c r="AW22" i="4"/>
  <c r="AX22" i="4"/>
  <c r="Q6" i="12"/>
  <c r="AS23" i="4"/>
  <c r="AT23" i="4"/>
  <c r="AU23" i="4"/>
  <c r="AV23" i="4"/>
  <c r="AW23" i="4"/>
  <c r="AX23" i="4"/>
  <c r="Q7" i="12"/>
  <c r="AS24" i="4"/>
  <c r="AT24" i="4"/>
  <c r="AU24" i="4"/>
  <c r="AV24" i="4"/>
  <c r="AW24" i="4"/>
  <c r="AX24" i="4"/>
  <c r="Q8" i="12"/>
  <c r="AS25" i="4"/>
  <c r="AT25" i="4"/>
  <c r="AU25" i="4"/>
  <c r="AV25" i="4"/>
  <c r="AW25" i="4"/>
  <c r="AX25" i="4"/>
  <c r="Q9" i="12"/>
  <c r="AS26" i="4"/>
  <c r="AT26" i="4"/>
  <c r="AU26" i="4"/>
  <c r="AV26" i="4"/>
  <c r="AW26" i="4"/>
  <c r="AX26" i="4"/>
  <c r="Q10" i="12"/>
  <c r="AS27" i="4"/>
  <c r="AT27" i="4"/>
  <c r="AU27" i="4"/>
  <c r="AV27" i="4"/>
  <c r="AW27" i="4"/>
  <c r="AX27" i="4"/>
  <c r="Q11" i="12"/>
  <c r="AS28" i="4"/>
  <c r="AT28" i="4"/>
  <c r="AU28" i="4"/>
  <c r="AV28" i="4"/>
  <c r="AW28" i="4"/>
  <c r="AX28" i="4"/>
  <c r="Q12" i="12"/>
  <c r="AS29" i="4"/>
  <c r="AT29" i="4"/>
  <c r="AU29" i="4"/>
  <c r="AV29" i="4"/>
  <c r="AW29" i="4"/>
  <c r="AX29" i="4"/>
  <c r="Q13" i="12"/>
  <c r="AS30" i="4"/>
  <c r="AT30" i="4"/>
  <c r="AU30" i="4"/>
  <c r="AV30" i="4"/>
  <c r="AW30" i="4"/>
  <c r="AX30" i="4"/>
  <c r="Q14" i="12"/>
  <c r="AS31" i="4"/>
  <c r="AT31" i="4"/>
  <c r="AU31" i="4"/>
  <c r="AV31" i="4"/>
  <c r="AW31" i="4"/>
  <c r="AX31" i="4"/>
  <c r="Q15" i="12"/>
  <c r="AS32" i="4"/>
  <c r="AT32" i="4"/>
  <c r="AU32" i="4"/>
  <c r="AV32" i="4"/>
  <c r="AW32" i="4"/>
  <c r="AX32" i="4"/>
  <c r="Q16" i="12"/>
  <c r="AS33" i="4"/>
  <c r="AT33" i="4"/>
  <c r="AU33" i="4"/>
  <c r="AV33" i="4"/>
  <c r="AW33" i="4"/>
  <c r="AX33" i="4"/>
  <c r="Q17" i="12"/>
  <c r="AS34" i="4"/>
  <c r="AT34" i="4"/>
  <c r="AU34" i="4"/>
  <c r="AV34" i="4"/>
  <c r="AW34" i="4"/>
  <c r="AX34" i="4"/>
  <c r="Q18" i="12"/>
  <c r="AS35" i="4"/>
  <c r="AT35" i="4"/>
  <c r="AU35" i="4"/>
  <c r="AV35" i="4"/>
  <c r="AW35" i="4"/>
  <c r="AX35" i="4"/>
  <c r="Q19" i="12"/>
  <c r="AS36" i="4"/>
  <c r="AT36" i="4"/>
  <c r="AU36" i="4"/>
  <c r="AV36" i="4"/>
  <c r="AW36" i="4"/>
  <c r="AX36" i="4"/>
  <c r="Q20" i="12"/>
  <c r="AS37" i="4"/>
  <c r="AT37" i="4"/>
  <c r="AU37" i="4"/>
  <c r="AV37" i="4"/>
  <c r="AW37" i="4"/>
  <c r="AX37" i="4"/>
  <c r="Q21" i="12"/>
  <c r="AS38" i="4"/>
  <c r="AT38" i="4"/>
  <c r="AU38" i="4"/>
  <c r="AV38" i="4"/>
  <c r="AW38" i="4"/>
  <c r="AX38" i="4"/>
  <c r="Q22" i="12"/>
  <c r="AS39" i="4"/>
  <c r="AT39" i="4"/>
  <c r="AU39" i="4"/>
  <c r="AV39" i="4"/>
  <c r="AW39" i="4"/>
  <c r="AX39" i="4"/>
  <c r="Q23" i="12"/>
  <c r="AS40" i="4"/>
  <c r="AT40" i="4"/>
  <c r="AU40" i="4"/>
  <c r="AV40" i="4"/>
  <c r="AW40" i="4"/>
  <c r="AX40" i="4"/>
  <c r="Q24" i="12"/>
  <c r="AS41" i="4"/>
  <c r="AT41" i="4"/>
  <c r="AU41" i="4"/>
  <c r="AV41" i="4"/>
  <c r="AW41" i="4"/>
  <c r="AX41" i="4"/>
  <c r="Q25" i="12"/>
  <c r="AS42" i="4"/>
  <c r="AT42" i="4"/>
  <c r="AU42" i="4"/>
  <c r="AV42" i="4"/>
  <c r="AW42" i="4"/>
  <c r="AX42" i="4"/>
  <c r="Q26" i="12"/>
  <c r="AS43" i="4"/>
  <c r="AT43" i="4"/>
  <c r="AU43" i="4"/>
  <c r="AV43" i="4"/>
  <c r="AW43" i="4"/>
  <c r="AX43" i="4"/>
  <c r="Q27" i="12"/>
  <c r="AS44" i="4"/>
  <c r="AT44" i="4"/>
  <c r="AU44" i="4"/>
  <c r="AV44" i="4"/>
  <c r="AW44" i="4"/>
  <c r="AX44" i="4"/>
  <c r="Q28" i="12"/>
  <c r="AS45" i="4"/>
  <c r="AT45" i="4"/>
  <c r="AU45" i="4"/>
  <c r="AV45" i="4"/>
  <c r="AW45" i="4"/>
  <c r="AX45" i="4"/>
  <c r="Q29" i="12"/>
  <c r="AS46" i="4"/>
  <c r="AT46" i="4"/>
  <c r="AU46" i="4"/>
  <c r="AV46" i="4"/>
  <c r="AW46" i="4"/>
  <c r="AX46" i="4"/>
  <c r="Q30" i="12"/>
  <c r="AS47" i="4"/>
  <c r="AT47" i="4"/>
  <c r="AU47" i="4"/>
  <c r="AV47" i="4"/>
  <c r="AW47" i="4"/>
  <c r="AX47" i="4"/>
  <c r="Q31" i="12"/>
  <c r="AS48" i="4"/>
  <c r="AT48" i="4"/>
  <c r="AU48" i="4"/>
  <c r="AV48" i="4"/>
  <c r="AW48" i="4"/>
  <c r="AX48" i="4"/>
  <c r="Q32" i="12"/>
  <c r="AS49" i="4"/>
  <c r="AT49" i="4"/>
  <c r="AU49" i="4"/>
  <c r="AV49" i="4"/>
  <c r="AW49" i="4"/>
  <c r="AX49" i="4"/>
  <c r="Q33" i="12"/>
  <c r="AS50" i="4"/>
  <c r="AT50" i="4"/>
  <c r="AU50" i="4"/>
  <c r="AV50" i="4"/>
  <c r="AW50" i="4"/>
  <c r="AX50" i="4"/>
  <c r="Q34" i="12"/>
  <c r="AS51" i="4"/>
  <c r="AT51" i="4"/>
  <c r="AU51" i="4"/>
  <c r="AV51" i="4"/>
  <c r="AW51" i="4"/>
  <c r="AX51" i="4"/>
  <c r="Q35" i="12"/>
  <c r="AS52" i="4"/>
  <c r="AT52" i="4"/>
  <c r="AU52" i="4"/>
  <c r="AV52" i="4"/>
  <c r="AW52" i="4"/>
  <c r="AX52" i="4"/>
  <c r="Q36" i="12"/>
  <c r="AS53" i="4"/>
  <c r="AT53" i="4"/>
  <c r="AU53" i="4"/>
  <c r="AV53" i="4"/>
  <c r="AW53" i="4"/>
  <c r="AX53" i="4"/>
  <c r="Q37" i="12"/>
  <c r="AS54" i="4"/>
  <c r="AT54" i="4"/>
  <c r="AU54" i="4"/>
  <c r="AV54" i="4"/>
  <c r="AW54" i="4"/>
  <c r="AX54" i="4"/>
  <c r="Q38" i="12"/>
  <c r="AS55" i="4"/>
  <c r="AT55" i="4"/>
  <c r="AU55" i="4"/>
  <c r="AV55" i="4"/>
  <c r="AW55" i="4"/>
  <c r="AX55" i="4"/>
  <c r="Q39" i="12"/>
  <c r="AS56" i="4"/>
  <c r="AT56" i="4"/>
  <c r="AU56" i="4"/>
  <c r="AV56" i="4"/>
  <c r="AW56" i="4"/>
  <c r="AX56" i="4"/>
  <c r="Q40" i="12"/>
  <c r="AS57" i="4"/>
  <c r="AT57" i="4"/>
  <c r="AU57" i="4"/>
  <c r="AV57" i="4"/>
  <c r="AW57" i="4"/>
  <c r="AX57" i="4"/>
  <c r="Q41" i="12"/>
  <c r="AS58" i="4"/>
  <c r="AT58" i="4"/>
  <c r="AU58" i="4"/>
  <c r="AV58" i="4"/>
  <c r="AW58" i="4"/>
  <c r="AX58" i="4"/>
  <c r="Q42" i="12"/>
  <c r="AS59" i="4"/>
  <c r="AT59" i="4"/>
  <c r="AU59" i="4"/>
  <c r="AV59" i="4"/>
  <c r="AW59" i="4"/>
  <c r="AX59" i="4"/>
  <c r="Q43" i="12"/>
  <c r="AS60" i="4"/>
  <c r="AT60" i="4"/>
  <c r="AU60" i="4"/>
  <c r="AV60" i="4"/>
  <c r="AW60" i="4"/>
  <c r="AX60" i="4"/>
  <c r="Q44" i="12"/>
  <c r="AS61" i="4"/>
  <c r="AT61" i="4"/>
  <c r="AU61" i="4"/>
  <c r="AV61" i="4"/>
  <c r="AW61" i="4"/>
  <c r="AX61" i="4"/>
  <c r="Q45" i="12"/>
  <c r="AS62" i="4"/>
  <c r="AT62" i="4"/>
  <c r="AU62" i="4"/>
  <c r="AV62" i="4"/>
  <c r="AW62" i="4"/>
  <c r="AX62" i="4"/>
  <c r="Q46" i="12"/>
  <c r="AS63" i="4"/>
  <c r="AT63" i="4"/>
  <c r="AU63" i="4"/>
  <c r="AV63" i="4"/>
  <c r="AW63" i="4"/>
  <c r="AX63" i="4"/>
  <c r="Q47" i="12"/>
  <c r="AS64" i="4"/>
  <c r="AT64" i="4"/>
  <c r="AU64" i="4"/>
  <c r="AV64" i="4"/>
  <c r="AW64" i="4"/>
  <c r="AX64" i="4"/>
  <c r="Q48" i="12"/>
  <c r="AS65" i="4"/>
  <c r="AT65" i="4"/>
  <c r="AU65" i="4"/>
  <c r="AV65" i="4"/>
  <c r="AW65" i="4"/>
  <c r="AX65" i="4"/>
  <c r="Q49" i="12"/>
  <c r="AS66" i="4"/>
  <c r="AT66" i="4"/>
  <c r="AU66" i="4"/>
  <c r="AV66" i="4"/>
  <c r="AW66" i="4"/>
  <c r="AX66" i="4"/>
  <c r="Q50" i="12"/>
  <c r="Q52" i="12"/>
  <c r="F84" i="7"/>
  <c r="F85" i="7"/>
  <c r="H80" i="7"/>
  <c r="G80" i="7"/>
  <c r="AQ21" i="4"/>
  <c r="AR21" i="4"/>
  <c r="P5" i="12"/>
  <c r="AQ22" i="4"/>
  <c r="AR22" i="4"/>
  <c r="P6" i="12"/>
  <c r="AQ23" i="4"/>
  <c r="AR23" i="4"/>
  <c r="P7" i="12"/>
  <c r="AQ24" i="4"/>
  <c r="AR24" i="4"/>
  <c r="P8" i="12"/>
  <c r="AQ25" i="4"/>
  <c r="AR25" i="4"/>
  <c r="P9" i="12"/>
  <c r="AQ26" i="4"/>
  <c r="AR26" i="4"/>
  <c r="P10" i="12"/>
  <c r="AQ27" i="4"/>
  <c r="AR27" i="4"/>
  <c r="P11" i="12"/>
  <c r="AQ28" i="4"/>
  <c r="AR28" i="4"/>
  <c r="P12" i="12"/>
  <c r="AQ29" i="4"/>
  <c r="AR29" i="4"/>
  <c r="P13" i="12"/>
  <c r="AQ30" i="4"/>
  <c r="AR30" i="4"/>
  <c r="P14" i="12"/>
  <c r="AQ31" i="4"/>
  <c r="AR31" i="4"/>
  <c r="P15" i="12"/>
  <c r="AQ32" i="4"/>
  <c r="AR32" i="4"/>
  <c r="P16" i="12"/>
  <c r="AQ33" i="4"/>
  <c r="AR33" i="4"/>
  <c r="P17" i="12"/>
  <c r="AQ34" i="4"/>
  <c r="AR34" i="4"/>
  <c r="P18" i="12"/>
  <c r="AQ35" i="4"/>
  <c r="AR35" i="4"/>
  <c r="P19" i="12"/>
  <c r="AQ36" i="4"/>
  <c r="AR36" i="4"/>
  <c r="P20" i="12"/>
  <c r="AQ37" i="4"/>
  <c r="AR37" i="4"/>
  <c r="P21" i="12"/>
  <c r="AQ38" i="4"/>
  <c r="AR38" i="4"/>
  <c r="P22" i="12"/>
  <c r="AQ39" i="4"/>
  <c r="AR39" i="4"/>
  <c r="P23" i="12"/>
  <c r="AQ40" i="4"/>
  <c r="AR40" i="4"/>
  <c r="P24" i="12"/>
  <c r="AQ41" i="4"/>
  <c r="AR41" i="4"/>
  <c r="P25" i="12"/>
  <c r="AQ42" i="4"/>
  <c r="AR42" i="4"/>
  <c r="P26" i="12"/>
  <c r="AQ43" i="4"/>
  <c r="AR43" i="4"/>
  <c r="P27" i="12"/>
  <c r="AQ44" i="4"/>
  <c r="AR44" i="4"/>
  <c r="P28" i="12"/>
  <c r="AQ45" i="4"/>
  <c r="AR45" i="4"/>
  <c r="P29" i="12"/>
  <c r="AQ46" i="4"/>
  <c r="AR46" i="4"/>
  <c r="P30" i="12"/>
  <c r="AQ47" i="4"/>
  <c r="AR47" i="4"/>
  <c r="P31" i="12"/>
  <c r="AQ48" i="4"/>
  <c r="AR48" i="4"/>
  <c r="P32" i="12"/>
  <c r="AQ49" i="4"/>
  <c r="AR49" i="4"/>
  <c r="P33" i="12"/>
  <c r="AQ50" i="4"/>
  <c r="AR50" i="4"/>
  <c r="P34" i="12"/>
  <c r="AQ51" i="4"/>
  <c r="AR51" i="4"/>
  <c r="P35" i="12"/>
  <c r="AQ52" i="4"/>
  <c r="AR52" i="4"/>
  <c r="P36" i="12"/>
  <c r="AQ53" i="4"/>
  <c r="AR53" i="4"/>
  <c r="P37" i="12"/>
  <c r="AQ54" i="4"/>
  <c r="AR54" i="4"/>
  <c r="P38" i="12"/>
  <c r="AQ55" i="4"/>
  <c r="AR55" i="4"/>
  <c r="P39" i="12"/>
  <c r="AQ56" i="4"/>
  <c r="AR56" i="4"/>
  <c r="P40" i="12"/>
  <c r="AQ57" i="4"/>
  <c r="AR57" i="4"/>
  <c r="P41" i="12"/>
  <c r="AQ58" i="4"/>
  <c r="AR58" i="4"/>
  <c r="P42" i="12"/>
  <c r="AQ59" i="4"/>
  <c r="AR59" i="4"/>
  <c r="P43" i="12"/>
  <c r="AQ60" i="4"/>
  <c r="AR60" i="4"/>
  <c r="P44" i="12"/>
  <c r="AQ61" i="4"/>
  <c r="AR61" i="4"/>
  <c r="P45" i="12"/>
  <c r="AQ62" i="4"/>
  <c r="AR62" i="4"/>
  <c r="P46" i="12"/>
  <c r="AQ63" i="4"/>
  <c r="AR63" i="4"/>
  <c r="P47" i="12"/>
  <c r="AQ64" i="4"/>
  <c r="AR64" i="4"/>
  <c r="P48" i="12"/>
  <c r="AQ65" i="4"/>
  <c r="AR65" i="4"/>
  <c r="P49" i="12"/>
  <c r="AQ66" i="4"/>
  <c r="AR66" i="4"/>
  <c r="P50" i="12"/>
  <c r="P52" i="12"/>
  <c r="F79" i="7"/>
  <c r="F80" i="7"/>
  <c r="H75" i="7"/>
  <c r="G75" i="7"/>
  <c r="AO21" i="4"/>
  <c r="AP21" i="4"/>
  <c r="O5" i="12"/>
  <c r="AO22" i="4"/>
  <c r="AP22" i="4"/>
  <c r="O6" i="12"/>
  <c r="AO23" i="4"/>
  <c r="AP23" i="4"/>
  <c r="O7" i="12"/>
  <c r="AO24" i="4"/>
  <c r="AP24" i="4"/>
  <c r="O8" i="12"/>
  <c r="AO25" i="4"/>
  <c r="AP25" i="4"/>
  <c r="O9" i="12"/>
  <c r="AO26" i="4"/>
  <c r="AP26" i="4"/>
  <c r="O10" i="12"/>
  <c r="AO27" i="4"/>
  <c r="AP27" i="4"/>
  <c r="O11" i="12"/>
  <c r="AO28" i="4"/>
  <c r="AP28" i="4"/>
  <c r="O12" i="12"/>
  <c r="AO29" i="4"/>
  <c r="AP29" i="4"/>
  <c r="O13" i="12"/>
  <c r="AO30" i="4"/>
  <c r="AP30" i="4"/>
  <c r="O14" i="12"/>
  <c r="AO31" i="4"/>
  <c r="AP31" i="4"/>
  <c r="O15" i="12"/>
  <c r="AO32" i="4"/>
  <c r="AP32" i="4"/>
  <c r="O16" i="12"/>
  <c r="AO33" i="4"/>
  <c r="AP33" i="4"/>
  <c r="O17" i="12"/>
  <c r="AO34" i="4"/>
  <c r="AP34" i="4"/>
  <c r="O18" i="12"/>
  <c r="AO35" i="4"/>
  <c r="AP35" i="4"/>
  <c r="O19" i="12"/>
  <c r="AO36" i="4"/>
  <c r="AP36" i="4"/>
  <c r="O20" i="12"/>
  <c r="AO37" i="4"/>
  <c r="AP37" i="4"/>
  <c r="O21" i="12"/>
  <c r="AO38" i="4"/>
  <c r="AP38" i="4"/>
  <c r="O22" i="12"/>
  <c r="AO39" i="4"/>
  <c r="AP39" i="4"/>
  <c r="O23" i="12"/>
  <c r="AO40" i="4"/>
  <c r="AP40" i="4"/>
  <c r="O24" i="12"/>
  <c r="AO41" i="4"/>
  <c r="AP41" i="4"/>
  <c r="O25" i="12"/>
  <c r="AO42" i="4"/>
  <c r="AP42" i="4"/>
  <c r="O26" i="12"/>
  <c r="AO43" i="4"/>
  <c r="AP43" i="4"/>
  <c r="O27" i="12"/>
  <c r="AO44" i="4"/>
  <c r="AP44" i="4"/>
  <c r="O28" i="12"/>
  <c r="AO45" i="4"/>
  <c r="AP45" i="4"/>
  <c r="O29" i="12"/>
  <c r="AO46" i="4"/>
  <c r="AP46" i="4"/>
  <c r="O30" i="12"/>
  <c r="AO47" i="4"/>
  <c r="AP47" i="4"/>
  <c r="O31" i="12"/>
  <c r="AO48" i="4"/>
  <c r="AP48" i="4"/>
  <c r="O32" i="12"/>
  <c r="AO49" i="4"/>
  <c r="AP49" i="4"/>
  <c r="O33" i="12"/>
  <c r="AO50" i="4"/>
  <c r="AP50" i="4"/>
  <c r="O34" i="12"/>
  <c r="AO51" i="4"/>
  <c r="AP51" i="4"/>
  <c r="O35" i="12"/>
  <c r="AO52" i="4"/>
  <c r="AP52" i="4"/>
  <c r="O36" i="12"/>
  <c r="AO53" i="4"/>
  <c r="AP53" i="4"/>
  <c r="O37" i="12"/>
  <c r="AO54" i="4"/>
  <c r="AP54" i="4"/>
  <c r="O38" i="12"/>
  <c r="AO55" i="4"/>
  <c r="AP55" i="4"/>
  <c r="O39" i="12"/>
  <c r="AO56" i="4"/>
  <c r="AP56" i="4"/>
  <c r="O40" i="12"/>
  <c r="AO57" i="4"/>
  <c r="AP57" i="4"/>
  <c r="O41" i="12"/>
  <c r="AO58" i="4"/>
  <c r="AP58" i="4"/>
  <c r="O42" i="12"/>
  <c r="AO59" i="4"/>
  <c r="AP59" i="4"/>
  <c r="O43" i="12"/>
  <c r="AO60" i="4"/>
  <c r="AP60" i="4"/>
  <c r="O44" i="12"/>
  <c r="AO61" i="4"/>
  <c r="AP61" i="4"/>
  <c r="O45" i="12"/>
  <c r="AO62" i="4"/>
  <c r="AP62" i="4"/>
  <c r="O46" i="12"/>
  <c r="AO63" i="4"/>
  <c r="AP63" i="4"/>
  <c r="O47" i="12"/>
  <c r="AO64" i="4"/>
  <c r="AP64" i="4"/>
  <c r="O48" i="12"/>
  <c r="AO65" i="4"/>
  <c r="AP65" i="4"/>
  <c r="O49" i="12"/>
  <c r="AO66" i="4"/>
  <c r="AP66" i="4"/>
  <c r="O50" i="12"/>
  <c r="O52" i="12"/>
  <c r="F74" i="7"/>
  <c r="F75" i="7"/>
  <c r="H70" i="7"/>
  <c r="G70" i="7"/>
  <c r="AM21" i="4"/>
  <c r="AN21" i="4"/>
  <c r="N5" i="12"/>
  <c r="AM22" i="4"/>
  <c r="AN22" i="4"/>
  <c r="N6" i="12"/>
  <c r="AM23" i="4"/>
  <c r="AN23" i="4"/>
  <c r="N7" i="12"/>
  <c r="AM24" i="4"/>
  <c r="AN24" i="4"/>
  <c r="N8" i="12"/>
  <c r="AM25" i="4"/>
  <c r="AN25" i="4"/>
  <c r="N9" i="12"/>
  <c r="AM26" i="4"/>
  <c r="AN26" i="4"/>
  <c r="N10" i="12"/>
  <c r="AM27" i="4"/>
  <c r="AN27" i="4"/>
  <c r="N11" i="12"/>
  <c r="AM28" i="4"/>
  <c r="AN28" i="4"/>
  <c r="N12" i="12"/>
  <c r="AM29" i="4"/>
  <c r="AN29" i="4"/>
  <c r="N13" i="12"/>
  <c r="AM30" i="4"/>
  <c r="AN30" i="4"/>
  <c r="N14" i="12"/>
  <c r="AM31" i="4"/>
  <c r="AN31" i="4"/>
  <c r="N15" i="12"/>
  <c r="AM32" i="4"/>
  <c r="AN32" i="4"/>
  <c r="N16" i="12"/>
  <c r="AM33" i="4"/>
  <c r="AN33" i="4"/>
  <c r="N17" i="12"/>
  <c r="AM34" i="4"/>
  <c r="AN34" i="4"/>
  <c r="N18" i="12"/>
  <c r="AM35" i="4"/>
  <c r="AN35" i="4"/>
  <c r="N19" i="12"/>
  <c r="AM36" i="4"/>
  <c r="AN36" i="4"/>
  <c r="N20" i="12"/>
  <c r="AM37" i="4"/>
  <c r="AN37" i="4"/>
  <c r="N21" i="12"/>
  <c r="AM38" i="4"/>
  <c r="AN38" i="4"/>
  <c r="N22" i="12"/>
  <c r="AM39" i="4"/>
  <c r="AN39" i="4"/>
  <c r="N23" i="12"/>
  <c r="AM40" i="4"/>
  <c r="AN40" i="4"/>
  <c r="N24" i="12"/>
  <c r="AM41" i="4"/>
  <c r="AN41" i="4"/>
  <c r="N25" i="12"/>
  <c r="AM42" i="4"/>
  <c r="AN42" i="4"/>
  <c r="N26" i="12"/>
  <c r="AM43" i="4"/>
  <c r="AN43" i="4"/>
  <c r="N27" i="12"/>
  <c r="AM44" i="4"/>
  <c r="AN44" i="4"/>
  <c r="N28" i="12"/>
  <c r="AM45" i="4"/>
  <c r="AN45" i="4"/>
  <c r="N29" i="12"/>
  <c r="AM46" i="4"/>
  <c r="AN46" i="4"/>
  <c r="N30" i="12"/>
  <c r="AM47" i="4"/>
  <c r="AN47" i="4"/>
  <c r="N31" i="12"/>
  <c r="AM48" i="4"/>
  <c r="AN48" i="4"/>
  <c r="N32" i="12"/>
  <c r="AM49" i="4"/>
  <c r="AN49" i="4"/>
  <c r="N33" i="12"/>
  <c r="AM50" i="4"/>
  <c r="AN50" i="4"/>
  <c r="N34" i="12"/>
  <c r="AM51" i="4"/>
  <c r="AN51" i="4"/>
  <c r="N35" i="12"/>
  <c r="AM52" i="4"/>
  <c r="AN52" i="4"/>
  <c r="N36" i="12"/>
  <c r="AM53" i="4"/>
  <c r="AN53" i="4"/>
  <c r="N37" i="12"/>
  <c r="AM54" i="4"/>
  <c r="AN54" i="4"/>
  <c r="N38" i="12"/>
  <c r="AM55" i="4"/>
  <c r="AN55" i="4"/>
  <c r="N39" i="12"/>
  <c r="AM56" i="4"/>
  <c r="AN56" i="4"/>
  <c r="N40" i="12"/>
  <c r="AM57" i="4"/>
  <c r="AN57" i="4"/>
  <c r="N41" i="12"/>
  <c r="AM58" i="4"/>
  <c r="AN58" i="4"/>
  <c r="N42" i="12"/>
  <c r="AM59" i="4"/>
  <c r="AN59" i="4"/>
  <c r="N43" i="12"/>
  <c r="AM60" i="4"/>
  <c r="AN60" i="4"/>
  <c r="N44" i="12"/>
  <c r="AM61" i="4"/>
  <c r="AN61" i="4"/>
  <c r="N45" i="12"/>
  <c r="AM62" i="4"/>
  <c r="AN62" i="4"/>
  <c r="N46" i="12"/>
  <c r="AM63" i="4"/>
  <c r="AN63" i="4"/>
  <c r="N47" i="12"/>
  <c r="AM64" i="4"/>
  <c r="AN64" i="4"/>
  <c r="N48" i="12"/>
  <c r="AM65" i="4"/>
  <c r="AN65" i="4"/>
  <c r="N49" i="12"/>
  <c r="AM66" i="4"/>
  <c r="AN66" i="4"/>
  <c r="N50" i="12"/>
  <c r="N52" i="12"/>
  <c r="F69" i="7"/>
  <c r="F70" i="7"/>
  <c r="H63" i="7"/>
  <c r="G63" i="7"/>
  <c r="AJ21" i="4"/>
  <c r="AK21" i="4"/>
  <c r="L5" i="12"/>
  <c r="AJ22" i="4"/>
  <c r="AK22" i="4"/>
  <c r="L6" i="12"/>
  <c r="AJ23" i="4"/>
  <c r="AK23" i="4"/>
  <c r="L7" i="12"/>
  <c r="AJ24" i="4"/>
  <c r="AK24" i="4"/>
  <c r="L8" i="12"/>
  <c r="AJ25" i="4"/>
  <c r="AK25" i="4"/>
  <c r="L9" i="12"/>
  <c r="AJ26" i="4"/>
  <c r="AK26" i="4"/>
  <c r="L10" i="12"/>
  <c r="AJ27" i="4"/>
  <c r="AK27" i="4"/>
  <c r="L11" i="12"/>
  <c r="AJ28" i="4"/>
  <c r="AK28" i="4"/>
  <c r="L12" i="12"/>
  <c r="AJ29" i="4"/>
  <c r="AK29" i="4"/>
  <c r="L13" i="12"/>
  <c r="AJ30" i="4"/>
  <c r="AK30" i="4"/>
  <c r="L14" i="12"/>
  <c r="AJ31" i="4"/>
  <c r="AK31" i="4"/>
  <c r="L15" i="12"/>
  <c r="AJ32" i="4"/>
  <c r="AK32" i="4"/>
  <c r="L16" i="12"/>
  <c r="AJ33" i="4"/>
  <c r="AK33" i="4"/>
  <c r="L17" i="12"/>
  <c r="AJ34" i="4"/>
  <c r="AK34" i="4"/>
  <c r="L18" i="12"/>
  <c r="AJ35" i="4"/>
  <c r="AK35" i="4"/>
  <c r="L19" i="12"/>
  <c r="AJ36" i="4"/>
  <c r="AK36" i="4"/>
  <c r="L20" i="12"/>
  <c r="AJ37" i="4"/>
  <c r="AK37" i="4"/>
  <c r="L21" i="12"/>
  <c r="AJ38" i="4"/>
  <c r="AK38" i="4"/>
  <c r="L22" i="12"/>
  <c r="AJ39" i="4"/>
  <c r="AK39" i="4"/>
  <c r="L23" i="12"/>
  <c r="AJ40" i="4"/>
  <c r="AK40" i="4"/>
  <c r="L24" i="12"/>
  <c r="AJ41" i="4"/>
  <c r="AK41" i="4"/>
  <c r="L25" i="12"/>
  <c r="AJ42" i="4"/>
  <c r="AK42" i="4"/>
  <c r="L26" i="12"/>
  <c r="AJ43" i="4"/>
  <c r="AK43" i="4"/>
  <c r="L27" i="12"/>
  <c r="AJ44" i="4"/>
  <c r="AK44" i="4"/>
  <c r="L28" i="12"/>
  <c r="AJ45" i="4"/>
  <c r="AK45" i="4"/>
  <c r="L29" i="12"/>
  <c r="AJ46" i="4"/>
  <c r="AK46" i="4"/>
  <c r="L30" i="12"/>
  <c r="AJ47" i="4"/>
  <c r="AK47" i="4"/>
  <c r="L31" i="12"/>
  <c r="AJ48" i="4"/>
  <c r="AK48" i="4"/>
  <c r="L32" i="12"/>
  <c r="AJ49" i="4"/>
  <c r="AK49" i="4"/>
  <c r="L33" i="12"/>
  <c r="AJ50" i="4"/>
  <c r="AK50" i="4"/>
  <c r="L34" i="12"/>
  <c r="AJ51" i="4"/>
  <c r="AK51" i="4"/>
  <c r="L35" i="12"/>
  <c r="AJ52" i="4"/>
  <c r="AK52" i="4"/>
  <c r="L36" i="12"/>
  <c r="AJ53" i="4"/>
  <c r="AK53" i="4"/>
  <c r="L37" i="12"/>
  <c r="AJ54" i="4"/>
  <c r="AK54" i="4"/>
  <c r="L38" i="12"/>
  <c r="AJ55" i="4"/>
  <c r="AK55" i="4"/>
  <c r="L39" i="12"/>
  <c r="AJ56" i="4"/>
  <c r="AK56" i="4"/>
  <c r="L40" i="12"/>
  <c r="AJ57" i="4"/>
  <c r="AK57" i="4"/>
  <c r="L41" i="12"/>
  <c r="AJ58" i="4"/>
  <c r="AK58" i="4"/>
  <c r="L42" i="12"/>
  <c r="AJ59" i="4"/>
  <c r="AK59" i="4"/>
  <c r="L43" i="12"/>
  <c r="AJ60" i="4"/>
  <c r="AK60" i="4"/>
  <c r="L44" i="12"/>
  <c r="AJ61" i="4"/>
  <c r="AK61" i="4"/>
  <c r="L45" i="12"/>
  <c r="AJ62" i="4"/>
  <c r="AK62" i="4"/>
  <c r="L46" i="12"/>
  <c r="AJ63" i="4"/>
  <c r="AK63" i="4"/>
  <c r="L47" i="12"/>
  <c r="AJ64" i="4"/>
  <c r="AK64" i="4"/>
  <c r="L48" i="12"/>
  <c r="AJ65" i="4"/>
  <c r="AK65" i="4"/>
  <c r="L49" i="12"/>
  <c r="AJ66" i="4"/>
  <c r="AK66" i="4"/>
  <c r="L50" i="12"/>
  <c r="L52" i="12"/>
  <c r="F62" i="7"/>
  <c r="F63" i="7"/>
  <c r="H54" i="7"/>
  <c r="G54" i="7"/>
  <c r="AF21" i="4"/>
  <c r="AG21" i="4"/>
  <c r="AH21" i="4"/>
  <c r="AI21" i="4"/>
  <c r="K5" i="12"/>
  <c r="AF22" i="4"/>
  <c r="AG22" i="4"/>
  <c r="AH22" i="4"/>
  <c r="AI22" i="4"/>
  <c r="K6" i="12"/>
  <c r="AF23" i="4"/>
  <c r="AG23" i="4"/>
  <c r="AH23" i="4"/>
  <c r="AI23" i="4"/>
  <c r="K7" i="12"/>
  <c r="AF24" i="4"/>
  <c r="AG24" i="4"/>
  <c r="AH24" i="4"/>
  <c r="AI24" i="4"/>
  <c r="K8" i="12"/>
  <c r="AF25" i="4"/>
  <c r="AG25" i="4"/>
  <c r="AH25" i="4"/>
  <c r="AI25" i="4"/>
  <c r="K9" i="12"/>
  <c r="AF26" i="4"/>
  <c r="AG26" i="4"/>
  <c r="AH26" i="4"/>
  <c r="AI26" i="4"/>
  <c r="K10" i="12"/>
  <c r="AF27" i="4"/>
  <c r="AG27" i="4"/>
  <c r="AH27" i="4"/>
  <c r="AI27" i="4"/>
  <c r="K11" i="12"/>
  <c r="AF28" i="4"/>
  <c r="AG28" i="4"/>
  <c r="AH28" i="4"/>
  <c r="AI28" i="4"/>
  <c r="K12" i="12"/>
  <c r="AF29" i="4"/>
  <c r="AG29" i="4"/>
  <c r="AH29" i="4"/>
  <c r="AI29" i="4"/>
  <c r="K13" i="12"/>
  <c r="AF30" i="4"/>
  <c r="AG30" i="4"/>
  <c r="AH30" i="4"/>
  <c r="AI30" i="4"/>
  <c r="K14" i="12"/>
  <c r="AF31" i="4"/>
  <c r="AG31" i="4"/>
  <c r="AH31" i="4"/>
  <c r="AI31" i="4"/>
  <c r="K15" i="12"/>
  <c r="AF32" i="4"/>
  <c r="AG32" i="4"/>
  <c r="AH32" i="4"/>
  <c r="AI32" i="4"/>
  <c r="K16" i="12"/>
  <c r="AF33" i="4"/>
  <c r="AG33" i="4"/>
  <c r="AH33" i="4"/>
  <c r="AI33" i="4"/>
  <c r="K17" i="12"/>
  <c r="AF34" i="4"/>
  <c r="AG34" i="4"/>
  <c r="AH34" i="4"/>
  <c r="AI34" i="4"/>
  <c r="K18" i="12"/>
  <c r="AF35" i="4"/>
  <c r="AG35" i="4"/>
  <c r="AH35" i="4"/>
  <c r="AI35" i="4"/>
  <c r="K19" i="12"/>
  <c r="AF36" i="4"/>
  <c r="AG36" i="4"/>
  <c r="AH36" i="4"/>
  <c r="AI36" i="4"/>
  <c r="K20" i="12"/>
  <c r="AF37" i="4"/>
  <c r="AG37" i="4"/>
  <c r="AH37" i="4"/>
  <c r="AI37" i="4"/>
  <c r="K21" i="12"/>
  <c r="AF38" i="4"/>
  <c r="AG38" i="4"/>
  <c r="AH38" i="4"/>
  <c r="AI38" i="4"/>
  <c r="K22" i="12"/>
  <c r="AF39" i="4"/>
  <c r="AG39" i="4"/>
  <c r="AH39" i="4"/>
  <c r="AI39" i="4"/>
  <c r="K23" i="12"/>
  <c r="AF40" i="4"/>
  <c r="AG40" i="4"/>
  <c r="AH40" i="4"/>
  <c r="AI40" i="4"/>
  <c r="K24" i="12"/>
  <c r="AF41" i="4"/>
  <c r="AG41" i="4"/>
  <c r="AH41" i="4"/>
  <c r="AI41" i="4"/>
  <c r="K25" i="12"/>
  <c r="AF42" i="4"/>
  <c r="AG42" i="4"/>
  <c r="AH42" i="4"/>
  <c r="AI42" i="4"/>
  <c r="K26" i="12"/>
  <c r="AF43" i="4"/>
  <c r="AG43" i="4"/>
  <c r="AH43" i="4"/>
  <c r="AI43" i="4"/>
  <c r="K27" i="12"/>
  <c r="AF44" i="4"/>
  <c r="AG44" i="4"/>
  <c r="AH44" i="4"/>
  <c r="AI44" i="4"/>
  <c r="K28" i="12"/>
  <c r="AF45" i="4"/>
  <c r="AG45" i="4"/>
  <c r="AH45" i="4"/>
  <c r="AI45" i="4"/>
  <c r="K29" i="12"/>
  <c r="AF46" i="4"/>
  <c r="AG46" i="4"/>
  <c r="AH46" i="4"/>
  <c r="AI46" i="4"/>
  <c r="K30" i="12"/>
  <c r="AF47" i="4"/>
  <c r="AG47" i="4"/>
  <c r="AH47" i="4"/>
  <c r="AI47" i="4"/>
  <c r="K31" i="12"/>
  <c r="AF48" i="4"/>
  <c r="AG48" i="4"/>
  <c r="AH48" i="4"/>
  <c r="AI48" i="4"/>
  <c r="K32" i="12"/>
  <c r="AF49" i="4"/>
  <c r="AG49" i="4"/>
  <c r="AH49" i="4"/>
  <c r="AI49" i="4"/>
  <c r="K33" i="12"/>
  <c r="AF50" i="4"/>
  <c r="AG50" i="4"/>
  <c r="AH50" i="4"/>
  <c r="AI50" i="4"/>
  <c r="K34" i="12"/>
  <c r="AF51" i="4"/>
  <c r="AG51" i="4"/>
  <c r="AH51" i="4"/>
  <c r="AI51" i="4"/>
  <c r="K35" i="12"/>
  <c r="AF52" i="4"/>
  <c r="AG52" i="4"/>
  <c r="AH52" i="4"/>
  <c r="AI52" i="4"/>
  <c r="K36" i="12"/>
  <c r="AF53" i="4"/>
  <c r="AG53" i="4"/>
  <c r="AH53" i="4"/>
  <c r="AI53" i="4"/>
  <c r="K37" i="12"/>
  <c r="AF54" i="4"/>
  <c r="AG54" i="4"/>
  <c r="AH54" i="4"/>
  <c r="AI54" i="4"/>
  <c r="K38" i="12"/>
  <c r="AF55" i="4"/>
  <c r="AG55" i="4"/>
  <c r="AH55" i="4"/>
  <c r="AI55" i="4"/>
  <c r="K39" i="12"/>
  <c r="AF56" i="4"/>
  <c r="AG56" i="4"/>
  <c r="AH56" i="4"/>
  <c r="AI56" i="4"/>
  <c r="K40" i="12"/>
  <c r="AF57" i="4"/>
  <c r="AG57" i="4"/>
  <c r="AH57" i="4"/>
  <c r="AI57" i="4"/>
  <c r="K41" i="12"/>
  <c r="AF58" i="4"/>
  <c r="AG58" i="4"/>
  <c r="AH58" i="4"/>
  <c r="AI58" i="4"/>
  <c r="K42" i="12"/>
  <c r="AF59" i="4"/>
  <c r="AG59" i="4"/>
  <c r="AH59" i="4"/>
  <c r="AI59" i="4"/>
  <c r="K43" i="12"/>
  <c r="AF60" i="4"/>
  <c r="AG60" i="4"/>
  <c r="AH60" i="4"/>
  <c r="AI60" i="4"/>
  <c r="K44" i="12"/>
  <c r="AF61" i="4"/>
  <c r="AG61" i="4"/>
  <c r="AH61" i="4"/>
  <c r="AI61" i="4"/>
  <c r="K45" i="12"/>
  <c r="AF62" i="4"/>
  <c r="AG62" i="4"/>
  <c r="AH62" i="4"/>
  <c r="AI62" i="4"/>
  <c r="K46" i="12"/>
  <c r="AF63" i="4"/>
  <c r="AG63" i="4"/>
  <c r="AH63" i="4"/>
  <c r="AI63" i="4"/>
  <c r="K47" i="12"/>
  <c r="AF64" i="4"/>
  <c r="AG64" i="4"/>
  <c r="AH64" i="4"/>
  <c r="AI64" i="4"/>
  <c r="K48" i="12"/>
  <c r="AF65" i="4"/>
  <c r="AG65" i="4"/>
  <c r="AH65" i="4"/>
  <c r="AI65" i="4"/>
  <c r="K49" i="12"/>
  <c r="AF66" i="4"/>
  <c r="AG66" i="4"/>
  <c r="AH66" i="4"/>
  <c r="AI66" i="4"/>
  <c r="K50" i="12"/>
  <c r="K52" i="12"/>
  <c r="F53" i="7"/>
  <c r="F54" i="7"/>
  <c r="H48" i="7"/>
  <c r="G48" i="7"/>
  <c r="AD21" i="4"/>
  <c r="AE21" i="4"/>
  <c r="J5" i="12"/>
  <c r="AD22" i="4"/>
  <c r="AE22" i="4"/>
  <c r="J6" i="12"/>
  <c r="AD23" i="4"/>
  <c r="AE23" i="4"/>
  <c r="J7" i="12"/>
  <c r="AD24" i="4"/>
  <c r="AE24" i="4"/>
  <c r="J8" i="12"/>
  <c r="AD25" i="4"/>
  <c r="AE25" i="4"/>
  <c r="J9" i="12"/>
  <c r="AD26" i="4"/>
  <c r="AE26" i="4"/>
  <c r="J10" i="12"/>
  <c r="AD27" i="4"/>
  <c r="AE27" i="4"/>
  <c r="J11" i="12"/>
  <c r="AD28" i="4"/>
  <c r="AE28" i="4"/>
  <c r="J12" i="12"/>
  <c r="AD29" i="4"/>
  <c r="AE29" i="4"/>
  <c r="J13" i="12"/>
  <c r="AD30" i="4"/>
  <c r="AE30" i="4"/>
  <c r="J14" i="12"/>
  <c r="AD31" i="4"/>
  <c r="AE31" i="4"/>
  <c r="J15" i="12"/>
  <c r="AD32" i="4"/>
  <c r="AE32" i="4"/>
  <c r="J16" i="12"/>
  <c r="AD33" i="4"/>
  <c r="AE33" i="4"/>
  <c r="J17" i="12"/>
  <c r="AD34" i="4"/>
  <c r="AE34" i="4"/>
  <c r="J18" i="12"/>
  <c r="AD35" i="4"/>
  <c r="AE35" i="4"/>
  <c r="J19" i="12"/>
  <c r="AD36" i="4"/>
  <c r="AE36" i="4"/>
  <c r="J20" i="12"/>
  <c r="AD37" i="4"/>
  <c r="AE37" i="4"/>
  <c r="J21" i="12"/>
  <c r="AD38" i="4"/>
  <c r="AE38" i="4"/>
  <c r="J22" i="12"/>
  <c r="AD39" i="4"/>
  <c r="AE39" i="4"/>
  <c r="J23" i="12"/>
  <c r="AD40" i="4"/>
  <c r="AE40" i="4"/>
  <c r="J24" i="12"/>
  <c r="AD41" i="4"/>
  <c r="AE41" i="4"/>
  <c r="J25" i="12"/>
  <c r="AD42" i="4"/>
  <c r="AE42" i="4"/>
  <c r="J26" i="12"/>
  <c r="AD43" i="4"/>
  <c r="AE43" i="4"/>
  <c r="J27" i="12"/>
  <c r="AD44" i="4"/>
  <c r="AE44" i="4"/>
  <c r="J28" i="12"/>
  <c r="AD45" i="4"/>
  <c r="AE45" i="4"/>
  <c r="J29" i="12"/>
  <c r="AD46" i="4"/>
  <c r="AE46" i="4"/>
  <c r="J30" i="12"/>
  <c r="AD47" i="4"/>
  <c r="AE47" i="4"/>
  <c r="J31" i="12"/>
  <c r="AD48" i="4"/>
  <c r="AE48" i="4"/>
  <c r="J32" i="12"/>
  <c r="AD49" i="4"/>
  <c r="AE49" i="4"/>
  <c r="J33" i="12"/>
  <c r="AD50" i="4"/>
  <c r="AE50" i="4"/>
  <c r="J34" i="12"/>
  <c r="AD51" i="4"/>
  <c r="AE51" i="4"/>
  <c r="J35" i="12"/>
  <c r="AD52" i="4"/>
  <c r="AE52" i="4"/>
  <c r="J36" i="12"/>
  <c r="AD53" i="4"/>
  <c r="AE53" i="4"/>
  <c r="J37" i="12"/>
  <c r="AD54" i="4"/>
  <c r="AE54" i="4"/>
  <c r="J38" i="12"/>
  <c r="AD55" i="4"/>
  <c r="AE55" i="4"/>
  <c r="J39" i="12"/>
  <c r="AD56" i="4"/>
  <c r="AE56" i="4"/>
  <c r="J40" i="12"/>
  <c r="AD57" i="4"/>
  <c r="AE57" i="4"/>
  <c r="J41" i="12"/>
  <c r="AD58" i="4"/>
  <c r="AE58" i="4"/>
  <c r="J42" i="12"/>
  <c r="AD59" i="4"/>
  <c r="AE59" i="4"/>
  <c r="J43" i="12"/>
  <c r="AD60" i="4"/>
  <c r="AE60" i="4"/>
  <c r="J44" i="12"/>
  <c r="AD61" i="4"/>
  <c r="AE61" i="4"/>
  <c r="J45" i="12"/>
  <c r="AD62" i="4"/>
  <c r="AE62" i="4"/>
  <c r="J46" i="12"/>
  <c r="AD63" i="4"/>
  <c r="AE63" i="4"/>
  <c r="J47" i="12"/>
  <c r="AD64" i="4"/>
  <c r="AE64" i="4"/>
  <c r="J48" i="12"/>
  <c r="AD65" i="4"/>
  <c r="AE65" i="4"/>
  <c r="J49" i="12"/>
  <c r="AD66" i="4"/>
  <c r="AE66" i="4"/>
  <c r="J50" i="12"/>
  <c r="J52" i="12"/>
  <c r="F47" i="7"/>
  <c r="F48" i="7"/>
  <c r="H43" i="7"/>
  <c r="G43" i="7"/>
  <c r="AB21" i="4"/>
  <c r="AC21" i="4"/>
  <c r="I5" i="12"/>
  <c r="AB22" i="4"/>
  <c r="AC22" i="4"/>
  <c r="I6" i="12"/>
  <c r="AB23" i="4"/>
  <c r="AC23" i="4"/>
  <c r="I7" i="12"/>
  <c r="AB24" i="4"/>
  <c r="AC24" i="4"/>
  <c r="I8" i="12"/>
  <c r="AB25" i="4"/>
  <c r="AC25" i="4"/>
  <c r="I9" i="12"/>
  <c r="AB26" i="4"/>
  <c r="AC26" i="4"/>
  <c r="I10" i="12"/>
  <c r="AB27" i="4"/>
  <c r="AC27" i="4"/>
  <c r="I11" i="12"/>
  <c r="AB28" i="4"/>
  <c r="AC28" i="4"/>
  <c r="I12" i="12"/>
  <c r="AB29" i="4"/>
  <c r="AC29" i="4"/>
  <c r="I13" i="12"/>
  <c r="AB30" i="4"/>
  <c r="AC30" i="4"/>
  <c r="I14" i="12"/>
  <c r="AB31" i="4"/>
  <c r="AC31" i="4"/>
  <c r="I15" i="12"/>
  <c r="AB32" i="4"/>
  <c r="AC32" i="4"/>
  <c r="I16" i="12"/>
  <c r="AB33" i="4"/>
  <c r="AC33" i="4"/>
  <c r="I17" i="12"/>
  <c r="AB34" i="4"/>
  <c r="AC34" i="4"/>
  <c r="I18" i="12"/>
  <c r="AB35" i="4"/>
  <c r="AC35" i="4"/>
  <c r="I19" i="12"/>
  <c r="AB36" i="4"/>
  <c r="AC36" i="4"/>
  <c r="I20" i="12"/>
  <c r="AB37" i="4"/>
  <c r="AC37" i="4"/>
  <c r="I21" i="12"/>
  <c r="AB38" i="4"/>
  <c r="AC38" i="4"/>
  <c r="I22" i="12"/>
  <c r="AB39" i="4"/>
  <c r="AC39" i="4"/>
  <c r="I23" i="12"/>
  <c r="AB40" i="4"/>
  <c r="AC40" i="4"/>
  <c r="I24" i="12"/>
  <c r="AB41" i="4"/>
  <c r="AC41" i="4"/>
  <c r="I25" i="12"/>
  <c r="AB42" i="4"/>
  <c r="AC42" i="4"/>
  <c r="I26" i="12"/>
  <c r="AB43" i="4"/>
  <c r="AC43" i="4"/>
  <c r="I27" i="12"/>
  <c r="AB44" i="4"/>
  <c r="AC44" i="4"/>
  <c r="I28" i="12"/>
  <c r="AB45" i="4"/>
  <c r="AC45" i="4"/>
  <c r="I29" i="12"/>
  <c r="AB46" i="4"/>
  <c r="AC46" i="4"/>
  <c r="I30" i="12"/>
  <c r="AB47" i="4"/>
  <c r="AC47" i="4"/>
  <c r="I31" i="12"/>
  <c r="AB48" i="4"/>
  <c r="AC48" i="4"/>
  <c r="I32" i="12"/>
  <c r="AB49" i="4"/>
  <c r="AC49" i="4"/>
  <c r="I33" i="12"/>
  <c r="AB50" i="4"/>
  <c r="AC50" i="4"/>
  <c r="I34" i="12"/>
  <c r="AB51" i="4"/>
  <c r="AC51" i="4"/>
  <c r="I35" i="12"/>
  <c r="AB52" i="4"/>
  <c r="AC52" i="4"/>
  <c r="I36" i="12"/>
  <c r="AB53" i="4"/>
  <c r="AC53" i="4"/>
  <c r="I37" i="12"/>
  <c r="AB54" i="4"/>
  <c r="AC54" i="4"/>
  <c r="I38" i="12"/>
  <c r="AB55" i="4"/>
  <c r="AC55" i="4"/>
  <c r="I39" i="12"/>
  <c r="AB56" i="4"/>
  <c r="AC56" i="4"/>
  <c r="I40" i="12"/>
  <c r="AB57" i="4"/>
  <c r="AC57" i="4"/>
  <c r="I41" i="12"/>
  <c r="AB58" i="4"/>
  <c r="AC58" i="4"/>
  <c r="I42" i="12"/>
  <c r="AB59" i="4"/>
  <c r="AC59" i="4"/>
  <c r="I43" i="12"/>
  <c r="AB60" i="4"/>
  <c r="AC60" i="4"/>
  <c r="I44" i="12"/>
  <c r="AB61" i="4"/>
  <c r="AC61" i="4"/>
  <c r="I45" i="12"/>
  <c r="AB62" i="4"/>
  <c r="AC62" i="4"/>
  <c r="I46" i="12"/>
  <c r="AB63" i="4"/>
  <c r="AC63" i="4"/>
  <c r="I47" i="12"/>
  <c r="AB64" i="4"/>
  <c r="AC64" i="4"/>
  <c r="I48" i="12"/>
  <c r="AB65" i="4"/>
  <c r="AC65" i="4"/>
  <c r="I49" i="12"/>
  <c r="AB66" i="4"/>
  <c r="AC66" i="4"/>
  <c r="I50" i="12"/>
  <c r="I52" i="12"/>
  <c r="F42" i="7"/>
  <c r="F43" i="7"/>
  <c r="H35" i="7"/>
  <c r="G35" i="7"/>
  <c r="Z21" i="4"/>
  <c r="AA21" i="4"/>
  <c r="H5" i="12"/>
  <c r="Z22" i="4"/>
  <c r="AA22" i="4"/>
  <c r="H6" i="12"/>
  <c r="Z23" i="4"/>
  <c r="AA23" i="4"/>
  <c r="H7" i="12"/>
  <c r="Z24" i="4"/>
  <c r="AA24" i="4"/>
  <c r="H8" i="12"/>
  <c r="Z25" i="4"/>
  <c r="AA25" i="4"/>
  <c r="H9" i="12"/>
  <c r="Z26" i="4"/>
  <c r="AA26" i="4"/>
  <c r="H10" i="12"/>
  <c r="Z27" i="4"/>
  <c r="AA27" i="4"/>
  <c r="H11" i="12"/>
  <c r="Z28" i="4"/>
  <c r="AA28" i="4"/>
  <c r="H12" i="12"/>
  <c r="Z29" i="4"/>
  <c r="AA29" i="4"/>
  <c r="H13" i="12"/>
  <c r="Z30" i="4"/>
  <c r="AA30" i="4"/>
  <c r="H14" i="12"/>
  <c r="Z31" i="4"/>
  <c r="AA31" i="4"/>
  <c r="H15" i="12"/>
  <c r="Z32" i="4"/>
  <c r="AA32" i="4"/>
  <c r="H16" i="12"/>
  <c r="Z33" i="4"/>
  <c r="AA33" i="4"/>
  <c r="H17" i="12"/>
  <c r="Z34" i="4"/>
  <c r="AA34" i="4"/>
  <c r="H18" i="12"/>
  <c r="Z35" i="4"/>
  <c r="AA35" i="4"/>
  <c r="H19" i="12"/>
  <c r="Z36" i="4"/>
  <c r="AA36" i="4"/>
  <c r="H20" i="12"/>
  <c r="Z37" i="4"/>
  <c r="AA37" i="4"/>
  <c r="H21" i="12"/>
  <c r="Z38" i="4"/>
  <c r="AA38" i="4"/>
  <c r="H22" i="12"/>
  <c r="Z39" i="4"/>
  <c r="AA39" i="4"/>
  <c r="H23" i="12"/>
  <c r="Z40" i="4"/>
  <c r="AA40" i="4"/>
  <c r="H24" i="12"/>
  <c r="Z41" i="4"/>
  <c r="AA41" i="4"/>
  <c r="H25" i="12"/>
  <c r="Z42" i="4"/>
  <c r="AA42" i="4"/>
  <c r="H26" i="12"/>
  <c r="Z43" i="4"/>
  <c r="AA43" i="4"/>
  <c r="H27" i="12"/>
  <c r="Z44" i="4"/>
  <c r="AA44" i="4"/>
  <c r="H28" i="12"/>
  <c r="Z45" i="4"/>
  <c r="AA45" i="4"/>
  <c r="H29" i="12"/>
  <c r="Z46" i="4"/>
  <c r="AA46" i="4"/>
  <c r="H30" i="12"/>
  <c r="Z47" i="4"/>
  <c r="AA47" i="4"/>
  <c r="H31" i="12"/>
  <c r="Z48" i="4"/>
  <c r="AA48" i="4"/>
  <c r="H32" i="12"/>
  <c r="Z49" i="4"/>
  <c r="AA49" i="4"/>
  <c r="H33" i="12"/>
  <c r="Z50" i="4"/>
  <c r="AA50" i="4"/>
  <c r="H34" i="12"/>
  <c r="Z51" i="4"/>
  <c r="AA51" i="4"/>
  <c r="H35" i="12"/>
  <c r="Z52" i="4"/>
  <c r="AA52" i="4"/>
  <c r="H36" i="12"/>
  <c r="Z53" i="4"/>
  <c r="AA53" i="4"/>
  <c r="H37" i="12"/>
  <c r="Z54" i="4"/>
  <c r="AA54" i="4"/>
  <c r="H38" i="12"/>
  <c r="Z55" i="4"/>
  <c r="AA55" i="4"/>
  <c r="H39" i="12"/>
  <c r="Z56" i="4"/>
  <c r="AA56" i="4"/>
  <c r="H40" i="12"/>
  <c r="Z57" i="4"/>
  <c r="AA57" i="4"/>
  <c r="H41" i="12"/>
  <c r="Z58" i="4"/>
  <c r="AA58" i="4"/>
  <c r="H42" i="12"/>
  <c r="Z59" i="4"/>
  <c r="AA59" i="4"/>
  <c r="H43" i="12"/>
  <c r="Z60" i="4"/>
  <c r="AA60" i="4"/>
  <c r="H44" i="12"/>
  <c r="Z61" i="4"/>
  <c r="AA61" i="4"/>
  <c r="H45" i="12"/>
  <c r="Z62" i="4"/>
  <c r="AA62" i="4"/>
  <c r="H46" i="12"/>
  <c r="Z63" i="4"/>
  <c r="AA63" i="4"/>
  <c r="H47" i="12"/>
  <c r="Z64" i="4"/>
  <c r="AA64" i="4"/>
  <c r="H48" i="12"/>
  <c r="Z65" i="4"/>
  <c r="AA65" i="4"/>
  <c r="H49" i="12"/>
  <c r="Z66" i="4"/>
  <c r="AA66" i="4"/>
  <c r="H50" i="12"/>
  <c r="H52" i="12"/>
  <c r="F34" i="7"/>
  <c r="F35" i="7"/>
  <c r="H25" i="7"/>
  <c r="G25" i="7"/>
  <c r="R21" i="4"/>
  <c r="S21" i="4"/>
  <c r="T21" i="4"/>
  <c r="U21" i="4"/>
  <c r="V21" i="4"/>
  <c r="W21" i="4"/>
  <c r="X21" i="4"/>
  <c r="Y21" i="4"/>
  <c r="G5" i="12"/>
  <c r="R22" i="4"/>
  <c r="S22" i="4"/>
  <c r="T22" i="4"/>
  <c r="U22" i="4"/>
  <c r="V22" i="4"/>
  <c r="W22" i="4"/>
  <c r="X22" i="4"/>
  <c r="Y22" i="4"/>
  <c r="G6" i="12"/>
  <c r="R23" i="4"/>
  <c r="S23" i="4"/>
  <c r="T23" i="4"/>
  <c r="U23" i="4"/>
  <c r="V23" i="4"/>
  <c r="W23" i="4"/>
  <c r="X23" i="4"/>
  <c r="Y23" i="4"/>
  <c r="G7" i="12"/>
  <c r="R24" i="4"/>
  <c r="S24" i="4"/>
  <c r="T24" i="4"/>
  <c r="U24" i="4"/>
  <c r="V24" i="4"/>
  <c r="W24" i="4"/>
  <c r="X24" i="4"/>
  <c r="Y24" i="4"/>
  <c r="G8" i="12"/>
  <c r="R25" i="4"/>
  <c r="S25" i="4"/>
  <c r="T25" i="4"/>
  <c r="U25" i="4"/>
  <c r="V25" i="4"/>
  <c r="W25" i="4"/>
  <c r="X25" i="4"/>
  <c r="Y25" i="4"/>
  <c r="G9" i="12"/>
  <c r="R26" i="4"/>
  <c r="S26" i="4"/>
  <c r="T26" i="4"/>
  <c r="U26" i="4"/>
  <c r="V26" i="4"/>
  <c r="W26" i="4"/>
  <c r="X26" i="4"/>
  <c r="Y26" i="4"/>
  <c r="G10" i="12"/>
  <c r="R27" i="4"/>
  <c r="S27" i="4"/>
  <c r="T27" i="4"/>
  <c r="U27" i="4"/>
  <c r="V27" i="4"/>
  <c r="W27" i="4"/>
  <c r="X27" i="4"/>
  <c r="Y27" i="4"/>
  <c r="G11" i="12"/>
  <c r="R28" i="4"/>
  <c r="S28" i="4"/>
  <c r="T28" i="4"/>
  <c r="U28" i="4"/>
  <c r="V28" i="4"/>
  <c r="W28" i="4"/>
  <c r="X28" i="4"/>
  <c r="Y28" i="4"/>
  <c r="G12" i="12"/>
  <c r="R29" i="4"/>
  <c r="S29" i="4"/>
  <c r="T29" i="4"/>
  <c r="U29" i="4"/>
  <c r="V29" i="4"/>
  <c r="W29" i="4"/>
  <c r="X29" i="4"/>
  <c r="Y29" i="4"/>
  <c r="G13" i="12"/>
  <c r="R30" i="4"/>
  <c r="S30" i="4"/>
  <c r="T30" i="4"/>
  <c r="U30" i="4"/>
  <c r="V30" i="4"/>
  <c r="W30" i="4"/>
  <c r="X30" i="4"/>
  <c r="Y30" i="4"/>
  <c r="G14" i="12"/>
  <c r="R31" i="4"/>
  <c r="S31" i="4"/>
  <c r="T31" i="4"/>
  <c r="U31" i="4"/>
  <c r="V31" i="4"/>
  <c r="W31" i="4"/>
  <c r="X31" i="4"/>
  <c r="Y31" i="4"/>
  <c r="G15" i="12"/>
  <c r="R32" i="4"/>
  <c r="S32" i="4"/>
  <c r="T32" i="4"/>
  <c r="U32" i="4"/>
  <c r="V32" i="4"/>
  <c r="W32" i="4"/>
  <c r="X32" i="4"/>
  <c r="Y32" i="4"/>
  <c r="G16" i="12"/>
  <c r="R33" i="4"/>
  <c r="S33" i="4"/>
  <c r="T33" i="4"/>
  <c r="U33" i="4"/>
  <c r="V33" i="4"/>
  <c r="W33" i="4"/>
  <c r="X33" i="4"/>
  <c r="Y33" i="4"/>
  <c r="G17" i="12"/>
  <c r="R34" i="4"/>
  <c r="S34" i="4"/>
  <c r="T34" i="4"/>
  <c r="U34" i="4"/>
  <c r="V34" i="4"/>
  <c r="W34" i="4"/>
  <c r="X34" i="4"/>
  <c r="Y34" i="4"/>
  <c r="G18" i="12"/>
  <c r="R35" i="4"/>
  <c r="S35" i="4"/>
  <c r="T35" i="4"/>
  <c r="U35" i="4"/>
  <c r="V35" i="4"/>
  <c r="W35" i="4"/>
  <c r="X35" i="4"/>
  <c r="Y35" i="4"/>
  <c r="G19" i="12"/>
  <c r="R36" i="4"/>
  <c r="S36" i="4"/>
  <c r="T36" i="4"/>
  <c r="U36" i="4"/>
  <c r="V36" i="4"/>
  <c r="W36" i="4"/>
  <c r="X36" i="4"/>
  <c r="Y36" i="4"/>
  <c r="G20" i="12"/>
  <c r="R37" i="4"/>
  <c r="S37" i="4"/>
  <c r="T37" i="4"/>
  <c r="U37" i="4"/>
  <c r="V37" i="4"/>
  <c r="W37" i="4"/>
  <c r="X37" i="4"/>
  <c r="Y37" i="4"/>
  <c r="G21" i="12"/>
  <c r="R38" i="4"/>
  <c r="S38" i="4"/>
  <c r="T38" i="4"/>
  <c r="U38" i="4"/>
  <c r="V38" i="4"/>
  <c r="W38" i="4"/>
  <c r="X38" i="4"/>
  <c r="Y38" i="4"/>
  <c r="G22" i="12"/>
  <c r="R39" i="4"/>
  <c r="S39" i="4"/>
  <c r="T39" i="4"/>
  <c r="U39" i="4"/>
  <c r="V39" i="4"/>
  <c r="W39" i="4"/>
  <c r="X39" i="4"/>
  <c r="Y39" i="4"/>
  <c r="G23" i="12"/>
  <c r="R40" i="4"/>
  <c r="S40" i="4"/>
  <c r="T40" i="4"/>
  <c r="U40" i="4"/>
  <c r="V40" i="4"/>
  <c r="W40" i="4"/>
  <c r="X40" i="4"/>
  <c r="Y40" i="4"/>
  <c r="G24" i="12"/>
  <c r="R41" i="4"/>
  <c r="S41" i="4"/>
  <c r="T41" i="4"/>
  <c r="U41" i="4"/>
  <c r="V41" i="4"/>
  <c r="W41" i="4"/>
  <c r="X41" i="4"/>
  <c r="Y41" i="4"/>
  <c r="G25" i="12"/>
  <c r="R42" i="4"/>
  <c r="S42" i="4"/>
  <c r="T42" i="4"/>
  <c r="U42" i="4"/>
  <c r="V42" i="4"/>
  <c r="W42" i="4"/>
  <c r="X42" i="4"/>
  <c r="Y42" i="4"/>
  <c r="G26" i="12"/>
  <c r="R43" i="4"/>
  <c r="S43" i="4"/>
  <c r="T43" i="4"/>
  <c r="U43" i="4"/>
  <c r="V43" i="4"/>
  <c r="W43" i="4"/>
  <c r="X43" i="4"/>
  <c r="Y43" i="4"/>
  <c r="G27" i="12"/>
  <c r="R44" i="4"/>
  <c r="S44" i="4"/>
  <c r="T44" i="4"/>
  <c r="U44" i="4"/>
  <c r="V44" i="4"/>
  <c r="W44" i="4"/>
  <c r="X44" i="4"/>
  <c r="Y44" i="4"/>
  <c r="G28" i="12"/>
  <c r="R45" i="4"/>
  <c r="S45" i="4"/>
  <c r="T45" i="4"/>
  <c r="U45" i="4"/>
  <c r="V45" i="4"/>
  <c r="W45" i="4"/>
  <c r="X45" i="4"/>
  <c r="Y45" i="4"/>
  <c r="G29" i="12"/>
  <c r="R46" i="4"/>
  <c r="S46" i="4"/>
  <c r="T46" i="4"/>
  <c r="U46" i="4"/>
  <c r="V46" i="4"/>
  <c r="W46" i="4"/>
  <c r="X46" i="4"/>
  <c r="Y46" i="4"/>
  <c r="G30" i="12"/>
  <c r="R47" i="4"/>
  <c r="S47" i="4"/>
  <c r="T47" i="4"/>
  <c r="U47" i="4"/>
  <c r="V47" i="4"/>
  <c r="W47" i="4"/>
  <c r="X47" i="4"/>
  <c r="Y47" i="4"/>
  <c r="G31" i="12"/>
  <c r="R48" i="4"/>
  <c r="S48" i="4"/>
  <c r="T48" i="4"/>
  <c r="U48" i="4"/>
  <c r="V48" i="4"/>
  <c r="W48" i="4"/>
  <c r="X48" i="4"/>
  <c r="Y48" i="4"/>
  <c r="G32" i="12"/>
  <c r="R49" i="4"/>
  <c r="S49" i="4"/>
  <c r="T49" i="4"/>
  <c r="U49" i="4"/>
  <c r="V49" i="4"/>
  <c r="W49" i="4"/>
  <c r="X49" i="4"/>
  <c r="Y49" i="4"/>
  <c r="G33" i="12"/>
  <c r="R50" i="4"/>
  <c r="S50" i="4"/>
  <c r="T50" i="4"/>
  <c r="U50" i="4"/>
  <c r="V50" i="4"/>
  <c r="W50" i="4"/>
  <c r="X50" i="4"/>
  <c r="Y50" i="4"/>
  <c r="G34" i="12"/>
  <c r="R51" i="4"/>
  <c r="S51" i="4"/>
  <c r="T51" i="4"/>
  <c r="U51" i="4"/>
  <c r="V51" i="4"/>
  <c r="W51" i="4"/>
  <c r="X51" i="4"/>
  <c r="Y51" i="4"/>
  <c r="G35" i="12"/>
  <c r="R52" i="4"/>
  <c r="S52" i="4"/>
  <c r="T52" i="4"/>
  <c r="U52" i="4"/>
  <c r="V52" i="4"/>
  <c r="W52" i="4"/>
  <c r="X52" i="4"/>
  <c r="Y52" i="4"/>
  <c r="G36" i="12"/>
  <c r="R53" i="4"/>
  <c r="S53" i="4"/>
  <c r="T53" i="4"/>
  <c r="U53" i="4"/>
  <c r="V53" i="4"/>
  <c r="W53" i="4"/>
  <c r="X53" i="4"/>
  <c r="Y53" i="4"/>
  <c r="G37" i="12"/>
  <c r="R54" i="4"/>
  <c r="S54" i="4"/>
  <c r="T54" i="4"/>
  <c r="U54" i="4"/>
  <c r="V54" i="4"/>
  <c r="W54" i="4"/>
  <c r="X54" i="4"/>
  <c r="Y54" i="4"/>
  <c r="G38" i="12"/>
  <c r="R55" i="4"/>
  <c r="S55" i="4"/>
  <c r="T55" i="4"/>
  <c r="U55" i="4"/>
  <c r="V55" i="4"/>
  <c r="W55" i="4"/>
  <c r="X55" i="4"/>
  <c r="Y55" i="4"/>
  <c r="G39" i="12"/>
  <c r="R56" i="4"/>
  <c r="S56" i="4"/>
  <c r="T56" i="4"/>
  <c r="U56" i="4"/>
  <c r="V56" i="4"/>
  <c r="W56" i="4"/>
  <c r="X56" i="4"/>
  <c r="Y56" i="4"/>
  <c r="G40" i="12"/>
  <c r="R57" i="4"/>
  <c r="S57" i="4"/>
  <c r="T57" i="4"/>
  <c r="U57" i="4"/>
  <c r="V57" i="4"/>
  <c r="W57" i="4"/>
  <c r="X57" i="4"/>
  <c r="Y57" i="4"/>
  <c r="G41" i="12"/>
  <c r="R58" i="4"/>
  <c r="S58" i="4"/>
  <c r="T58" i="4"/>
  <c r="U58" i="4"/>
  <c r="V58" i="4"/>
  <c r="W58" i="4"/>
  <c r="X58" i="4"/>
  <c r="Y58" i="4"/>
  <c r="G42" i="12"/>
  <c r="R59" i="4"/>
  <c r="S59" i="4"/>
  <c r="T59" i="4"/>
  <c r="U59" i="4"/>
  <c r="V59" i="4"/>
  <c r="W59" i="4"/>
  <c r="X59" i="4"/>
  <c r="Y59" i="4"/>
  <c r="G43" i="12"/>
  <c r="R60" i="4"/>
  <c r="S60" i="4"/>
  <c r="T60" i="4"/>
  <c r="U60" i="4"/>
  <c r="V60" i="4"/>
  <c r="W60" i="4"/>
  <c r="X60" i="4"/>
  <c r="Y60" i="4"/>
  <c r="G44" i="12"/>
  <c r="R61" i="4"/>
  <c r="S61" i="4"/>
  <c r="T61" i="4"/>
  <c r="U61" i="4"/>
  <c r="V61" i="4"/>
  <c r="W61" i="4"/>
  <c r="X61" i="4"/>
  <c r="Y61" i="4"/>
  <c r="G45" i="12"/>
  <c r="R62" i="4"/>
  <c r="S62" i="4"/>
  <c r="T62" i="4"/>
  <c r="U62" i="4"/>
  <c r="V62" i="4"/>
  <c r="W62" i="4"/>
  <c r="X62" i="4"/>
  <c r="Y62" i="4"/>
  <c r="G46" i="12"/>
  <c r="R63" i="4"/>
  <c r="S63" i="4"/>
  <c r="T63" i="4"/>
  <c r="U63" i="4"/>
  <c r="V63" i="4"/>
  <c r="W63" i="4"/>
  <c r="X63" i="4"/>
  <c r="Y63" i="4"/>
  <c r="G47" i="12"/>
  <c r="R64" i="4"/>
  <c r="S64" i="4"/>
  <c r="T64" i="4"/>
  <c r="U64" i="4"/>
  <c r="V64" i="4"/>
  <c r="W64" i="4"/>
  <c r="X64" i="4"/>
  <c r="Y64" i="4"/>
  <c r="G48" i="12"/>
  <c r="R65" i="4"/>
  <c r="S65" i="4"/>
  <c r="T65" i="4"/>
  <c r="U65" i="4"/>
  <c r="V65" i="4"/>
  <c r="W65" i="4"/>
  <c r="X65" i="4"/>
  <c r="Y65" i="4"/>
  <c r="G49" i="12"/>
  <c r="R66" i="4"/>
  <c r="S66" i="4"/>
  <c r="T66" i="4"/>
  <c r="U66" i="4"/>
  <c r="V66" i="4"/>
  <c r="W66" i="4"/>
  <c r="X66" i="4"/>
  <c r="Y66" i="4"/>
  <c r="G50" i="12"/>
  <c r="G52" i="12"/>
  <c r="F24" i="7"/>
  <c r="F25" i="7"/>
  <c r="H20" i="7"/>
  <c r="G20" i="7"/>
  <c r="J21" i="4"/>
  <c r="K21" i="4"/>
  <c r="L21" i="4"/>
  <c r="M21" i="4"/>
  <c r="N21" i="4"/>
  <c r="O21" i="4"/>
  <c r="P21" i="4"/>
  <c r="Q21" i="4"/>
  <c r="F5" i="12"/>
  <c r="J22" i="4"/>
  <c r="K22" i="4"/>
  <c r="L22" i="4"/>
  <c r="M22" i="4"/>
  <c r="N22" i="4"/>
  <c r="O22" i="4"/>
  <c r="P22" i="4"/>
  <c r="Q22" i="4"/>
  <c r="F6" i="12"/>
  <c r="J23" i="4"/>
  <c r="K23" i="4"/>
  <c r="L23" i="4"/>
  <c r="M23" i="4"/>
  <c r="N23" i="4"/>
  <c r="O23" i="4"/>
  <c r="P23" i="4"/>
  <c r="Q23" i="4"/>
  <c r="F7" i="12"/>
  <c r="J24" i="4"/>
  <c r="K24" i="4"/>
  <c r="L24" i="4"/>
  <c r="M24" i="4"/>
  <c r="N24" i="4"/>
  <c r="O24" i="4"/>
  <c r="P24" i="4"/>
  <c r="Q24" i="4"/>
  <c r="F8" i="12"/>
  <c r="J25" i="4"/>
  <c r="K25" i="4"/>
  <c r="L25" i="4"/>
  <c r="M25" i="4"/>
  <c r="N25" i="4"/>
  <c r="O25" i="4"/>
  <c r="P25" i="4"/>
  <c r="Q25" i="4"/>
  <c r="F9" i="12"/>
  <c r="J26" i="4"/>
  <c r="K26" i="4"/>
  <c r="L26" i="4"/>
  <c r="M26" i="4"/>
  <c r="N26" i="4"/>
  <c r="O26" i="4"/>
  <c r="P26" i="4"/>
  <c r="Q26" i="4"/>
  <c r="F10" i="12"/>
  <c r="J27" i="4"/>
  <c r="K27" i="4"/>
  <c r="L27" i="4"/>
  <c r="M27" i="4"/>
  <c r="N27" i="4"/>
  <c r="O27" i="4"/>
  <c r="P27" i="4"/>
  <c r="Q27" i="4"/>
  <c r="F11" i="12"/>
  <c r="J28" i="4"/>
  <c r="K28" i="4"/>
  <c r="L28" i="4"/>
  <c r="M28" i="4"/>
  <c r="N28" i="4"/>
  <c r="O28" i="4"/>
  <c r="P28" i="4"/>
  <c r="Q28" i="4"/>
  <c r="F12" i="12"/>
  <c r="J29" i="4"/>
  <c r="K29" i="4"/>
  <c r="L29" i="4"/>
  <c r="M29" i="4"/>
  <c r="N29" i="4"/>
  <c r="O29" i="4"/>
  <c r="P29" i="4"/>
  <c r="Q29" i="4"/>
  <c r="F13" i="12"/>
  <c r="J30" i="4"/>
  <c r="K30" i="4"/>
  <c r="L30" i="4"/>
  <c r="M30" i="4"/>
  <c r="N30" i="4"/>
  <c r="O30" i="4"/>
  <c r="P30" i="4"/>
  <c r="Q30" i="4"/>
  <c r="F14" i="12"/>
  <c r="J31" i="4"/>
  <c r="K31" i="4"/>
  <c r="L31" i="4"/>
  <c r="M31" i="4"/>
  <c r="N31" i="4"/>
  <c r="O31" i="4"/>
  <c r="P31" i="4"/>
  <c r="Q31" i="4"/>
  <c r="F15" i="12"/>
  <c r="J32" i="4"/>
  <c r="K32" i="4"/>
  <c r="L32" i="4"/>
  <c r="M32" i="4"/>
  <c r="N32" i="4"/>
  <c r="O32" i="4"/>
  <c r="P32" i="4"/>
  <c r="Q32" i="4"/>
  <c r="F16" i="12"/>
  <c r="J33" i="4"/>
  <c r="K33" i="4"/>
  <c r="L33" i="4"/>
  <c r="M33" i="4"/>
  <c r="N33" i="4"/>
  <c r="O33" i="4"/>
  <c r="P33" i="4"/>
  <c r="Q33" i="4"/>
  <c r="F17" i="12"/>
  <c r="J34" i="4"/>
  <c r="K34" i="4"/>
  <c r="L34" i="4"/>
  <c r="M34" i="4"/>
  <c r="N34" i="4"/>
  <c r="O34" i="4"/>
  <c r="P34" i="4"/>
  <c r="Q34" i="4"/>
  <c r="F18" i="12"/>
  <c r="J35" i="4"/>
  <c r="K35" i="4"/>
  <c r="L35" i="4"/>
  <c r="M35" i="4"/>
  <c r="N35" i="4"/>
  <c r="O35" i="4"/>
  <c r="P35" i="4"/>
  <c r="Q35" i="4"/>
  <c r="F19" i="12"/>
  <c r="J36" i="4"/>
  <c r="K36" i="4"/>
  <c r="L36" i="4"/>
  <c r="M36" i="4"/>
  <c r="N36" i="4"/>
  <c r="O36" i="4"/>
  <c r="P36" i="4"/>
  <c r="Q36" i="4"/>
  <c r="F20" i="12"/>
  <c r="J37" i="4"/>
  <c r="K37" i="4"/>
  <c r="L37" i="4"/>
  <c r="M37" i="4"/>
  <c r="N37" i="4"/>
  <c r="O37" i="4"/>
  <c r="P37" i="4"/>
  <c r="Q37" i="4"/>
  <c r="F21" i="12"/>
  <c r="J38" i="4"/>
  <c r="K38" i="4"/>
  <c r="L38" i="4"/>
  <c r="M38" i="4"/>
  <c r="N38" i="4"/>
  <c r="O38" i="4"/>
  <c r="P38" i="4"/>
  <c r="Q38" i="4"/>
  <c r="F22" i="12"/>
  <c r="J39" i="4"/>
  <c r="K39" i="4"/>
  <c r="L39" i="4"/>
  <c r="M39" i="4"/>
  <c r="N39" i="4"/>
  <c r="O39" i="4"/>
  <c r="P39" i="4"/>
  <c r="Q39" i="4"/>
  <c r="F23" i="12"/>
  <c r="J40" i="4"/>
  <c r="K40" i="4"/>
  <c r="L40" i="4"/>
  <c r="M40" i="4"/>
  <c r="N40" i="4"/>
  <c r="O40" i="4"/>
  <c r="P40" i="4"/>
  <c r="Q40" i="4"/>
  <c r="F24" i="12"/>
  <c r="J41" i="4"/>
  <c r="K41" i="4"/>
  <c r="L41" i="4"/>
  <c r="M41" i="4"/>
  <c r="N41" i="4"/>
  <c r="O41" i="4"/>
  <c r="P41" i="4"/>
  <c r="Q41" i="4"/>
  <c r="F25" i="12"/>
  <c r="J42" i="4"/>
  <c r="K42" i="4"/>
  <c r="L42" i="4"/>
  <c r="M42" i="4"/>
  <c r="N42" i="4"/>
  <c r="O42" i="4"/>
  <c r="P42" i="4"/>
  <c r="Q42" i="4"/>
  <c r="F26" i="12"/>
  <c r="J43" i="4"/>
  <c r="K43" i="4"/>
  <c r="L43" i="4"/>
  <c r="M43" i="4"/>
  <c r="N43" i="4"/>
  <c r="O43" i="4"/>
  <c r="P43" i="4"/>
  <c r="Q43" i="4"/>
  <c r="F27" i="12"/>
  <c r="J44" i="4"/>
  <c r="K44" i="4"/>
  <c r="L44" i="4"/>
  <c r="M44" i="4"/>
  <c r="N44" i="4"/>
  <c r="O44" i="4"/>
  <c r="P44" i="4"/>
  <c r="Q44" i="4"/>
  <c r="F28" i="12"/>
  <c r="J45" i="4"/>
  <c r="K45" i="4"/>
  <c r="L45" i="4"/>
  <c r="M45" i="4"/>
  <c r="N45" i="4"/>
  <c r="O45" i="4"/>
  <c r="P45" i="4"/>
  <c r="Q45" i="4"/>
  <c r="F29" i="12"/>
  <c r="J46" i="4"/>
  <c r="K46" i="4"/>
  <c r="L46" i="4"/>
  <c r="M46" i="4"/>
  <c r="N46" i="4"/>
  <c r="O46" i="4"/>
  <c r="P46" i="4"/>
  <c r="Q46" i="4"/>
  <c r="F30" i="12"/>
  <c r="J47" i="4"/>
  <c r="K47" i="4"/>
  <c r="L47" i="4"/>
  <c r="M47" i="4"/>
  <c r="N47" i="4"/>
  <c r="O47" i="4"/>
  <c r="P47" i="4"/>
  <c r="Q47" i="4"/>
  <c r="F31" i="12"/>
  <c r="J48" i="4"/>
  <c r="K48" i="4"/>
  <c r="L48" i="4"/>
  <c r="M48" i="4"/>
  <c r="N48" i="4"/>
  <c r="O48" i="4"/>
  <c r="P48" i="4"/>
  <c r="Q48" i="4"/>
  <c r="F32" i="12"/>
  <c r="J49" i="4"/>
  <c r="K49" i="4"/>
  <c r="L49" i="4"/>
  <c r="M49" i="4"/>
  <c r="N49" i="4"/>
  <c r="O49" i="4"/>
  <c r="P49" i="4"/>
  <c r="Q49" i="4"/>
  <c r="F33" i="12"/>
  <c r="J50" i="4"/>
  <c r="K50" i="4"/>
  <c r="L50" i="4"/>
  <c r="M50" i="4"/>
  <c r="N50" i="4"/>
  <c r="O50" i="4"/>
  <c r="P50" i="4"/>
  <c r="Q50" i="4"/>
  <c r="F34" i="12"/>
  <c r="J51" i="4"/>
  <c r="K51" i="4"/>
  <c r="L51" i="4"/>
  <c r="M51" i="4"/>
  <c r="N51" i="4"/>
  <c r="O51" i="4"/>
  <c r="P51" i="4"/>
  <c r="Q51" i="4"/>
  <c r="F35" i="12"/>
  <c r="J52" i="4"/>
  <c r="K52" i="4"/>
  <c r="L52" i="4"/>
  <c r="M52" i="4"/>
  <c r="N52" i="4"/>
  <c r="O52" i="4"/>
  <c r="P52" i="4"/>
  <c r="Q52" i="4"/>
  <c r="F36" i="12"/>
  <c r="J53" i="4"/>
  <c r="K53" i="4"/>
  <c r="L53" i="4"/>
  <c r="M53" i="4"/>
  <c r="N53" i="4"/>
  <c r="O53" i="4"/>
  <c r="P53" i="4"/>
  <c r="Q53" i="4"/>
  <c r="F37" i="12"/>
  <c r="J54" i="4"/>
  <c r="K54" i="4"/>
  <c r="L54" i="4"/>
  <c r="M54" i="4"/>
  <c r="N54" i="4"/>
  <c r="O54" i="4"/>
  <c r="P54" i="4"/>
  <c r="Q54" i="4"/>
  <c r="F38" i="12"/>
  <c r="J55" i="4"/>
  <c r="K55" i="4"/>
  <c r="L55" i="4"/>
  <c r="M55" i="4"/>
  <c r="N55" i="4"/>
  <c r="O55" i="4"/>
  <c r="P55" i="4"/>
  <c r="Q55" i="4"/>
  <c r="F39" i="12"/>
  <c r="J56" i="4"/>
  <c r="K56" i="4"/>
  <c r="L56" i="4"/>
  <c r="M56" i="4"/>
  <c r="N56" i="4"/>
  <c r="O56" i="4"/>
  <c r="P56" i="4"/>
  <c r="Q56" i="4"/>
  <c r="F40" i="12"/>
  <c r="J57" i="4"/>
  <c r="K57" i="4"/>
  <c r="L57" i="4"/>
  <c r="M57" i="4"/>
  <c r="N57" i="4"/>
  <c r="O57" i="4"/>
  <c r="P57" i="4"/>
  <c r="Q57" i="4"/>
  <c r="F41" i="12"/>
  <c r="J58" i="4"/>
  <c r="K58" i="4"/>
  <c r="L58" i="4"/>
  <c r="M58" i="4"/>
  <c r="N58" i="4"/>
  <c r="O58" i="4"/>
  <c r="P58" i="4"/>
  <c r="Q58" i="4"/>
  <c r="F42" i="12"/>
  <c r="J59" i="4"/>
  <c r="K59" i="4"/>
  <c r="L59" i="4"/>
  <c r="M59" i="4"/>
  <c r="N59" i="4"/>
  <c r="O59" i="4"/>
  <c r="P59" i="4"/>
  <c r="Q59" i="4"/>
  <c r="F43" i="12"/>
  <c r="J60" i="4"/>
  <c r="K60" i="4"/>
  <c r="L60" i="4"/>
  <c r="M60" i="4"/>
  <c r="N60" i="4"/>
  <c r="O60" i="4"/>
  <c r="P60" i="4"/>
  <c r="Q60" i="4"/>
  <c r="F44" i="12"/>
  <c r="J61" i="4"/>
  <c r="K61" i="4"/>
  <c r="L61" i="4"/>
  <c r="M61" i="4"/>
  <c r="N61" i="4"/>
  <c r="O61" i="4"/>
  <c r="P61" i="4"/>
  <c r="Q61" i="4"/>
  <c r="F45" i="12"/>
  <c r="J62" i="4"/>
  <c r="K62" i="4"/>
  <c r="L62" i="4"/>
  <c r="M62" i="4"/>
  <c r="N62" i="4"/>
  <c r="O62" i="4"/>
  <c r="P62" i="4"/>
  <c r="Q62" i="4"/>
  <c r="F46" i="12"/>
  <c r="J63" i="4"/>
  <c r="K63" i="4"/>
  <c r="L63" i="4"/>
  <c r="M63" i="4"/>
  <c r="N63" i="4"/>
  <c r="O63" i="4"/>
  <c r="P63" i="4"/>
  <c r="Q63" i="4"/>
  <c r="F47" i="12"/>
  <c r="J64" i="4"/>
  <c r="K64" i="4"/>
  <c r="L64" i="4"/>
  <c r="M64" i="4"/>
  <c r="N64" i="4"/>
  <c r="O64" i="4"/>
  <c r="P64" i="4"/>
  <c r="Q64" i="4"/>
  <c r="F48" i="12"/>
  <c r="J65" i="4"/>
  <c r="K65" i="4"/>
  <c r="L65" i="4"/>
  <c r="M65" i="4"/>
  <c r="N65" i="4"/>
  <c r="O65" i="4"/>
  <c r="P65" i="4"/>
  <c r="Q65" i="4"/>
  <c r="F49" i="12"/>
  <c r="J66" i="4"/>
  <c r="K66" i="4"/>
  <c r="L66" i="4"/>
  <c r="M66" i="4"/>
  <c r="N66" i="4"/>
  <c r="O66" i="4"/>
  <c r="P66" i="4"/>
  <c r="Q66" i="4"/>
  <c r="F50" i="12"/>
  <c r="F52" i="12"/>
  <c r="F19" i="7"/>
  <c r="F20" i="7"/>
  <c r="H16" i="7"/>
  <c r="G16" i="7"/>
  <c r="H21" i="4"/>
  <c r="I21" i="4"/>
  <c r="E5" i="12"/>
  <c r="H22" i="4"/>
  <c r="I22" i="4"/>
  <c r="E6" i="12"/>
  <c r="H23" i="4"/>
  <c r="I23" i="4"/>
  <c r="E7" i="12"/>
  <c r="H24" i="4"/>
  <c r="I24" i="4"/>
  <c r="E8" i="12"/>
  <c r="H25" i="4"/>
  <c r="I25" i="4"/>
  <c r="E9" i="12"/>
  <c r="H26" i="4"/>
  <c r="I26" i="4"/>
  <c r="E10" i="12"/>
  <c r="H27" i="4"/>
  <c r="I27" i="4"/>
  <c r="E11" i="12"/>
  <c r="H28" i="4"/>
  <c r="I28" i="4"/>
  <c r="E12" i="12"/>
  <c r="H29" i="4"/>
  <c r="I29" i="4"/>
  <c r="E13" i="12"/>
  <c r="H30" i="4"/>
  <c r="I30" i="4"/>
  <c r="E14" i="12"/>
  <c r="H31" i="4"/>
  <c r="I31" i="4"/>
  <c r="E15" i="12"/>
  <c r="H32" i="4"/>
  <c r="I32" i="4"/>
  <c r="E16" i="12"/>
  <c r="H33" i="4"/>
  <c r="I33" i="4"/>
  <c r="E17" i="12"/>
  <c r="H34" i="4"/>
  <c r="I34" i="4"/>
  <c r="E18" i="12"/>
  <c r="H35" i="4"/>
  <c r="I35" i="4"/>
  <c r="E19" i="12"/>
  <c r="H36" i="4"/>
  <c r="I36" i="4"/>
  <c r="E20" i="12"/>
  <c r="H37" i="4"/>
  <c r="I37" i="4"/>
  <c r="E21" i="12"/>
  <c r="H38" i="4"/>
  <c r="I38" i="4"/>
  <c r="E22" i="12"/>
  <c r="H39" i="4"/>
  <c r="I39" i="4"/>
  <c r="E23" i="12"/>
  <c r="H40" i="4"/>
  <c r="I40" i="4"/>
  <c r="E24" i="12"/>
  <c r="H41" i="4"/>
  <c r="I41" i="4"/>
  <c r="E25" i="12"/>
  <c r="H42" i="4"/>
  <c r="I42" i="4"/>
  <c r="E26" i="12"/>
  <c r="H43" i="4"/>
  <c r="I43" i="4"/>
  <c r="E27" i="12"/>
  <c r="H44" i="4"/>
  <c r="I44" i="4"/>
  <c r="E28" i="12"/>
  <c r="H45" i="4"/>
  <c r="I45" i="4"/>
  <c r="E29" i="12"/>
  <c r="H46" i="4"/>
  <c r="I46" i="4"/>
  <c r="E30" i="12"/>
  <c r="H47" i="4"/>
  <c r="I47" i="4"/>
  <c r="E31" i="12"/>
  <c r="H48" i="4"/>
  <c r="I48" i="4"/>
  <c r="E32" i="12"/>
  <c r="H49" i="4"/>
  <c r="I49" i="4"/>
  <c r="E33" i="12"/>
  <c r="H50" i="4"/>
  <c r="I50" i="4"/>
  <c r="E34" i="12"/>
  <c r="H51" i="4"/>
  <c r="I51" i="4"/>
  <c r="E35" i="12"/>
  <c r="H52" i="4"/>
  <c r="I52" i="4"/>
  <c r="E36" i="12"/>
  <c r="H53" i="4"/>
  <c r="I53" i="4"/>
  <c r="E37" i="12"/>
  <c r="H54" i="4"/>
  <c r="I54" i="4"/>
  <c r="E38" i="12"/>
  <c r="H55" i="4"/>
  <c r="I55" i="4"/>
  <c r="E39" i="12"/>
  <c r="H56" i="4"/>
  <c r="I56" i="4"/>
  <c r="E40" i="12"/>
  <c r="H57" i="4"/>
  <c r="I57" i="4"/>
  <c r="E41" i="12"/>
  <c r="H58" i="4"/>
  <c r="I58" i="4"/>
  <c r="E42" i="12"/>
  <c r="H59" i="4"/>
  <c r="I59" i="4"/>
  <c r="E43" i="12"/>
  <c r="H60" i="4"/>
  <c r="I60" i="4"/>
  <c r="E44" i="12"/>
  <c r="H61" i="4"/>
  <c r="I61" i="4"/>
  <c r="E45" i="12"/>
  <c r="H62" i="4"/>
  <c r="I62" i="4"/>
  <c r="E46" i="12"/>
  <c r="H63" i="4"/>
  <c r="I63" i="4"/>
  <c r="E47" i="12"/>
  <c r="H64" i="4"/>
  <c r="I64" i="4"/>
  <c r="E48" i="12"/>
  <c r="H65" i="4"/>
  <c r="I65" i="4"/>
  <c r="E49" i="12"/>
  <c r="H66" i="4"/>
  <c r="I66" i="4"/>
  <c r="E50" i="12"/>
  <c r="E52" i="12"/>
  <c r="F15" i="7"/>
  <c r="F16" i="7"/>
  <c r="H11" i="7"/>
  <c r="G11" i="7"/>
  <c r="F21" i="4"/>
  <c r="G21" i="4"/>
  <c r="D5" i="12"/>
  <c r="F22" i="4"/>
  <c r="G22" i="4"/>
  <c r="D6" i="12"/>
  <c r="F23" i="4"/>
  <c r="G23" i="4"/>
  <c r="D7" i="12"/>
  <c r="F24" i="4"/>
  <c r="G24" i="4"/>
  <c r="D8" i="12"/>
  <c r="F25" i="4"/>
  <c r="G25" i="4"/>
  <c r="D9" i="12"/>
  <c r="F26" i="4"/>
  <c r="G26" i="4"/>
  <c r="D10" i="12"/>
  <c r="F27" i="4"/>
  <c r="G27" i="4"/>
  <c r="D11" i="12"/>
  <c r="F28" i="4"/>
  <c r="G28" i="4"/>
  <c r="D12" i="12"/>
  <c r="F29" i="4"/>
  <c r="G29" i="4"/>
  <c r="D13" i="12"/>
  <c r="F30" i="4"/>
  <c r="G30" i="4"/>
  <c r="D14" i="12"/>
  <c r="F31" i="4"/>
  <c r="G31" i="4"/>
  <c r="D15" i="12"/>
  <c r="F32" i="4"/>
  <c r="G32" i="4"/>
  <c r="D16" i="12"/>
  <c r="F33" i="4"/>
  <c r="G33" i="4"/>
  <c r="D17" i="12"/>
  <c r="F34" i="4"/>
  <c r="G34" i="4"/>
  <c r="D18" i="12"/>
  <c r="F35" i="4"/>
  <c r="G35" i="4"/>
  <c r="D19" i="12"/>
  <c r="F36" i="4"/>
  <c r="G36" i="4"/>
  <c r="D20" i="12"/>
  <c r="F37" i="4"/>
  <c r="G37" i="4"/>
  <c r="D21" i="12"/>
  <c r="F38" i="4"/>
  <c r="G38" i="4"/>
  <c r="D22" i="12"/>
  <c r="F39" i="4"/>
  <c r="G39" i="4"/>
  <c r="D23" i="12"/>
  <c r="F40" i="4"/>
  <c r="G40" i="4"/>
  <c r="D24" i="12"/>
  <c r="F41" i="4"/>
  <c r="G41" i="4"/>
  <c r="D25" i="12"/>
  <c r="F42" i="4"/>
  <c r="G42" i="4"/>
  <c r="D26" i="12"/>
  <c r="F43" i="4"/>
  <c r="G43" i="4"/>
  <c r="D27" i="12"/>
  <c r="F44" i="4"/>
  <c r="G44" i="4"/>
  <c r="D28" i="12"/>
  <c r="F45" i="4"/>
  <c r="G45" i="4"/>
  <c r="D29" i="12"/>
  <c r="F46" i="4"/>
  <c r="G46" i="4"/>
  <c r="D30" i="12"/>
  <c r="F47" i="4"/>
  <c r="G47" i="4"/>
  <c r="D31" i="12"/>
  <c r="F48" i="4"/>
  <c r="G48" i="4"/>
  <c r="D32" i="12"/>
  <c r="F49" i="4"/>
  <c r="G49" i="4"/>
  <c r="D33" i="12"/>
  <c r="F50" i="4"/>
  <c r="G50" i="4"/>
  <c r="D34" i="12"/>
  <c r="F51" i="4"/>
  <c r="G51" i="4"/>
  <c r="D35" i="12"/>
  <c r="F52" i="4"/>
  <c r="G52" i="4"/>
  <c r="D36" i="12"/>
  <c r="F53" i="4"/>
  <c r="G53" i="4"/>
  <c r="D37" i="12"/>
  <c r="F54" i="4"/>
  <c r="G54" i="4"/>
  <c r="D38" i="12"/>
  <c r="F55" i="4"/>
  <c r="G55" i="4"/>
  <c r="D39" i="12"/>
  <c r="F56" i="4"/>
  <c r="G56" i="4"/>
  <c r="D40" i="12"/>
  <c r="F57" i="4"/>
  <c r="G57" i="4"/>
  <c r="D41" i="12"/>
  <c r="F58" i="4"/>
  <c r="G58" i="4"/>
  <c r="D42" i="12"/>
  <c r="F59" i="4"/>
  <c r="G59" i="4"/>
  <c r="D43" i="12"/>
  <c r="F60" i="4"/>
  <c r="G60" i="4"/>
  <c r="D44" i="12"/>
  <c r="F61" i="4"/>
  <c r="G61" i="4"/>
  <c r="D45" i="12"/>
  <c r="F62" i="4"/>
  <c r="G62" i="4"/>
  <c r="D46" i="12"/>
  <c r="F63" i="4"/>
  <c r="G63" i="4"/>
  <c r="D47" i="12"/>
  <c r="F64" i="4"/>
  <c r="G64" i="4"/>
  <c r="D48" i="12"/>
  <c r="F65" i="4"/>
  <c r="G65" i="4"/>
  <c r="D49" i="12"/>
  <c r="F66" i="4"/>
  <c r="G66" i="4"/>
  <c r="D50" i="12"/>
  <c r="D52" i="12"/>
  <c r="F10" i="7"/>
  <c r="F11" i="7"/>
  <c r="H4" i="7"/>
  <c r="G4" i="7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2" i="12"/>
  <c r="F3" i="7"/>
  <c r="F4" i="7"/>
  <c r="J3" i="7"/>
  <c r="H117" i="7"/>
  <c r="G117" i="7"/>
  <c r="BK21" i="4"/>
  <c r="BL21" i="4"/>
  <c r="U5" i="12"/>
  <c r="BK22" i="4"/>
  <c r="BL22" i="4"/>
  <c r="U6" i="12"/>
  <c r="BK23" i="4"/>
  <c r="BL23" i="4"/>
  <c r="U7" i="12"/>
  <c r="BK24" i="4"/>
  <c r="BL24" i="4"/>
  <c r="U8" i="12"/>
  <c r="BK25" i="4"/>
  <c r="BL25" i="4"/>
  <c r="U9" i="12"/>
  <c r="BK26" i="4"/>
  <c r="BL26" i="4"/>
  <c r="U10" i="12"/>
  <c r="BK27" i="4"/>
  <c r="BL27" i="4"/>
  <c r="U11" i="12"/>
  <c r="BK28" i="4"/>
  <c r="BL28" i="4"/>
  <c r="U12" i="12"/>
  <c r="BK29" i="4"/>
  <c r="BL29" i="4"/>
  <c r="U13" i="12"/>
  <c r="BK30" i="4"/>
  <c r="BL30" i="4"/>
  <c r="U14" i="12"/>
  <c r="BK31" i="4"/>
  <c r="BL31" i="4"/>
  <c r="U15" i="12"/>
  <c r="BK32" i="4"/>
  <c r="BL32" i="4"/>
  <c r="U16" i="12"/>
  <c r="BK33" i="4"/>
  <c r="BL33" i="4"/>
  <c r="U17" i="12"/>
  <c r="BK34" i="4"/>
  <c r="BL34" i="4"/>
  <c r="U18" i="12"/>
  <c r="BK35" i="4"/>
  <c r="BL35" i="4"/>
  <c r="U19" i="12"/>
  <c r="BK36" i="4"/>
  <c r="BL36" i="4"/>
  <c r="U20" i="12"/>
  <c r="BK37" i="4"/>
  <c r="BL37" i="4"/>
  <c r="U21" i="12"/>
  <c r="BK38" i="4"/>
  <c r="BL38" i="4"/>
  <c r="U22" i="12"/>
  <c r="BK39" i="4"/>
  <c r="BL39" i="4"/>
  <c r="U23" i="12"/>
  <c r="BK40" i="4"/>
  <c r="BL40" i="4"/>
  <c r="U24" i="12"/>
  <c r="BK41" i="4"/>
  <c r="BL41" i="4"/>
  <c r="U25" i="12"/>
  <c r="BK42" i="4"/>
  <c r="BL42" i="4"/>
  <c r="U26" i="12"/>
  <c r="BK43" i="4"/>
  <c r="BL43" i="4"/>
  <c r="U27" i="12"/>
  <c r="BK44" i="4"/>
  <c r="BL44" i="4"/>
  <c r="U28" i="12"/>
  <c r="BK45" i="4"/>
  <c r="BL45" i="4"/>
  <c r="U29" i="12"/>
  <c r="BK46" i="4"/>
  <c r="BL46" i="4"/>
  <c r="U30" i="12"/>
  <c r="BK47" i="4"/>
  <c r="BL47" i="4"/>
  <c r="U31" i="12"/>
  <c r="BK48" i="4"/>
  <c r="BL48" i="4"/>
  <c r="U32" i="12"/>
  <c r="BK49" i="4"/>
  <c r="BL49" i="4"/>
  <c r="U33" i="12"/>
  <c r="BK50" i="4"/>
  <c r="BL50" i="4"/>
  <c r="U34" i="12"/>
  <c r="BK51" i="4"/>
  <c r="BL51" i="4"/>
  <c r="U35" i="12"/>
  <c r="BK52" i="4"/>
  <c r="BL52" i="4"/>
  <c r="U36" i="12"/>
  <c r="BK53" i="4"/>
  <c r="BL53" i="4"/>
  <c r="U37" i="12"/>
  <c r="BK54" i="4"/>
  <c r="BL54" i="4"/>
  <c r="U38" i="12"/>
  <c r="BK55" i="4"/>
  <c r="BL55" i="4"/>
  <c r="U39" i="12"/>
  <c r="BK56" i="4"/>
  <c r="BL56" i="4"/>
  <c r="U40" i="12"/>
  <c r="BK57" i="4"/>
  <c r="BL57" i="4"/>
  <c r="U41" i="12"/>
  <c r="BK58" i="4"/>
  <c r="BL58" i="4"/>
  <c r="U42" i="12"/>
  <c r="BK59" i="4"/>
  <c r="BL59" i="4"/>
  <c r="U43" i="12"/>
  <c r="BK60" i="4"/>
  <c r="BL60" i="4"/>
  <c r="U44" i="12"/>
  <c r="BK61" i="4"/>
  <c r="BL61" i="4"/>
  <c r="U45" i="12"/>
  <c r="BK62" i="4"/>
  <c r="BL62" i="4"/>
  <c r="U46" i="12"/>
  <c r="BK63" i="4"/>
  <c r="BL63" i="4"/>
  <c r="U47" i="12"/>
  <c r="BK64" i="4"/>
  <c r="BL64" i="4"/>
  <c r="U48" i="12"/>
  <c r="BK65" i="4"/>
  <c r="BL65" i="4"/>
  <c r="U49" i="12"/>
  <c r="BK66" i="4"/>
  <c r="BL66" i="4"/>
  <c r="U50" i="12"/>
  <c r="U52" i="12"/>
  <c r="F116" i="7"/>
  <c r="F117" i="7"/>
  <c r="H122" i="7"/>
  <c r="G122" i="7"/>
  <c r="BM21" i="4"/>
  <c r="BN21" i="4"/>
  <c r="V5" i="12"/>
  <c r="BM22" i="4"/>
  <c r="BN22" i="4"/>
  <c r="V6" i="12"/>
  <c r="BM23" i="4"/>
  <c r="BN23" i="4"/>
  <c r="V7" i="12"/>
  <c r="BM24" i="4"/>
  <c r="BN24" i="4"/>
  <c r="V8" i="12"/>
  <c r="BM25" i="4"/>
  <c r="BN25" i="4"/>
  <c r="V9" i="12"/>
  <c r="BM26" i="4"/>
  <c r="BN26" i="4"/>
  <c r="V10" i="12"/>
  <c r="BM27" i="4"/>
  <c r="BN27" i="4"/>
  <c r="V11" i="12"/>
  <c r="BM28" i="4"/>
  <c r="BN28" i="4"/>
  <c r="V12" i="12"/>
  <c r="BM29" i="4"/>
  <c r="BN29" i="4"/>
  <c r="V13" i="12"/>
  <c r="BM30" i="4"/>
  <c r="BN30" i="4"/>
  <c r="V14" i="12"/>
  <c r="BM31" i="4"/>
  <c r="BN31" i="4"/>
  <c r="V15" i="12"/>
  <c r="BM32" i="4"/>
  <c r="BN32" i="4"/>
  <c r="V16" i="12"/>
  <c r="BM33" i="4"/>
  <c r="BN33" i="4"/>
  <c r="V17" i="12"/>
  <c r="BM34" i="4"/>
  <c r="BN34" i="4"/>
  <c r="V18" i="12"/>
  <c r="BM35" i="4"/>
  <c r="BN35" i="4"/>
  <c r="V19" i="12"/>
  <c r="BM36" i="4"/>
  <c r="BN36" i="4"/>
  <c r="V20" i="12"/>
  <c r="BM37" i="4"/>
  <c r="BN37" i="4"/>
  <c r="V21" i="12"/>
  <c r="BM38" i="4"/>
  <c r="BN38" i="4"/>
  <c r="V22" i="12"/>
  <c r="BM39" i="4"/>
  <c r="BN39" i="4"/>
  <c r="V23" i="12"/>
  <c r="BM40" i="4"/>
  <c r="BN40" i="4"/>
  <c r="V24" i="12"/>
  <c r="BM41" i="4"/>
  <c r="BN41" i="4"/>
  <c r="V25" i="12"/>
  <c r="BM42" i="4"/>
  <c r="BN42" i="4"/>
  <c r="V26" i="12"/>
  <c r="BM43" i="4"/>
  <c r="BN43" i="4"/>
  <c r="V27" i="12"/>
  <c r="BM44" i="4"/>
  <c r="BN44" i="4"/>
  <c r="V28" i="12"/>
  <c r="BM45" i="4"/>
  <c r="BN45" i="4"/>
  <c r="V29" i="12"/>
  <c r="BM46" i="4"/>
  <c r="BN46" i="4"/>
  <c r="V30" i="12"/>
  <c r="BM47" i="4"/>
  <c r="BN47" i="4"/>
  <c r="V31" i="12"/>
  <c r="BM48" i="4"/>
  <c r="BN48" i="4"/>
  <c r="V32" i="12"/>
  <c r="BM49" i="4"/>
  <c r="BN49" i="4"/>
  <c r="V33" i="12"/>
  <c r="BM50" i="4"/>
  <c r="BN50" i="4"/>
  <c r="V34" i="12"/>
  <c r="BM51" i="4"/>
  <c r="BN51" i="4"/>
  <c r="V35" i="12"/>
  <c r="BM52" i="4"/>
  <c r="BN52" i="4"/>
  <c r="V36" i="12"/>
  <c r="BM53" i="4"/>
  <c r="BN53" i="4"/>
  <c r="V37" i="12"/>
  <c r="BM54" i="4"/>
  <c r="BN54" i="4"/>
  <c r="V38" i="12"/>
  <c r="BM55" i="4"/>
  <c r="BN55" i="4"/>
  <c r="V39" i="12"/>
  <c r="BM56" i="4"/>
  <c r="BN56" i="4"/>
  <c r="V40" i="12"/>
  <c r="BM57" i="4"/>
  <c r="BN57" i="4"/>
  <c r="V41" i="12"/>
  <c r="BM58" i="4"/>
  <c r="BN58" i="4"/>
  <c r="V42" i="12"/>
  <c r="BM59" i="4"/>
  <c r="BN59" i="4"/>
  <c r="V43" i="12"/>
  <c r="BM60" i="4"/>
  <c r="BN60" i="4"/>
  <c r="V44" i="12"/>
  <c r="BM61" i="4"/>
  <c r="BN61" i="4"/>
  <c r="V45" i="12"/>
  <c r="BM62" i="4"/>
  <c r="BN62" i="4"/>
  <c r="V46" i="12"/>
  <c r="BM63" i="4"/>
  <c r="BN63" i="4"/>
  <c r="V47" i="12"/>
  <c r="BM64" i="4"/>
  <c r="BN64" i="4"/>
  <c r="V48" i="12"/>
  <c r="BM65" i="4"/>
  <c r="BN65" i="4"/>
  <c r="V49" i="12"/>
  <c r="BM66" i="4"/>
  <c r="BN66" i="4"/>
  <c r="V50" i="12"/>
  <c r="V52" i="12"/>
  <c r="F121" i="7"/>
  <c r="F122" i="7"/>
  <c r="H130" i="7"/>
  <c r="G130" i="7"/>
  <c r="BP21" i="4"/>
  <c r="BQ21" i="4"/>
  <c r="X5" i="12"/>
  <c r="BP22" i="4"/>
  <c r="BQ22" i="4"/>
  <c r="X6" i="12"/>
  <c r="BP23" i="4"/>
  <c r="BQ23" i="4"/>
  <c r="X7" i="12"/>
  <c r="BP24" i="4"/>
  <c r="BQ24" i="4"/>
  <c r="X8" i="12"/>
  <c r="BP25" i="4"/>
  <c r="BQ25" i="4"/>
  <c r="X9" i="12"/>
  <c r="BP26" i="4"/>
  <c r="BQ26" i="4"/>
  <c r="X10" i="12"/>
  <c r="BP27" i="4"/>
  <c r="BQ27" i="4"/>
  <c r="X11" i="12"/>
  <c r="BP28" i="4"/>
  <c r="BQ28" i="4"/>
  <c r="X12" i="12"/>
  <c r="BP29" i="4"/>
  <c r="BQ29" i="4"/>
  <c r="X13" i="12"/>
  <c r="BP30" i="4"/>
  <c r="BQ30" i="4"/>
  <c r="X14" i="12"/>
  <c r="BP31" i="4"/>
  <c r="BQ31" i="4"/>
  <c r="X15" i="12"/>
  <c r="BP32" i="4"/>
  <c r="BQ32" i="4"/>
  <c r="X16" i="12"/>
  <c r="BP33" i="4"/>
  <c r="BQ33" i="4"/>
  <c r="X17" i="12"/>
  <c r="BP34" i="4"/>
  <c r="BQ34" i="4"/>
  <c r="X18" i="12"/>
  <c r="BP35" i="4"/>
  <c r="BQ35" i="4"/>
  <c r="X19" i="12"/>
  <c r="BP36" i="4"/>
  <c r="BQ36" i="4"/>
  <c r="X20" i="12"/>
  <c r="BP37" i="4"/>
  <c r="BQ37" i="4"/>
  <c r="X21" i="12"/>
  <c r="BP38" i="4"/>
  <c r="BQ38" i="4"/>
  <c r="X22" i="12"/>
  <c r="BP39" i="4"/>
  <c r="BQ39" i="4"/>
  <c r="X23" i="12"/>
  <c r="BP40" i="4"/>
  <c r="BQ40" i="4"/>
  <c r="X24" i="12"/>
  <c r="BP41" i="4"/>
  <c r="BQ41" i="4"/>
  <c r="X25" i="12"/>
  <c r="BP42" i="4"/>
  <c r="BQ42" i="4"/>
  <c r="X26" i="12"/>
  <c r="BP43" i="4"/>
  <c r="BQ43" i="4"/>
  <c r="X27" i="12"/>
  <c r="BP44" i="4"/>
  <c r="BQ44" i="4"/>
  <c r="X28" i="12"/>
  <c r="BP45" i="4"/>
  <c r="BQ45" i="4"/>
  <c r="X29" i="12"/>
  <c r="BP46" i="4"/>
  <c r="BQ46" i="4"/>
  <c r="X30" i="12"/>
  <c r="BP47" i="4"/>
  <c r="BQ47" i="4"/>
  <c r="X31" i="12"/>
  <c r="BP48" i="4"/>
  <c r="BQ48" i="4"/>
  <c r="X32" i="12"/>
  <c r="BP49" i="4"/>
  <c r="BQ49" i="4"/>
  <c r="X33" i="12"/>
  <c r="BP50" i="4"/>
  <c r="BQ50" i="4"/>
  <c r="X34" i="12"/>
  <c r="BP51" i="4"/>
  <c r="BQ51" i="4"/>
  <c r="X35" i="12"/>
  <c r="BP52" i="4"/>
  <c r="BQ52" i="4"/>
  <c r="X36" i="12"/>
  <c r="BP53" i="4"/>
  <c r="BQ53" i="4"/>
  <c r="X37" i="12"/>
  <c r="BP54" i="4"/>
  <c r="BQ54" i="4"/>
  <c r="X38" i="12"/>
  <c r="BP55" i="4"/>
  <c r="BQ55" i="4"/>
  <c r="X39" i="12"/>
  <c r="BP56" i="4"/>
  <c r="BQ56" i="4"/>
  <c r="X40" i="12"/>
  <c r="BP57" i="4"/>
  <c r="BQ57" i="4"/>
  <c r="X41" i="12"/>
  <c r="BP58" i="4"/>
  <c r="BQ58" i="4"/>
  <c r="X42" i="12"/>
  <c r="BP59" i="4"/>
  <c r="BQ59" i="4"/>
  <c r="X43" i="12"/>
  <c r="BP60" i="4"/>
  <c r="BQ60" i="4"/>
  <c r="X44" i="12"/>
  <c r="BP61" i="4"/>
  <c r="BQ61" i="4"/>
  <c r="X45" i="12"/>
  <c r="BP62" i="4"/>
  <c r="BQ62" i="4"/>
  <c r="X46" i="12"/>
  <c r="BP63" i="4"/>
  <c r="BQ63" i="4"/>
  <c r="X47" i="12"/>
  <c r="BP64" i="4"/>
  <c r="BQ64" i="4"/>
  <c r="X48" i="12"/>
  <c r="BP65" i="4"/>
  <c r="BQ65" i="4"/>
  <c r="X49" i="12"/>
  <c r="BP66" i="4"/>
  <c r="BQ66" i="4"/>
  <c r="X50" i="12"/>
  <c r="X52" i="12"/>
  <c r="F129" i="7"/>
  <c r="F130" i="7"/>
  <c r="H135" i="7"/>
  <c r="G135" i="7"/>
  <c r="BR21" i="4"/>
  <c r="BS21" i="4"/>
  <c r="Y5" i="12"/>
  <c r="BR22" i="4"/>
  <c r="BS22" i="4"/>
  <c r="Y6" i="12"/>
  <c r="BR23" i="4"/>
  <c r="BS23" i="4"/>
  <c r="Y7" i="12"/>
  <c r="BR24" i="4"/>
  <c r="BS24" i="4"/>
  <c r="Y8" i="12"/>
  <c r="BR25" i="4"/>
  <c r="BS25" i="4"/>
  <c r="Y9" i="12"/>
  <c r="BR26" i="4"/>
  <c r="BS26" i="4"/>
  <c r="Y10" i="12"/>
  <c r="BR27" i="4"/>
  <c r="BS27" i="4"/>
  <c r="Y11" i="12"/>
  <c r="BR28" i="4"/>
  <c r="BS28" i="4"/>
  <c r="Y12" i="12"/>
  <c r="BR29" i="4"/>
  <c r="BS29" i="4"/>
  <c r="Y13" i="12"/>
  <c r="BR30" i="4"/>
  <c r="BS30" i="4"/>
  <c r="Y14" i="12"/>
  <c r="BR31" i="4"/>
  <c r="BS31" i="4"/>
  <c r="Y15" i="12"/>
  <c r="BR32" i="4"/>
  <c r="BS32" i="4"/>
  <c r="Y16" i="12"/>
  <c r="BR33" i="4"/>
  <c r="BS33" i="4"/>
  <c r="Y17" i="12"/>
  <c r="BR34" i="4"/>
  <c r="BS34" i="4"/>
  <c r="Y18" i="12"/>
  <c r="BR35" i="4"/>
  <c r="BS35" i="4"/>
  <c r="Y19" i="12"/>
  <c r="BR36" i="4"/>
  <c r="BS36" i="4"/>
  <c r="Y20" i="12"/>
  <c r="BR37" i="4"/>
  <c r="BS37" i="4"/>
  <c r="Y21" i="12"/>
  <c r="BR38" i="4"/>
  <c r="BS38" i="4"/>
  <c r="Y22" i="12"/>
  <c r="BR39" i="4"/>
  <c r="BS39" i="4"/>
  <c r="Y23" i="12"/>
  <c r="BR40" i="4"/>
  <c r="BS40" i="4"/>
  <c r="Y24" i="12"/>
  <c r="BR41" i="4"/>
  <c r="BS41" i="4"/>
  <c r="Y25" i="12"/>
  <c r="BR42" i="4"/>
  <c r="BS42" i="4"/>
  <c r="Y26" i="12"/>
  <c r="BR43" i="4"/>
  <c r="BS43" i="4"/>
  <c r="Y27" i="12"/>
  <c r="BR44" i="4"/>
  <c r="BS44" i="4"/>
  <c r="Y28" i="12"/>
  <c r="BR45" i="4"/>
  <c r="BS45" i="4"/>
  <c r="Y29" i="12"/>
  <c r="BR46" i="4"/>
  <c r="BS46" i="4"/>
  <c r="Y30" i="12"/>
  <c r="BR47" i="4"/>
  <c r="BS47" i="4"/>
  <c r="Y31" i="12"/>
  <c r="BR48" i="4"/>
  <c r="BS48" i="4"/>
  <c r="Y32" i="12"/>
  <c r="BR49" i="4"/>
  <c r="BS49" i="4"/>
  <c r="Y33" i="12"/>
  <c r="BR50" i="4"/>
  <c r="BS50" i="4"/>
  <c r="Y34" i="12"/>
  <c r="BR51" i="4"/>
  <c r="BS51" i="4"/>
  <c r="Y35" i="12"/>
  <c r="BR52" i="4"/>
  <c r="BS52" i="4"/>
  <c r="Y36" i="12"/>
  <c r="BR53" i="4"/>
  <c r="BS53" i="4"/>
  <c r="Y37" i="12"/>
  <c r="BR54" i="4"/>
  <c r="BS54" i="4"/>
  <c r="Y38" i="12"/>
  <c r="BR55" i="4"/>
  <c r="BS55" i="4"/>
  <c r="Y39" i="12"/>
  <c r="BR56" i="4"/>
  <c r="BS56" i="4"/>
  <c r="Y40" i="12"/>
  <c r="BR57" i="4"/>
  <c r="BS57" i="4"/>
  <c r="Y41" i="12"/>
  <c r="BR58" i="4"/>
  <c r="BS58" i="4"/>
  <c r="Y42" i="12"/>
  <c r="BR59" i="4"/>
  <c r="BS59" i="4"/>
  <c r="Y43" i="12"/>
  <c r="BR60" i="4"/>
  <c r="BS60" i="4"/>
  <c r="Y44" i="12"/>
  <c r="BR61" i="4"/>
  <c r="BS61" i="4"/>
  <c r="Y45" i="12"/>
  <c r="BR62" i="4"/>
  <c r="BS62" i="4"/>
  <c r="Y46" i="12"/>
  <c r="BR63" i="4"/>
  <c r="BS63" i="4"/>
  <c r="Y47" i="12"/>
  <c r="BR64" i="4"/>
  <c r="BS64" i="4"/>
  <c r="Y48" i="12"/>
  <c r="BR65" i="4"/>
  <c r="BS65" i="4"/>
  <c r="Y49" i="12"/>
  <c r="BR66" i="4"/>
  <c r="BS66" i="4"/>
  <c r="Y50" i="12"/>
  <c r="Y52" i="12"/>
  <c r="F134" i="7"/>
  <c r="F135" i="7"/>
  <c r="BT21" i="4"/>
  <c r="BU21" i="4"/>
  <c r="Z5" i="12"/>
  <c r="BT22" i="4"/>
  <c r="BU22" i="4"/>
  <c r="Z6" i="12"/>
  <c r="BT23" i="4"/>
  <c r="BU23" i="4"/>
  <c r="Z7" i="12"/>
  <c r="BT24" i="4"/>
  <c r="BU24" i="4"/>
  <c r="Z8" i="12"/>
  <c r="BT25" i="4"/>
  <c r="BU25" i="4"/>
  <c r="Z9" i="12"/>
  <c r="BT26" i="4"/>
  <c r="BU26" i="4"/>
  <c r="Z10" i="12"/>
  <c r="BT27" i="4"/>
  <c r="BU27" i="4"/>
  <c r="Z11" i="12"/>
  <c r="BT28" i="4"/>
  <c r="BU28" i="4"/>
  <c r="Z12" i="12"/>
  <c r="BT29" i="4"/>
  <c r="BU29" i="4"/>
  <c r="Z13" i="12"/>
  <c r="BT30" i="4"/>
  <c r="BU30" i="4"/>
  <c r="Z14" i="12"/>
  <c r="BT31" i="4"/>
  <c r="BU31" i="4"/>
  <c r="Z15" i="12"/>
  <c r="BT32" i="4"/>
  <c r="BU32" i="4"/>
  <c r="Z16" i="12"/>
  <c r="BT33" i="4"/>
  <c r="BU33" i="4"/>
  <c r="Z17" i="12"/>
  <c r="BT34" i="4"/>
  <c r="BU34" i="4"/>
  <c r="Z18" i="12"/>
  <c r="BT35" i="4"/>
  <c r="BU35" i="4"/>
  <c r="Z19" i="12"/>
  <c r="BT36" i="4"/>
  <c r="BU36" i="4"/>
  <c r="Z20" i="12"/>
  <c r="BT37" i="4"/>
  <c r="BU37" i="4"/>
  <c r="Z21" i="12"/>
  <c r="BT38" i="4"/>
  <c r="BU38" i="4"/>
  <c r="Z22" i="12"/>
  <c r="BT39" i="4"/>
  <c r="BU39" i="4"/>
  <c r="Z23" i="12"/>
  <c r="BT40" i="4"/>
  <c r="BU40" i="4"/>
  <c r="Z24" i="12"/>
  <c r="BT41" i="4"/>
  <c r="BU41" i="4"/>
  <c r="Z25" i="12"/>
  <c r="BT42" i="4"/>
  <c r="BU42" i="4"/>
  <c r="Z26" i="12"/>
  <c r="BT43" i="4"/>
  <c r="BU43" i="4"/>
  <c r="Z27" i="12"/>
  <c r="BT44" i="4"/>
  <c r="BU44" i="4"/>
  <c r="Z28" i="12"/>
  <c r="BT45" i="4"/>
  <c r="BU45" i="4"/>
  <c r="Z29" i="12"/>
  <c r="BT46" i="4"/>
  <c r="BU46" i="4"/>
  <c r="Z30" i="12"/>
  <c r="BT47" i="4"/>
  <c r="BU47" i="4"/>
  <c r="Z31" i="12"/>
  <c r="BT48" i="4"/>
  <c r="BU48" i="4"/>
  <c r="Z32" i="12"/>
  <c r="BT49" i="4"/>
  <c r="BU49" i="4"/>
  <c r="Z33" i="12"/>
  <c r="BT50" i="4"/>
  <c r="BU50" i="4"/>
  <c r="Z34" i="12"/>
  <c r="BT51" i="4"/>
  <c r="BU51" i="4"/>
  <c r="Z35" i="12"/>
  <c r="BT52" i="4"/>
  <c r="BU52" i="4"/>
  <c r="Z36" i="12"/>
  <c r="BT53" i="4"/>
  <c r="BU53" i="4"/>
  <c r="Z37" i="12"/>
  <c r="BT54" i="4"/>
  <c r="BU54" i="4"/>
  <c r="Z38" i="12"/>
  <c r="BT55" i="4"/>
  <c r="BU55" i="4"/>
  <c r="Z39" i="12"/>
  <c r="BT56" i="4"/>
  <c r="BU56" i="4"/>
  <c r="Z40" i="12"/>
  <c r="BT57" i="4"/>
  <c r="BU57" i="4"/>
  <c r="Z41" i="12"/>
  <c r="BT58" i="4"/>
  <c r="BU58" i="4"/>
  <c r="Z42" i="12"/>
  <c r="BT59" i="4"/>
  <c r="BU59" i="4"/>
  <c r="Z43" i="12"/>
  <c r="BT60" i="4"/>
  <c r="BU60" i="4"/>
  <c r="Z44" i="12"/>
  <c r="BT61" i="4"/>
  <c r="BU61" i="4"/>
  <c r="Z45" i="12"/>
  <c r="BT62" i="4"/>
  <c r="BU62" i="4"/>
  <c r="Z46" i="12"/>
  <c r="BT63" i="4"/>
  <c r="BU63" i="4"/>
  <c r="Z47" i="12"/>
  <c r="BT64" i="4"/>
  <c r="BU64" i="4"/>
  <c r="Z48" i="12"/>
  <c r="BT65" i="4"/>
  <c r="BU65" i="4"/>
  <c r="Z49" i="12"/>
  <c r="BT66" i="4"/>
  <c r="BU66" i="4"/>
  <c r="Z50" i="12"/>
  <c r="Z52" i="12"/>
  <c r="F140" i="7"/>
  <c r="F141" i="7"/>
  <c r="H141" i="7"/>
  <c r="G141" i="7"/>
  <c r="H147" i="7"/>
  <c r="G147" i="7"/>
  <c r="BV21" i="4"/>
  <c r="BW21" i="4"/>
  <c r="AA5" i="12"/>
  <c r="BV22" i="4"/>
  <c r="BW22" i="4"/>
  <c r="AA6" i="12"/>
  <c r="BV23" i="4"/>
  <c r="BW23" i="4"/>
  <c r="AA7" i="12"/>
  <c r="BV24" i="4"/>
  <c r="BW24" i="4"/>
  <c r="AA8" i="12"/>
  <c r="BV25" i="4"/>
  <c r="BW25" i="4"/>
  <c r="AA9" i="12"/>
  <c r="BV26" i="4"/>
  <c r="BW26" i="4"/>
  <c r="AA10" i="12"/>
  <c r="BV27" i="4"/>
  <c r="BW27" i="4"/>
  <c r="AA11" i="12"/>
  <c r="BV28" i="4"/>
  <c r="BW28" i="4"/>
  <c r="AA12" i="12"/>
  <c r="BV29" i="4"/>
  <c r="BW29" i="4"/>
  <c r="AA13" i="12"/>
  <c r="BV30" i="4"/>
  <c r="BW30" i="4"/>
  <c r="AA14" i="12"/>
  <c r="BV31" i="4"/>
  <c r="BW31" i="4"/>
  <c r="AA15" i="12"/>
  <c r="BV32" i="4"/>
  <c r="BW32" i="4"/>
  <c r="AA16" i="12"/>
  <c r="BV33" i="4"/>
  <c r="BW33" i="4"/>
  <c r="AA17" i="12"/>
  <c r="BV34" i="4"/>
  <c r="BW34" i="4"/>
  <c r="AA18" i="12"/>
  <c r="BV35" i="4"/>
  <c r="BW35" i="4"/>
  <c r="AA19" i="12"/>
  <c r="BV36" i="4"/>
  <c r="BW36" i="4"/>
  <c r="AA20" i="12"/>
  <c r="BV37" i="4"/>
  <c r="BW37" i="4"/>
  <c r="AA21" i="12"/>
  <c r="BV38" i="4"/>
  <c r="BW38" i="4"/>
  <c r="AA22" i="12"/>
  <c r="BV39" i="4"/>
  <c r="BW39" i="4"/>
  <c r="AA23" i="12"/>
  <c r="BV40" i="4"/>
  <c r="BW40" i="4"/>
  <c r="AA24" i="12"/>
  <c r="BV41" i="4"/>
  <c r="BW41" i="4"/>
  <c r="AA25" i="12"/>
  <c r="BV42" i="4"/>
  <c r="BW42" i="4"/>
  <c r="AA26" i="12"/>
  <c r="BV43" i="4"/>
  <c r="BW43" i="4"/>
  <c r="AA27" i="12"/>
  <c r="BV44" i="4"/>
  <c r="BW44" i="4"/>
  <c r="AA28" i="12"/>
  <c r="BV45" i="4"/>
  <c r="BW45" i="4"/>
  <c r="AA29" i="12"/>
  <c r="BV46" i="4"/>
  <c r="BW46" i="4"/>
  <c r="AA30" i="12"/>
  <c r="BV47" i="4"/>
  <c r="BW47" i="4"/>
  <c r="AA31" i="12"/>
  <c r="BV48" i="4"/>
  <c r="BW48" i="4"/>
  <c r="AA32" i="12"/>
  <c r="BV49" i="4"/>
  <c r="BW49" i="4"/>
  <c r="AA33" i="12"/>
  <c r="BV50" i="4"/>
  <c r="BW50" i="4"/>
  <c r="AA34" i="12"/>
  <c r="BV51" i="4"/>
  <c r="BW51" i="4"/>
  <c r="AA35" i="12"/>
  <c r="BV52" i="4"/>
  <c r="BW52" i="4"/>
  <c r="AA36" i="12"/>
  <c r="BV53" i="4"/>
  <c r="BW53" i="4"/>
  <c r="AA37" i="12"/>
  <c r="BV54" i="4"/>
  <c r="BW54" i="4"/>
  <c r="AA38" i="12"/>
  <c r="BV55" i="4"/>
  <c r="BW55" i="4"/>
  <c r="AA39" i="12"/>
  <c r="BV56" i="4"/>
  <c r="BW56" i="4"/>
  <c r="AA40" i="12"/>
  <c r="BV57" i="4"/>
  <c r="BW57" i="4"/>
  <c r="AA41" i="12"/>
  <c r="BV58" i="4"/>
  <c r="BW58" i="4"/>
  <c r="AA42" i="12"/>
  <c r="BV59" i="4"/>
  <c r="BW59" i="4"/>
  <c r="AA43" i="12"/>
  <c r="BV60" i="4"/>
  <c r="BW60" i="4"/>
  <c r="AA44" i="12"/>
  <c r="BV61" i="4"/>
  <c r="BW61" i="4"/>
  <c r="AA45" i="12"/>
  <c r="BV62" i="4"/>
  <c r="BW62" i="4"/>
  <c r="AA46" i="12"/>
  <c r="BV63" i="4"/>
  <c r="BW63" i="4"/>
  <c r="AA47" i="12"/>
  <c r="BV64" i="4"/>
  <c r="BW64" i="4"/>
  <c r="AA48" i="12"/>
  <c r="BV65" i="4"/>
  <c r="BW65" i="4"/>
  <c r="AA49" i="12"/>
  <c r="BV66" i="4"/>
  <c r="BW66" i="4"/>
  <c r="AA50" i="12"/>
  <c r="AA52" i="12"/>
  <c r="F146" i="7"/>
  <c r="F147" i="7"/>
  <c r="H152" i="7"/>
  <c r="G152" i="7"/>
  <c r="BX21" i="4"/>
  <c r="BY21" i="4"/>
  <c r="AB5" i="12"/>
  <c r="BX22" i="4"/>
  <c r="BY22" i="4"/>
  <c r="AB6" i="12"/>
  <c r="BX23" i="4"/>
  <c r="BY23" i="4"/>
  <c r="AB7" i="12"/>
  <c r="BX24" i="4"/>
  <c r="BY24" i="4"/>
  <c r="AB8" i="12"/>
  <c r="BX25" i="4"/>
  <c r="BY25" i="4"/>
  <c r="AB9" i="12"/>
  <c r="BX26" i="4"/>
  <c r="BY26" i="4"/>
  <c r="AB10" i="12"/>
  <c r="BX27" i="4"/>
  <c r="BY27" i="4"/>
  <c r="AB11" i="12"/>
  <c r="BX28" i="4"/>
  <c r="BY28" i="4"/>
  <c r="AB12" i="12"/>
  <c r="BX29" i="4"/>
  <c r="BY29" i="4"/>
  <c r="AB13" i="12"/>
  <c r="BX30" i="4"/>
  <c r="BY30" i="4"/>
  <c r="AB14" i="12"/>
  <c r="BX31" i="4"/>
  <c r="BY31" i="4"/>
  <c r="AB15" i="12"/>
  <c r="BX32" i="4"/>
  <c r="BY32" i="4"/>
  <c r="AB16" i="12"/>
  <c r="BX33" i="4"/>
  <c r="BY33" i="4"/>
  <c r="AB17" i="12"/>
  <c r="BX34" i="4"/>
  <c r="BY34" i="4"/>
  <c r="AB18" i="12"/>
  <c r="BX35" i="4"/>
  <c r="BY35" i="4"/>
  <c r="AB19" i="12"/>
  <c r="BX36" i="4"/>
  <c r="BY36" i="4"/>
  <c r="AB20" i="12"/>
  <c r="BX37" i="4"/>
  <c r="BY37" i="4"/>
  <c r="AB21" i="12"/>
  <c r="BX38" i="4"/>
  <c r="BY38" i="4"/>
  <c r="AB22" i="12"/>
  <c r="BX39" i="4"/>
  <c r="BY39" i="4"/>
  <c r="AB23" i="12"/>
  <c r="BX40" i="4"/>
  <c r="BY40" i="4"/>
  <c r="AB24" i="12"/>
  <c r="BX41" i="4"/>
  <c r="BY41" i="4"/>
  <c r="AB25" i="12"/>
  <c r="BX42" i="4"/>
  <c r="BY42" i="4"/>
  <c r="AB26" i="12"/>
  <c r="BX43" i="4"/>
  <c r="BY43" i="4"/>
  <c r="AB27" i="12"/>
  <c r="BX44" i="4"/>
  <c r="BY44" i="4"/>
  <c r="AB28" i="12"/>
  <c r="BX45" i="4"/>
  <c r="BY45" i="4"/>
  <c r="AB29" i="12"/>
  <c r="BX46" i="4"/>
  <c r="BY46" i="4"/>
  <c r="AB30" i="12"/>
  <c r="BX47" i="4"/>
  <c r="BY47" i="4"/>
  <c r="AB31" i="12"/>
  <c r="BX48" i="4"/>
  <c r="BY48" i="4"/>
  <c r="AB32" i="12"/>
  <c r="BX49" i="4"/>
  <c r="BY49" i="4"/>
  <c r="AB33" i="12"/>
  <c r="BX50" i="4"/>
  <c r="BY50" i="4"/>
  <c r="AB34" i="12"/>
  <c r="BX51" i="4"/>
  <c r="BY51" i="4"/>
  <c r="AB35" i="12"/>
  <c r="BX52" i="4"/>
  <c r="BY52" i="4"/>
  <c r="AB36" i="12"/>
  <c r="BX53" i="4"/>
  <c r="BY53" i="4"/>
  <c r="AB37" i="12"/>
  <c r="BX54" i="4"/>
  <c r="BY54" i="4"/>
  <c r="AB38" i="12"/>
  <c r="BX55" i="4"/>
  <c r="BY55" i="4"/>
  <c r="AB39" i="12"/>
  <c r="BX56" i="4"/>
  <c r="BY56" i="4"/>
  <c r="AB40" i="12"/>
  <c r="BX57" i="4"/>
  <c r="BY57" i="4"/>
  <c r="AB41" i="12"/>
  <c r="BX58" i="4"/>
  <c r="BY58" i="4"/>
  <c r="AB42" i="12"/>
  <c r="BX59" i="4"/>
  <c r="BY59" i="4"/>
  <c r="AB43" i="12"/>
  <c r="BX60" i="4"/>
  <c r="BY60" i="4"/>
  <c r="AB44" i="12"/>
  <c r="BX61" i="4"/>
  <c r="BY61" i="4"/>
  <c r="AB45" i="12"/>
  <c r="BX62" i="4"/>
  <c r="BY62" i="4"/>
  <c r="AB46" i="12"/>
  <c r="BX63" i="4"/>
  <c r="BY63" i="4"/>
  <c r="AB47" i="12"/>
  <c r="BX64" i="4"/>
  <c r="BY64" i="4"/>
  <c r="AB48" i="12"/>
  <c r="BX65" i="4"/>
  <c r="BY65" i="4"/>
  <c r="AB49" i="12"/>
  <c r="BX66" i="4"/>
  <c r="BY66" i="4"/>
  <c r="AB50" i="12"/>
  <c r="AB52" i="12"/>
  <c r="F151" i="7"/>
  <c r="F152" i="7"/>
  <c r="H157" i="7"/>
  <c r="G157" i="7"/>
  <c r="BZ21" i="4"/>
  <c r="CA21" i="4"/>
  <c r="AC5" i="12"/>
  <c r="BZ22" i="4"/>
  <c r="CA22" i="4"/>
  <c r="AC6" i="12"/>
  <c r="BZ23" i="4"/>
  <c r="CA23" i="4"/>
  <c r="AC7" i="12"/>
  <c r="BZ24" i="4"/>
  <c r="CA24" i="4"/>
  <c r="AC8" i="12"/>
  <c r="BZ25" i="4"/>
  <c r="CA25" i="4"/>
  <c r="AC9" i="12"/>
  <c r="BZ26" i="4"/>
  <c r="CA26" i="4"/>
  <c r="AC10" i="12"/>
  <c r="BZ27" i="4"/>
  <c r="CA27" i="4"/>
  <c r="AC11" i="12"/>
  <c r="BZ28" i="4"/>
  <c r="CA28" i="4"/>
  <c r="AC12" i="12"/>
  <c r="BZ29" i="4"/>
  <c r="CA29" i="4"/>
  <c r="AC13" i="12"/>
  <c r="BZ30" i="4"/>
  <c r="CA30" i="4"/>
  <c r="AC14" i="12"/>
  <c r="BZ31" i="4"/>
  <c r="CA31" i="4"/>
  <c r="AC15" i="12"/>
  <c r="BZ32" i="4"/>
  <c r="CA32" i="4"/>
  <c r="AC16" i="12"/>
  <c r="BZ33" i="4"/>
  <c r="CA33" i="4"/>
  <c r="AC17" i="12"/>
  <c r="BZ34" i="4"/>
  <c r="CA34" i="4"/>
  <c r="AC18" i="12"/>
  <c r="BZ35" i="4"/>
  <c r="CA35" i="4"/>
  <c r="AC19" i="12"/>
  <c r="BZ36" i="4"/>
  <c r="CA36" i="4"/>
  <c r="AC20" i="12"/>
  <c r="BZ37" i="4"/>
  <c r="CA37" i="4"/>
  <c r="AC21" i="12"/>
  <c r="BZ38" i="4"/>
  <c r="CA38" i="4"/>
  <c r="AC22" i="12"/>
  <c r="BZ39" i="4"/>
  <c r="CA39" i="4"/>
  <c r="AC23" i="12"/>
  <c r="BZ40" i="4"/>
  <c r="CA40" i="4"/>
  <c r="AC24" i="12"/>
  <c r="BZ41" i="4"/>
  <c r="CA41" i="4"/>
  <c r="AC25" i="12"/>
  <c r="BZ42" i="4"/>
  <c r="CA42" i="4"/>
  <c r="AC26" i="12"/>
  <c r="BZ43" i="4"/>
  <c r="CA43" i="4"/>
  <c r="AC27" i="12"/>
  <c r="BZ44" i="4"/>
  <c r="CA44" i="4"/>
  <c r="AC28" i="12"/>
  <c r="BZ45" i="4"/>
  <c r="CA45" i="4"/>
  <c r="AC29" i="12"/>
  <c r="BZ46" i="4"/>
  <c r="CA46" i="4"/>
  <c r="AC30" i="12"/>
  <c r="BZ47" i="4"/>
  <c r="CA47" i="4"/>
  <c r="AC31" i="12"/>
  <c r="BZ48" i="4"/>
  <c r="CA48" i="4"/>
  <c r="AC32" i="12"/>
  <c r="BZ49" i="4"/>
  <c r="CA49" i="4"/>
  <c r="AC33" i="12"/>
  <c r="BZ50" i="4"/>
  <c r="CA50" i="4"/>
  <c r="AC34" i="12"/>
  <c r="BZ51" i="4"/>
  <c r="CA51" i="4"/>
  <c r="AC35" i="12"/>
  <c r="BZ52" i="4"/>
  <c r="CA52" i="4"/>
  <c r="AC36" i="12"/>
  <c r="BZ53" i="4"/>
  <c r="CA53" i="4"/>
  <c r="AC37" i="12"/>
  <c r="BZ54" i="4"/>
  <c r="CA54" i="4"/>
  <c r="AC38" i="12"/>
  <c r="BZ55" i="4"/>
  <c r="CA55" i="4"/>
  <c r="AC39" i="12"/>
  <c r="BZ56" i="4"/>
  <c r="CA56" i="4"/>
  <c r="AC40" i="12"/>
  <c r="BZ57" i="4"/>
  <c r="CA57" i="4"/>
  <c r="AC41" i="12"/>
  <c r="BZ58" i="4"/>
  <c r="CA58" i="4"/>
  <c r="AC42" i="12"/>
  <c r="BZ59" i="4"/>
  <c r="CA59" i="4"/>
  <c r="AC43" i="12"/>
  <c r="BZ60" i="4"/>
  <c r="CA60" i="4"/>
  <c r="AC44" i="12"/>
  <c r="BZ61" i="4"/>
  <c r="CA61" i="4"/>
  <c r="AC45" i="12"/>
  <c r="BZ62" i="4"/>
  <c r="CA62" i="4"/>
  <c r="AC46" i="12"/>
  <c r="BZ63" i="4"/>
  <c r="CA63" i="4"/>
  <c r="AC47" i="12"/>
  <c r="BZ64" i="4"/>
  <c r="CA64" i="4"/>
  <c r="AC48" i="12"/>
  <c r="BZ65" i="4"/>
  <c r="CA65" i="4"/>
  <c r="AC49" i="12"/>
  <c r="BZ66" i="4"/>
  <c r="CA66" i="4"/>
  <c r="AC50" i="12"/>
  <c r="AC52" i="12"/>
  <c r="F156" i="7"/>
  <c r="F157" i="7"/>
  <c r="H162" i="7"/>
  <c r="G162" i="7"/>
  <c r="CB21" i="4"/>
  <c r="CC21" i="4"/>
  <c r="AD5" i="12"/>
  <c r="CB22" i="4"/>
  <c r="CC22" i="4"/>
  <c r="AD6" i="12"/>
  <c r="CB23" i="4"/>
  <c r="CC23" i="4"/>
  <c r="AD7" i="12"/>
  <c r="CB24" i="4"/>
  <c r="CC24" i="4"/>
  <c r="AD8" i="12"/>
  <c r="CB25" i="4"/>
  <c r="CC25" i="4"/>
  <c r="AD9" i="12"/>
  <c r="CB26" i="4"/>
  <c r="CC26" i="4"/>
  <c r="AD10" i="12"/>
  <c r="CB27" i="4"/>
  <c r="CC27" i="4"/>
  <c r="AD11" i="12"/>
  <c r="CB28" i="4"/>
  <c r="CC28" i="4"/>
  <c r="AD12" i="12"/>
  <c r="CB29" i="4"/>
  <c r="CC29" i="4"/>
  <c r="AD13" i="12"/>
  <c r="CB30" i="4"/>
  <c r="CC30" i="4"/>
  <c r="AD14" i="12"/>
  <c r="CB31" i="4"/>
  <c r="CC31" i="4"/>
  <c r="AD15" i="12"/>
  <c r="CB32" i="4"/>
  <c r="CC32" i="4"/>
  <c r="AD16" i="12"/>
  <c r="CB33" i="4"/>
  <c r="CC33" i="4"/>
  <c r="AD17" i="12"/>
  <c r="CB34" i="4"/>
  <c r="CC34" i="4"/>
  <c r="AD18" i="12"/>
  <c r="CB35" i="4"/>
  <c r="CC35" i="4"/>
  <c r="AD19" i="12"/>
  <c r="CB36" i="4"/>
  <c r="CC36" i="4"/>
  <c r="AD20" i="12"/>
  <c r="CB37" i="4"/>
  <c r="CC37" i="4"/>
  <c r="AD21" i="12"/>
  <c r="CB38" i="4"/>
  <c r="CC38" i="4"/>
  <c r="AD22" i="12"/>
  <c r="CB39" i="4"/>
  <c r="CC39" i="4"/>
  <c r="AD23" i="12"/>
  <c r="CB40" i="4"/>
  <c r="CC40" i="4"/>
  <c r="AD24" i="12"/>
  <c r="CB41" i="4"/>
  <c r="CC41" i="4"/>
  <c r="AD25" i="12"/>
  <c r="CB42" i="4"/>
  <c r="CC42" i="4"/>
  <c r="AD26" i="12"/>
  <c r="CB43" i="4"/>
  <c r="CC43" i="4"/>
  <c r="AD27" i="12"/>
  <c r="CB44" i="4"/>
  <c r="CC44" i="4"/>
  <c r="AD28" i="12"/>
  <c r="CB45" i="4"/>
  <c r="CC45" i="4"/>
  <c r="AD29" i="12"/>
  <c r="CB46" i="4"/>
  <c r="CC46" i="4"/>
  <c r="AD30" i="12"/>
  <c r="CB47" i="4"/>
  <c r="CC47" i="4"/>
  <c r="AD31" i="12"/>
  <c r="CB48" i="4"/>
  <c r="CC48" i="4"/>
  <c r="AD32" i="12"/>
  <c r="CB49" i="4"/>
  <c r="CC49" i="4"/>
  <c r="AD33" i="12"/>
  <c r="CB50" i="4"/>
  <c r="CC50" i="4"/>
  <c r="AD34" i="12"/>
  <c r="CB51" i="4"/>
  <c r="CC51" i="4"/>
  <c r="AD35" i="12"/>
  <c r="CB52" i="4"/>
  <c r="CC52" i="4"/>
  <c r="AD36" i="12"/>
  <c r="CB53" i="4"/>
  <c r="CC53" i="4"/>
  <c r="AD37" i="12"/>
  <c r="CB54" i="4"/>
  <c r="CC54" i="4"/>
  <c r="AD38" i="12"/>
  <c r="CB55" i="4"/>
  <c r="CC55" i="4"/>
  <c r="AD39" i="12"/>
  <c r="CB56" i="4"/>
  <c r="CC56" i="4"/>
  <c r="AD40" i="12"/>
  <c r="CB57" i="4"/>
  <c r="CC57" i="4"/>
  <c r="AD41" i="12"/>
  <c r="CB58" i="4"/>
  <c r="CC58" i="4"/>
  <c r="AD42" i="12"/>
  <c r="CB59" i="4"/>
  <c r="CC59" i="4"/>
  <c r="AD43" i="12"/>
  <c r="CB60" i="4"/>
  <c r="CC60" i="4"/>
  <c r="AD44" i="12"/>
  <c r="CB61" i="4"/>
  <c r="CC61" i="4"/>
  <c r="AD45" i="12"/>
  <c r="CB62" i="4"/>
  <c r="CC62" i="4"/>
  <c r="AD46" i="12"/>
  <c r="CB63" i="4"/>
  <c r="CC63" i="4"/>
  <c r="AD47" i="12"/>
  <c r="CB64" i="4"/>
  <c r="CC64" i="4"/>
  <c r="AD48" i="12"/>
  <c r="CB65" i="4"/>
  <c r="CC65" i="4"/>
  <c r="AD49" i="12"/>
  <c r="CB66" i="4"/>
  <c r="CC66" i="4"/>
  <c r="AD50" i="12"/>
  <c r="AD52" i="12"/>
  <c r="F161" i="7"/>
  <c r="F162" i="7"/>
  <c r="H167" i="7"/>
  <c r="G167" i="7"/>
  <c r="CD21" i="4"/>
  <c r="CE21" i="4"/>
  <c r="AE5" i="12"/>
  <c r="CD22" i="4"/>
  <c r="CE22" i="4"/>
  <c r="AE6" i="12"/>
  <c r="CD23" i="4"/>
  <c r="CE23" i="4"/>
  <c r="AE7" i="12"/>
  <c r="CD24" i="4"/>
  <c r="CE24" i="4"/>
  <c r="AE8" i="12"/>
  <c r="CD25" i="4"/>
  <c r="CE25" i="4"/>
  <c r="AE9" i="12"/>
  <c r="CD26" i="4"/>
  <c r="CE26" i="4"/>
  <c r="AE10" i="12"/>
  <c r="CD27" i="4"/>
  <c r="CE27" i="4"/>
  <c r="AE11" i="12"/>
  <c r="CD28" i="4"/>
  <c r="CE28" i="4"/>
  <c r="AE12" i="12"/>
  <c r="CD29" i="4"/>
  <c r="CE29" i="4"/>
  <c r="AE13" i="12"/>
  <c r="CD30" i="4"/>
  <c r="CE30" i="4"/>
  <c r="AE14" i="12"/>
  <c r="CD31" i="4"/>
  <c r="CE31" i="4"/>
  <c r="AE15" i="12"/>
  <c r="CD32" i="4"/>
  <c r="CE32" i="4"/>
  <c r="AE16" i="12"/>
  <c r="CD33" i="4"/>
  <c r="CE33" i="4"/>
  <c r="AE17" i="12"/>
  <c r="CD34" i="4"/>
  <c r="CE34" i="4"/>
  <c r="AE18" i="12"/>
  <c r="CD35" i="4"/>
  <c r="CE35" i="4"/>
  <c r="AE19" i="12"/>
  <c r="CD36" i="4"/>
  <c r="CE36" i="4"/>
  <c r="AE20" i="12"/>
  <c r="CD37" i="4"/>
  <c r="CE37" i="4"/>
  <c r="AE21" i="12"/>
  <c r="CD38" i="4"/>
  <c r="CE38" i="4"/>
  <c r="AE22" i="12"/>
  <c r="CD39" i="4"/>
  <c r="CE39" i="4"/>
  <c r="AE23" i="12"/>
  <c r="CD40" i="4"/>
  <c r="CE40" i="4"/>
  <c r="AE24" i="12"/>
  <c r="CD41" i="4"/>
  <c r="CE41" i="4"/>
  <c r="AE25" i="12"/>
  <c r="CD42" i="4"/>
  <c r="CE42" i="4"/>
  <c r="AE26" i="12"/>
  <c r="CD43" i="4"/>
  <c r="CE43" i="4"/>
  <c r="AE27" i="12"/>
  <c r="CD44" i="4"/>
  <c r="CE44" i="4"/>
  <c r="AE28" i="12"/>
  <c r="CD45" i="4"/>
  <c r="CE45" i="4"/>
  <c r="AE29" i="12"/>
  <c r="CD46" i="4"/>
  <c r="CE46" i="4"/>
  <c r="AE30" i="12"/>
  <c r="CD47" i="4"/>
  <c r="CE47" i="4"/>
  <c r="AE31" i="12"/>
  <c r="CD48" i="4"/>
  <c r="CE48" i="4"/>
  <c r="AE32" i="12"/>
  <c r="CD49" i="4"/>
  <c r="CE49" i="4"/>
  <c r="AE33" i="12"/>
  <c r="CD50" i="4"/>
  <c r="CE50" i="4"/>
  <c r="AE34" i="12"/>
  <c r="CD51" i="4"/>
  <c r="CE51" i="4"/>
  <c r="AE35" i="12"/>
  <c r="CD52" i="4"/>
  <c r="CE52" i="4"/>
  <c r="AE36" i="12"/>
  <c r="CD53" i="4"/>
  <c r="CE53" i="4"/>
  <c r="AE37" i="12"/>
  <c r="CD54" i="4"/>
  <c r="CE54" i="4"/>
  <c r="AE38" i="12"/>
  <c r="CD55" i="4"/>
  <c r="CE55" i="4"/>
  <c r="AE39" i="12"/>
  <c r="CD56" i="4"/>
  <c r="CE56" i="4"/>
  <c r="AE40" i="12"/>
  <c r="CD57" i="4"/>
  <c r="CE57" i="4"/>
  <c r="AE41" i="12"/>
  <c r="CD58" i="4"/>
  <c r="CE58" i="4"/>
  <c r="AE42" i="12"/>
  <c r="CD59" i="4"/>
  <c r="CE59" i="4"/>
  <c r="AE43" i="12"/>
  <c r="CD60" i="4"/>
  <c r="CE60" i="4"/>
  <c r="AE44" i="12"/>
  <c r="CD61" i="4"/>
  <c r="CE61" i="4"/>
  <c r="AE45" i="12"/>
  <c r="CD62" i="4"/>
  <c r="CE62" i="4"/>
  <c r="AE46" i="12"/>
  <c r="CD63" i="4"/>
  <c r="CE63" i="4"/>
  <c r="AE47" i="12"/>
  <c r="CD64" i="4"/>
  <c r="CE64" i="4"/>
  <c r="AE48" i="12"/>
  <c r="CD65" i="4"/>
  <c r="CE65" i="4"/>
  <c r="AE49" i="12"/>
  <c r="CD66" i="4"/>
  <c r="CE66" i="4"/>
  <c r="AE50" i="12"/>
  <c r="AE52" i="12"/>
  <c r="F166" i="7"/>
  <c r="F167" i="7"/>
  <c r="H172" i="7"/>
  <c r="G172" i="7"/>
  <c r="CF21" i="4"/>
  <c r="CG21" i="4"/>
  <c r="CH21" i="4"/>
  <c r="CI21" i="4"/>
  <c r="CJ21" i="4"/>
  <c r="CK21" i="4"/>
  <c r="CL21" i="4"/>
  <c r="CM21" i="4"/>
  <c r="CN21" i="4"/>
  <c r="CO21" i="4"/>
  <c r="CP21" i="4"/>
  <c r="CQ21" i="4"/>
  <c r="AF5" i="12"/>
  <c r="CF22" i="4"/>
  <c r="CG22" i="4"/>
  <c r="CH22" i="4"/>
  <c r="CI22" i="4"/>
  <c r="CJ22" i="4"/>
  <c r="CK22" i="4"/>
  <c r="CL22" i="4"/>
  <c r="CM22" i="4"/>
  <c r="CN22" i="4"/>
  <c r="CO22" i="4"/>
  <c r="CP22" i="4"/>
  <c r="CQ22" i="4"/>
  <c r="AF6" i="12"/>
  <c r="CF23" i="4"/>
  <c r="CG23" i="4"/>
  <c r="CH23" i="4"/>
  <c r="CI23" i="4"/>
  <c r="CJ23" i="4"/>
  <c r="CK23" i="4"/>
  <c r="CL23" i="4"/>
  <c r="CM23" i="4"/>
  <c r="CN23" i="4"/>
  <c r="CO23" i="4"/>
  <c r="CP23" i="4"/>
  <c r="CQ23" i="4"/>
  <c r="AF7" i="12"/>
  <c r="CF24" i="4"/>
  <c r="CG24" i="4"/>
  <c r="CH24" i="4"/>
  <c r="CI24" i="4"/>
  <c r="CJ24" i="4"/>
  <c r="CK24" i="4"/>
  <c r="CL24" i="4"/>
  <c r="CM24" i="4"/>
  <c r="CN24" i="4"/>
  <c r="CO24" i="4"/>
  <c r="CP24" i="4"/>
  <c r="CQ24" i="4"/>
  <c r="AF8" i="12"/>
  <c r="CF25" i="4"/>
  <c r="CG25" i="4"/>
  <c r="CH25" i="4"/>
  <c r="CI25" i="4"/>
  <c r="CJ25" i="4"/>
  <c r="CK25" i="4"/>
  <c r="CL25" i="4"/>
  <c r="CM25" i="4"/>
  <c r="CN25" i="4"/>
  <c r="CO25" i="4"/>
  <c r="CP25" i="4"/>
  <c r="CQ25" i="4"/>
  <c r="AF9" i="12"/>
  <c r="CF26" i="4"/>
  <c r="CG26" i="4"/>
  <c r="CH26" i="4"/>
  <c r="CI26" i="4"/>
  <c r="CJ26" i="4"/>
  <c r="CK26" i="4"/>
  <c r="CL26" i="4"/>
  <c r="CM26" i="4"/>
  <c r="CN26" i="4"/>
  <c r="CO26" i="4"/>
  <c r="CP26" i="4"/>
  <c r="CQ26" i="4"/>
  <c r="AF10" i="12"/>
  <c r="CF27" i="4"/>
  <c r="CG27" i="4"/>
  <c r="CH27" i="4"/>
  <c r="CI27" i="4"/>
  <c r="CJ27" i="4"/>
  <c r="CK27" i="4"/>
  <c r="CL27" i="4"/>
  <c r="CM27" i="4"/>
  <c r="CN27" i="4"/>
  <c r="CO27" i="4"/>
  <c r="CP27" i="4"/>
  <c r="CQ27" i="4"/>
  <c r="AF11" i="12"/>
  <c r="CF28" i="4"/>
  <c r="CG28" i="4"/>
  <c r="CH28" i="4"/>
  <c r="CI28" i="4"/>
  <c r="CJ28" i="4"/>
  <c r="CK28" i="4"/>
  <c r="CL28" i="4"/>
  <c r="CM28" i="4"/>
  <c r="CN28" i="4"/>
  <c r="CO28" i="4"/>
  <c r="CP28" i="4"/>
  <c r="CQ28" i="4"/>
  <c r="AF12" i="12"/>
  <c r="CF29" i="4"/>
  <c r="CG29" i="4"/>
  <c r="CH29" i="4"/>
  <c r="CI29" i="4"/>
  <c r="CJ29" i="4"/>
  <c r="CK29" i="4"/>
  <c r="CL29" i="4"/>
  <c r="CM29" i="4"/>
  <c r="CN29" i="4"/>
  <c r="CO29" i="4"/>
  <c r="CP29" i="4"/>
  <c r="CQ29" i="4"/>
  <c r="AF13" i="12"/>
  <c r="CF30" i="4"/>
  <c r="CG30" i="4"/>
  <c r="CH30" i="4"/>
  <c r="CI30" i="4"/>
  <c r="CJ30" i="4"/>
  <c r="CK30" i="4"/>
  <c r="CL30" i="4"/>
  <c r="CM30" i="4"/>
  <c r="CN30" i="4"/>
  <c r="CO30" i="4"/>
  <c r="CP30" i="4"/>
  <c r="CQ30" i="4"/>
  <c r="AF14" i="12"/>
  <c r="CF31" i="4"/>
  <c r="CG31" i="4"/>
  <c r="CH31" i="4"/>
  <c r="CI31" i="4"/>
  <c r="CJ31" i="4"/>
  <c r="CK31" i="4"/>
  <c r="CL31" i="4"/>
  <c r="CM31" i="4"/>
  <c r="CN31" i="4"/>
  <c r="CO31" i="4"/>
  <c r="CP31" i="4"/>
  <c r="CQ31" i="4"/>
  <c r="AF15" i="12"/>
  <c r="CF32" i="4"/>
  <c r="CG32" i="4"/>
  <c r="CH32" i="4"/>
  <c r="CI32" i="4"/>
  <c r="CJ32" i="4"/>
  <c r="CK32" i="4"/>
  <c r="CL32" i="4"/>
  <c r="CM32" i="4"/>
  <c r="CN32" i="4"/>
  <c r="CO32" i="4"/>
  <c r="CP32" i="4"/>
  <c r="CQ32" i="4"/>
  <c r="AF16" i="12"/>
  <c r="CF33" i="4"/>
  <c r="CG33" i="4"/>
  <c r="CH33" i="4"/>
  <c r="CI33" i="4"/>
  <c r="CJ33" i="4"/>
  <c r="CK33" i="4"/>
  <c r="CL33" i="4"/>
  <c r="CM33" i="4"/>
  <c r="CN33" i="4"/>
  <c r="CO33" i="4"/>
  <c r="CP33" i="4"/>
  <c r="CQ33" i="4"/>
  <c r="AF17" i="12"/>
  <c r="CF34" i="4"/>
  <c r="CG34" i="4"/>
  <c r="CH34" i="4"/>
  <c r="CI34" i="4"/>
  <c r="CJ34" i="4"/>
  <c r="CK34" i="4"/>
  <c r="CL34" i="4"/>
  <c r="CM34" i="4"/>
  <c r="CN34" i="4"/>
  <c r="CO34" i="4"/>
  <c r="CP34" i="4"/>
  <c r="CQ34" i="4"/>
  <c r="AF18" i="12"/>
  <c r="CF35" i="4"/>
  <c r="CG35" i="4"/>
  <c r="CH35" i="4"/>
  <c r="CI35" i="4"/>
  <c r="CJ35" i="4"/>
  <c r="CK35" i="4"/>
  <c r="CL35" i="4"/>
  <c r="CM35" i="4"/>
  <c r="CN35" i="4"/>
  <c r="CO35" i="4"/>
  <c r="CP35" i="4"/>
  <c r="CQ35" i="4"/>
  <c r="AF19" i="12"/>
  <c r="CF36" i="4"/>
  <c r="CG36" i="4"/>
  <c r="CH36" i="4"/>
  <c r="CI36" i="4"/>
  <c r="CJ36" i="4"/>
  <c r="CK36" i="4"/>
  <c r="CL36" i="4"/>
  <c r="CM36" i="4"/>
  <c r="CN36" i="4"/>
  <c r="CO36" i="4"/>
  <c r="CP36" i="4"/>
  <c r="CQ36" i="4"/>
  <c r="AF20" i="12"/>
  <c r="CF37" i="4"/>
  <c r="CG37" i="4"/>
  <c r="CH37" i="4"/>
  <c r="CI37" i="4"/>
  <c r="CJ37" i="4"/>
  <c r="CK37" i="4"/>
  <c r="CL37" i="4"/>
  <c r="CM37" i="4"/>
  <c r="CN37" i="4"/>
  <c r="CO37" i="4"/>
  <c r="CP37" i="4"/>
  <c r="CQ37" i="4"/>
  <c r="AF21" i="12"/>
  <c r="CF38" i="4"/>
  <c r="CG38" i="4"/>
  <c r="CH38" i="4"/>
  <c r="CI38" i="4"/>
  <c r="CJ38" i="4"/>
  <c r="CK38" i="4"/>
  <c r="CL38" i="4"/>
  <c r="CM38" i="4"/>
  <c r="CN38" i="4"/>
  <c r="CO38" i="4"/>
  <c r="CP38" i="4"/>
  <c r="CQ38" i="4"/>
  <c r="AF22" i="12"/>
  <c r="CF39" i="4"/>
  <c r="CG39" i="4"/>
  <c r="CH39" i="4"/>
  <c r="CI39" i="4"/>
  <c r="CJ39" i="4"/>
  <c r="CK39" i="4"/>
  <c r="CL39" i="4"/>
  <c r="CM39" i="4"/>
  <c r="CN39" i="4"/>
  <c r="CO39" i="4"/>
  <c r="CP39" i="4"/>
  <c r="CQ39" i="4"/>
  <c r="AF23" i="12"/>
  <c r="CF40" i="4"/>
  <c r="CG40" i="4"/>
  <c r="CH40" i="4"/>
  <c r="CI40" i="4"/>
  <c r="CJ40" i="4"/>
  <c r="CK40" i="4"/>
  <c r="CL40" i="4"/>
  <c r="CM40" i="4"/>
  <c r="CN40" i="4"/>
  <c r="CO40" i="4"/>
  <c r="CP40" i="4"/>
  <c r="CQ40" i="4"/>
  <c r="AF24" i="12"/>
  <c r="CF41" i="4"/>
  <c r="CG41" i="4"/>
  <c r="CH41" i="4"/>
  <c r="CI41" i="4"/>
  <c r="CJ41" i="4"/>
  <c r="CK41" i="4"/>
  <c r="CL41" i="4"/>
  <c r="CM41" i="4"/>
  <c r="CN41" i="4"/>
  <c r="CO41" i="4"/>
  <c r="CP41" i="4"/>
  <c r="CQ41" i="4"/>
  <c r="AF25" i="12"/>
  <c r="CF42" i="4"/>
  <c r="CG42" i="4"/>
  <c r="CH42" i="4"/>
  <c r="CI42" i="4"/>
  <c r="CJ42" i="4"/>
  <c r="CK42" i="4"/>
  <c r="CL42" i="4"/>
  <c r="CM42" i="4"/>
  <c r="CN42" i="4"/>
  <c r="CO42" i="4"/>
  <c r="CP42" i="4"/>
  <c r="CQ42" i="4"/>
  <c r="AF26" i="12"/>
  <c r="CF43" i="4"/>
  <c r="CG43" i="4"/>
  <c r="CH43" i="4"/>
  <c r="CI43" i="4"/>
  <c r="CJ43" i="4"/>
  <c r="CK43" i="4"/>
  <c r="CL43" i="4"/>
  <c r="CM43" i="4"/>
  <c r="CN43" i="4"/>
  <c r="CO43" i="4"/>
  <c r="CP43" i="4"/>
  <c r="CQ43" i="4"/>
  <c r="AF27" i="12"/>
  <c r="CF44" i="4"/>
  <c r="CG44" i="4"/>
  <c r="CH44" i="4"/>
  <c r="CI44" i="4"/>
  <c r="CJ44" i="4"/>
  <c r="CK44" i="4"/>
  <c r="CL44" i="4"/>
  <c r="CM44" i="4"/>
  <c r="CN44" i="4"/>
  <c r="CO44" i="4"/>
  <c r="CP44" i="4"/>
  <c r="CQ44" i="4"/>
  <c r="AF28" i="12"/>
  <c r="CF45" i="4"/>
  <c r="CG45" i="4"/>
  <c r="CH45" i="4"/>
  <c r="CI45" i="4"/>
  <c r="CJ45" i="4"/>
  <c r="CK45" i="4"/>
  <c r="CL45" i="4"/>
  <c r="CM45" i="4"/>
  <c r="CN45" i="4"/>
  <c r="CO45" i="4"/>
  <c r="CP45" i="4"/>
  <c r="CQ45" i="4"/>
  <c r="AF29" i="12"/>
  <c r="CF46" i="4"/>
  <c r="CG46" i="4"/>
  <c r="CH46" i="4"/>
  <c r="CI46" i="4"/>
  <c r="CJ46" i="4"/>
  <c r="CK46" i="4"/>
  <c r="CL46" i="4"/>
  <c r="CM46" i="4"/>
  <c r="CN46" i="4"/>
  <c r="CO46" i="4"/>
  <c r="CP46" i="4"/>
  <c r="CQ46" i="4"/>
  <c r="AF30" i="12"/>
  <c r="CF47" i="4"/>
  <c r="CG47" i="4"/>
  <c r="CH47" i="4"/>
  <c r="CI47" i="4"/>
  <c r="CJ47" i="4"/>
  <c r="CK47" i="4"/>
  <c r="CL47" i="4"/>
  <c r="CM47" i="4"/>
  <c r="CN47" i="4"/>
  <c r="CO47" i="4"/>
  <c r="CP47" i="4"/>
  <c r="CQ47" i="4"/>
  <c r="AF31" i="12"/>
  <c r="CF48" i="4"/>
  <c r="CG48" i="4"/>
  <c r="CH48" i="4"/>
  <c r="CI48" i="4"/>
  <c r="CJ48" i="4"/>
  <c r="CK48" i="4"/>
  <c r="CL48" i="4"/>
  <c r="CM48" i="4"/>
  <c r="CN48" i="4"/>
  <c r="CO48" i="4"/>
  <c r="CP48" i="4"/>
  <c r="CQ48" i="4"/>
  <c r="AF32" i="12"/>
  <c r="CF49" i="4"/>
  <c r="CG49" i="4"/>
  <c r="CH49" i="4"/>
  <c r="CI49" i="4"/>
  <c r="CJ49" i="4"/>
  <c r="CK49" i="4"/>
  <c r="CL49" i="4"/>
  <c r="CM49" i="4"/>
  <c r="CN49" i="4"/>
  <c r="CO49" i="4"/>
  <c r="CP49" i="4"/>
  <c r="CQ49" i="4"/>
  <c r="AF33" i="12"/>
  <c r="CF50" i="4"/>
  <c r="CG50" i="4"/>
  <c r="CH50" i="4"/>
  <c r="CI50" i="4"/>
  <c r="CJ50" i="4"/>
  <c r="CK50" i="4"/>
  <c r="CL50" i="4"/>
  <c r="CM50" i="4"/>
  <c r="CN50" i="4"/>
  <c r="CO50" i="4"/>
  <c r="CP50" i="4"/>
  <c r="CQ50" i="4"/>
  <c r="AF34" i="12"/>
  <c r="CF51" i="4"/>
  <c r="CG51" i="4"/>
  <c r="CH51" i="4"/>
  <c r="CI51" i="4"/>
  <c r="CJ51" i="4"/>
  <c r="CK51" i="4"/>
  <c r="CL51" i="4"/>
  <c r="CM51" i="4"/>
  <c r="CN51" i="4"/>
  <c r="CO51" i="4"/>
  <c r="CP51" i="4"/>
  <c r="CQ51" i="4"/>
  <c r="AF35" i="12"/>
  <c r="CF52" i="4"/>
  <c r="CG52" i="4"/>
  <c r="CH52" i="4"/>
  <c r="CI52" i="4"/>
  <c r="CJ52" i="4"/>
  <c r="CK52" i="4"/>
  <c r="CL52" i="4"/>
  <c r="CM52" i="4"/>
  <c r="CN52" i="4"/>
  <c r="CO52" i="4"/>
  <c r="CP52" i="4"/>
  <c r="CQ52" i="4"/>
  <c r="AF36" i="12"/>
  <c r="CF53" i="4"/>
  <c r="CG53" i="4"/>
  <c r="CH53" i="4"/>
  <c r="CI53" i="4"/>
  <c r="CJ53" i="4"/>
  <c r="CK53" i="4"/>
  <c r="CL53" i="4"/>
  <c r="CM53" i="4"/>
  <c r="CN53" i="4"/>
  <c r="CO53" i="4"/>
  <c r="CP53" i="4"/>
  <c r="CQ53" i="4"/>
  <c r="AF37" i="12"/>
  <c r="CF54" i="4"/>
  <c r="CG54" i="4"/>
  <c r="CH54" i="4"/>
  <c r="CI54" i="4"/>
  <c r="CJ54" i="4"/>
  <c r="CK54" i="4"/>
  <c r="CL54" i="4"/>
  <c r="CM54" i="4"/>
  <c r="CN54" i="4"/>
  <c r="CO54" i="4"/>
  <c r="CP54" i="4"/>
  <c r="CQ54" i="4"/>
  <c r="AF38" i="12"/>
  <c r="CF55" i="4"/>
  <c r="CG55" i="4"/>
  <c r="CH55" i="4"/>
  <c r="CI55" i="4"/>
  <c r="CJ55" i="4"/>
  <c r="CK55" i="4"/>
  <c r="CL55" i="4"/>
  <c r="CM55" i="4"/>
  <c r="CN55" i="4"/>
  <c r="CO55" i="4"/>
  <c r="CP55" i="4"/>
  <c r="CQ55" i="4"/>
  <c r="AF39" i="12"/>
  <c r="CF56" i="4"/>
  <c r="CG56" i="4"/>
  <c r="CH56" i="4"/>
  <c r="CI56" i="4"/>
  <c r="CJ56" i="4"/>
  <c r="CK56" i="4"/>
  <c r="CL56" i="4"/>
  <c r="CM56" i="4"/>
  <c r="CN56" i="4"/>
  <c r="CO56" i="4"/>
  <c r="CP56" i="4"/>
  <c r="CQ56" i="4"/>
  <c r="AF40" i="12"/>
  <c r="CF57" i="4"/>
  <c r="CG57" i="4"/>
  <c r="CH57" i="4"/>
  <c r="CI57" i="4"/>
  <c r="CJ57" i="4"/>
  <c r="CK57" i="4"/>
  <c r="CL57" i="4"/>
  <c r="CM57" i="4"/>
  <c r="CN57" i="4"/>
  <c r="CO57" i="4"/>
  <c r="CP57" i="4"/>
  <c r="CQ57" i="4"/>
  <c r="AF41" i="12"/>
  <c r="CF58" i="4"/>
  <c r="CG58" i="4"/>
  <c r="CH58" i="4"/>
  <c r="CI58" i="4"/>
  <c r="CJ58" i="4"/>
  <c r="CK58" i="4"/>
  <c r="CL58" i="4"/>
  <c r="CM58" i="4"/>
  <c r="CN58" i="4"/>
  <c r="CO58" i="4"/>
  <c r="CP58" i="4"/>
  <c r="CQ58" i="4"/>
  <c r="AF42" i="12"/>
  <c r="CF59" i="4"/>
  <c r="CG59" i="4"/>
  <c r="CH59" i="4"/>
  <c r="CI59" i="4"/>
  <c r="CJ59" i="4"/>
  <c r="CK59" i="4"/>
  <c r="CL59" i="4"/>
  <c r="CM59" i="4"/>
  <c r="CN59" i="4"/>
  <c r="CO59" i="4"/>
  <c r="CP59" i="4"/>
  <c r="CQ59" i="4"/>
  <c r="AF43" i="12"/>
  <c r="CF60" i="4"/>
  <c r="CG60" i="4"/>
  <c r="CH60" i="4"/>
  <c r="CI60" i="4"/>
  <c r="CJ60" i="4"/>
  <c r="CK60" i="4"/>
  <c r="CL60" i="4"/>
  <c r="CM60" i="4"/>
  <c r="CN60" i="4"/>
  <c r="CO60" i="4"/>
  <c r="CP60" i="4"/>
  <c r="CQ60" i="4"/>
  <c r="AF44" i="12"/>
  <c r="CF61" i="4"/>
  <c r="CG61" i="4"/>
  <c r="CH61" i="4"/>
  <c r="CI61" i="4"/>
  <c r="CJ61" i="4"/>
  <c r="CK61" i="4"/>
  <c r="CL61" i="4"/>
  <c r="CM61" i="4"/>
  <c r="CN61" i="4"/>
  <c r="CO61" i="4"/>
  <c r="CP61" i="4"/>
  <c r="CQ61" i="4"/>
  <c r="AF45" i="12"/>
  <c r="CF62" i="4"/>
  <c r="CG62" i="4"/>
  <c r="CH62" i="4"/>
  <c r="CI62" i="4"/>
  <c r="CJ62" i="4"/>
  <c r="CK62" i="4"/>
  <c r="CL62" i="4"/>
  <c r="CM62" i="4"/>
  <c r="CN62" i="4"/>
  <c r="CO62" i="4"/>
  <c r="CP62" i="4"/>
  <c r="CQ62" i="4"/>
  <c r="AF46" i="12"/>
  <c r="CF63" i="4"/>
  <c r="CG63" i="4"/>
  <c r="CH63" i="4"/>
  <c r="CI63" i="4"/>
  <c r="CJ63" i="4"/>
  <c r="CK63" i="4"/>
  <c r="CL63" i="4"/>
  <c r="CM63" i="4"/>
  <c r="CN63" i="4"/>
  <c r="CO63" i="4"/>
  <c r="CP63" i="4"/>
  <c r="CQ63" i="4"/>
  <c r="AF47" i="12"/>
  <c r="CF64" i="4"/>
  <c r="CG64" i="4"/>
  <c r="CH64" i="4"/>
  <c r="CI64" i="4"/>
  <c r="CJ64" i="4"/>
  <c r="CK64" i="4"/>
  <c r="CL64" i="4"/>
  <c r="CM64" i="4"/>
  <c r="CN64" i="4"/>
  <c r="CO64" i="4"/>
  <c r="CP64" i="4"/>
  <c r="CQ64" i="4"/>
  <c r="AF48" i="12"/>
  <c r="CF65" i="4"/>
  <c r="CG65" i="4"/>
  <c r="CH65" i="4"/>
  <c r="CI65" i="4"/>
  <c r="CJ65" i="4"/>
  <c r="CK65" i="4"/>
  <c r="CL65" i="4"/>
  <c r="CM65" i="4"/>
  <c r="CN65" i="4"/>
  <c r="CO65" i="4"/>
  <c r="CP65" i="4"/>
  <c r="CQ65" i="4"/>
  <c r="AF49" i="12"/>
  <c r="CF66" i="4"/>
  <c r="CG66" i="4"/>
  <c r="CH66" i="4"/>
  <c r="CI66" i="4"/>
  <c r="CJ66" i="4"/>
  <c r="CK66" i="4"/>
  <c r="CL66" i="4"/>
  <c r="CM66" i="4"/>
  <c r="CN66" i="4"/>
  <c r="CO66" i="4"/>
  <c r="CP66" i="4"/>
  <c r="CQ66" i="4"/>
  <c r="AF50" i="12"/>
  <c r="AF52" i="12"/>
  <c r="F171" i="7"/>
  <c r="F172" i="7"/>
  <c r="DY21" i="4"/>
  <c r="DZ21" i="4"/>
  <c r="EA21" i="4"/>
  <c r="EB21" i="4"/>
  <c r="AT5" i="12"/>
  <c r="DY22" i="4"/>
  <c r="DZ22" i="4"/>
  <c r="EA22" i="4"/>
  <c r="EB22" i="4"/>
  <c r="AT6" i="12"/>
  <c r="DY23" i="4"/>
  <c r="DZ23" i="4"/>
  <c r="EA23" i="4"/>
  <c r="EB23" i="4"/>
  <c r="AT7" i="12"/>
  <c r="DY24" i="4"/>
  <c r="DZ24" i="4"/>
  <c r="EA24" i="4"/>
  <c r="EB24" i="4"/>
  <c r="AT8" i="12"/>
  <c r="DY25" i="4"/>
  <c r="DZ25" i="4"/>
  <c r="EA25" i="4"/>
  <c r="EB25" i="4"/>
  <c r="AT9" i="12"/>
  <c r="DY26" i="4"/>
  <c r="DZ26" i="4"/>
  <c r="EA26" i="4"/>
  <c r="EB26" i="4"/>
  <c r="AT10" i="12"/>
  <c r="DY27" i="4"/>
  <c r="DZ27" i="4"/>
  <c r="EA27" i="4"/>
  <c r="EB27" i="4"/>
  <c r="AT11" i="12"/>
  <c r="DY28" i="4"/>
  <c r="DZ28" i="4"/>
  <c r="EA28" i="4"/>
  <c r="EB28" i="4"/>
  <c r="AT12" i="12"/>
  <c r="DY29" i="4"/>
  <c r="DZ29" i="4"/>
  <c r="EA29" i="4"/>
  <c r="EB29" i="4"/>
  <c r="AT13" i="12"/>
  <c r="DY30" i="4"/>
  <c r="DZ30" i="4"/>
  <c r="EA30" i="4"/>
  <c r="EB30" i="4"/>
  <c r="AT14" i="12"/>
  <c r="DY31" i="4"/>
  <c r="DZ31" i="4"/>
  <c r="EA31" i="4"/>
  <c r="EB31" i="4"/>
  <c r="AT15" i="12"/>
  <c r="DY32" i="4"/>
  <c r="DZ32" i="4"/>
  <c r="EA32" i="4"/>
  <c r="EB32" i="4"/>
  <c r="AT16" i="12"/>
  <c r="DY33" i="4"/>
  <c r="DZ33" i="4"/>
  <c r="EA33" i="4"/>
  <c r="EB33" i="4"/>
  <c r="AT17" i="12"/>
  <c r="DY34" i="4"/>
  <c r="DZ34" i="4"/>
  <c r="EA34" i="4"/>
  <c r="EB34" i="4"/>
  <c r="AT18" i="12"/>
  <c r="DY35" i="4"/>
  <c r="DZ35" i="4"/>
  <c r="EA35" i="4"/>
  <c r="EB35" i="4"/>
  <c r="AT19" i="12"/>
  <c r="DY36" i="4"/>
  <c r="DZ36" i="4"/>
  <c r="EA36" i="4"/>
  <c r="EB36" i="4"/>
  <c r="AT20" i="12"/>
  <c r="DY37" i="4"/>
  <c r="DZ37" i="4"/>
  <c r="EA37" i="4"/>
  <c r="EB37" i="4"/>
  <c r="AT21" i="12"/>
  <c r="DY38" i="4"/>
  <c r="DZ38" i="4"/>
  <c r="EA38" i="4"/>
  <c r="EB38" i="4"/>
  <c r="AT22" i="12"/>
  <c r="DY39" i="4"/>
  <c r="DZ39" i="4"/>
  <c r="EA39" i="4"/>
  <c r="EB39" i="4"/>
  <c r="AT23" i="12"/>
  <c r="DY40" i="4"/>
  <c r="DZ40" i="4"/>
  <c r="EA40" i="4"/>
  <c r="EB40" i="4"/>
  <c r="AT24" i="12"/>
  <c r="DY41" i="4"/>
  <c r="DZ41" i="4"/>
  <c r="EA41" i="4"/>
  <c r="EB41" i="4"/>
  <c r="AT25" i="12"/>
  <c r="DY42" i="4"/>
  <c r="DZ42" i="4"/>
  <c r="EA42" i="4"/>
  <c r="EB42" i="4"/>
  <c r="AT26" i="12"/>
  <c r="DY43" i="4"/>
  <c r="DZ43" i="4"/>
  <c r="EA43" i="4"/>
  <c r="EB43" i="4"/>
  <c r="AT27" i="12"/>
  <c r="DY44" i="4"/>
  <c r="DZ44" i="4"/>
  <c r="EA44" i="4"/>
  <c r="EB44" i="4"/>
  <c r="AT28" i="12"/>
  <c r="DY45" i="4"/>
  <c r="DZ45" i="4"/>
  <c r="EA45" i="4"/>
  <c r="EB45" i="4"/>
  <c r="AT29" i="12"/>
  <c r="DY46" i="4"/>
  <c r="DZ46" i="4"/>
  <c r="EA46" i="4"/>
  <c r="EB46" i="4"/>
  <c r="AT30" i="12"/>
  <c r="DY47" i="4"/>
  <c r="DZ47" i="4"/>
  <c r="EA47" i="4"/>
  <c r="EB47" i="4"/>
  <c r="AT31" i="12"/>
  <c r="DY48" i="4"/>
  <c r="DZ48" i="4"/>
  <c r="EA48" i="4"/>
  <c r="EB48" i="4"/>
  <c r="AT32" i="12"/>
  <c r="DY49" i="4"/>
  <c r="DZ49" i="4"/>
  <c r="EA49" i="4"/>
  <c r="EB49" i="4"/>
  <c r="AT33" i="12"/>
  <c r="DY50" i="4"/>
  <c r="DZ50" i="4"/>
  <c r="EA50" i="4"/>
  <c r="EB50" i="4"/>
  <c r="AT34" i="12"/>
  <c r="DY51" i="4"/>
  <c r="DZ51" i="4"/>
  <c r="EA51" i="4"/>
  <c r="EB51" i="4"/>
  <c r="AT35" i="12"/>
  <c r="DY52" i="4"/>
  <c r="DZ52" i="4"/>
  <c r="EA52" i="4"/>
  <c r="EB52" i="4"/>
  <c r="AT36" i="12"/>
  <c r="DY53" i="4"/>
  <c r="DZ53" i="4"/>
  <c r="EA53" i="4"/>
  <c r="EB53" i="4"/>
  <c r="AT37" i="12"/>
  <c r="DY54" i="4"/>
  <c r="DZ54" i="4"/>
  <c r="EA54" i="4"/>
  <c r="EB54" i="4"/>
  <c r="AT38" i="12"/>
  <c r="DY55" i="4"/>
  <c r="DZ55" i="4"/>
  <c r="EA55" i="4"/>
  <c r="EB55" i="4"/>
  <c r="AT39" i="12"/>
  <c r="DY56" i="4"/>
  <c r="DZ56" i="4"/>
  <c r="EA56" i="4"/>
  <c r="EB56" i="4"/>
  <c r="AT40" i="12"/>
  <c r="DY57" i="4"/>
  <c r="DZ57" i="4"/>
  <c r="EA57" i="4"/>
  <c r="EB57" i="4"/>
  <c r="AT41" i="12"/>
  <c r="DY58" i="4"/>
  <c r="DZ58" i="4"/>
  <c r="EA58" i="4"/>
  <c r="EB58" i="4"/>
  <c r="AT42" i="12"/>
  <c r="DY59" i="4"/>
  <c r="DZ59" i="4"/>
  <c r="EA59" i="4"/>
  <c r="EB59" i="4"/>
  <c r="AT43" i="12"/>
  <c r="DY60" i="4"/>
  <c r="DZ60" i="4"/>
  <c r="EA60" i="4"/>
  <c r="EB60" i="4"/>
  <c r="AT44" i="12"/>
  <c r="DY61" i="4"/>
  <c r="DZ61" i="4"/>
  <c r="EA61" i="4"/>
  <c r="EB61" i="4"/>
  <c r="AT45" i="12"/>
  <c r="DY62" i="4"/>
  <c r="DZ62" i="4"/>
  <c r="EA62" i="4"/>
  <c r="EB62" i="4"/>
  <c r="AT46" i="12"/>
  <c r="DY63" i="4"/>
  <c r="DZ63" i="4"/>
  <c r="EA63" i="4"/>
  <c r="EB63" i="4"/>
  <c r="AT47" i="12"/>
  <c r="DY64" i="4"/>
  <c r="DZ64" i="4"/>
  <c r="EA64" i="4"/>
  <c r="EB64" i="4"/>
  <c r="AT48" i="12"/>
  <c r="DY65" i="4"/>
  <c r="DZ65" i="4"/>
  <c r="EA65" i="4"/>
  <c r="EB65" i="4"/>
  <c r="AT49" i="12"/>
  <c r="DY66" i="4"/>
  <c r="DZ66" i="4"/>
  <c r="EA66" i="4"/>
  <c r="EB66" i="4"/>
  <c r="AT50" i="12"/>
  <c r="AT52" i="12"/>
  <c r="F266" i="7"/>
  <c r="F267" i="7"/>
  <c r="H185" i="7"/>
  <c r="G185" i="7"/>
  <c r="CS21" i="4"/>
  <c r="CT21" i="4"/>
  <c r="AH5" i="12"/>
  <c r="CS22" i="4"/>
  <c r="CT22" i="4"/>
  <c r="AH6" i="12"/>
  <c r="CS23" i="4"/>
  <c r="CT23" i="4"/>
  <c r="AH7" i="12"/>
  <c r="CS24" i="4"/>
  <c r="CT24" i="4"/>
  <c r="AH8" i="12"/>
  <c r="CS25" i="4"/>
  <c r="CT25" i="4"/>
  <c r="AH9" i="12"/>
  <c r="CS26" i="4"/>
  <c r="CT26" i="4"/>
  <c r="AH10" i="12"/>
  <c r="CS27" i="4"/>
  <c r="CT27" i="4"/>
  <c r="AH11" i="12"/>
  <c r="CS28" i="4"/>
  <c r="CT28" i="4"/>
  <c r="AH12" i="12"/>
  <c r="CS29" i="4"/>
  <c r="CT29" i="4"/>
  <c r="AH13" i="12"/>
  <c r="CS30" i="4"/>
  <c r="CT30" i="4"/>
  <c r="AH14" i="12"/>
  <c r="CS31" i="4"/>
  <c r="CT31" i="4"/>
  <c r="AH15" i="12"/>
  <c r="CS32" i="4"/>
  <c r="CT32" i="4"/>
  <c r="AH16" i="12"/>
  <c r="CS33" i="4"/>
  <c r="CT33" i="4"/>
  <c r="AH17" i="12"/>
  <c r="CS34" i="4"/>
  <c r="CT34" i="4"/>
  <c r="AH18" i="12"/>
  <c r="CS35" i="4"/>
  <c r="CT35" i="4"/>
  <c r="AH19" i="12"/>
  <c r="CS36" i="4"/>
  <c r="CT36" i="4"/>
  <c r="AH20" i="12"/>
  <c r="CS37" i="4"/>
  <c r="CT37" i="4"/>
  <c r="AH21" i="12"/>
  <c r="CS38" i="4"/>
  <c r="CT38" i="4"/>
  <c r="AH22" i="12"/>
  <c r="CS39" i="4"/>
  <c r="CT39" i="4"/>
  <c r="AH23" i="12"/>
  <c r="CS40" i="4"/>
  <c r="CT40" i="4"/>
  <c r="AH24" i="12"/>
  <c r="CS41" i="4"/>
  <c r="CT41" i="4"/>
  <c r="AH25" i="12"/>
  <c r="CS42" i="4"/>
  <c r="CT42" i="4"/>
  <c r="AH26" i="12"/>
  <c r="CS43" i="4"/>
  <c r="CT43" i="4"/>
  <c r="AH27" i="12"/>
  <c r="CS44" i="4"/>
  <c r="CT44" i="4"/>
  <c r="AH28" i="12"/>
  <c r="CS45" i="4"/>
  <c r="CT45" i="4"/>
  <c r="AH29" i="12"/>
  <c r="CS46" i="4"/>
  <c r="CT46" i="4"/>
  <c r="AH30" i="12"/>
  <c r="CS47" i="4"/>
  <c r="CT47" i="4"/>
  <c r="AH31" i="12"/>
  <c r="CS48" i="4"/>
  <c r="CT48" i="4"/>
  <c r="AH32" i="12"/>
  <c r="CS49" i="4"/>
  <c r="CT49" i="4"/>
  <c r="AH33" i="12"/>
  <c r="CS50" i="4"/>
  <c r="CT50" i="4"/>
  <c r="AH34" i="12"/>
  <c r="CS51" i="4"/>
  <c r="CT51" i="4"/>
  <c r="AH35" i="12"/>
  <c r="CS52" i="4"/>
  <c r="CT52" i="4"/>
  <c r="AH36" i="12"/>
  <c r="CS53" i="4"/>
  <c r="CT53" i="4"/>
  <c r="AH37" i="12"/>
  <c r="CS54" i="4"/>
  <c r="CT54" i="4"/>
  <c r="AH38" i="12"/>
  <c r="CS55" i="4"/>
  <c r="CT55" i="4"/>
  <c r="AH39" i="12"/>
  <c r="CS56" i="4"/>
  <c r="CT56" i="4"/>
  <c r="AH40" i="12"/>
  <c r="CS57" i="4"/>
  <c r="CT57" i="4"/>
  <c r="AH41" i="12"/>
  <c r="CS58" i="4"/>
  <c r="CT58" i="4"/>
  <c r="AH42" i="12"/>
  <c r="CS59" i="4"/>
  <c r="CT59" i="4"/>
  <c r="AH43" i="12"/>
  <c r="CS60" i="4"/>
  <c r="CT60" i="4"/>
  <c r="AH44" i="12"/>
  <c r="CS61" i="4"/>
  <c r="CT61" i="4"/>
  <c r="AH45" i="12"/>
  <c r="CS62" i="4"/>
  <c r="CT62" i="4"/>
  <c r="AH46" i="12"/>
  <c r="CS63" i="4"/>
  <c r="CT63" i="4"/>
  <c r="AH47" i="12"/>
  <c r="CS64" i="4"/>
  <c r="CT64" i="4"/>
  <c r="AH48" i="12"/>
  <c r="CS65" i="4"/>
  <c r="CT65" i="4"/>
  <c r="AH49" i="12"/>
  <c r="CS66" i="4"/>
  <c r="CT66" i="4"/>
  <c r="AH50" i="12"/>
  <c r="AH52" i="12"/>
  <c r="F184" i="7"/>
  <c r="F185" i="7"/>
  <c r="H190" i="7"/>
  <c r="G190" i="7"/>
  <c r="CU21" i="4"/>
  <c r="CV21" i="4"/>
  <c r="AI5" i="12"/>
  <c r="CU22" i="4"/>
  <c r="CV22" i="4"/>
  <c r="AI6" i="12"/>
  <c r="CU23" i="4"/>
  <c r="CV23" i="4"/>
  <c r="AI7" i="12"/>
  <c r="CU24" i="4"/>
  <c r="CV24" i="4"/>
  <c r="AI8" i="12"/>
  <c r="CU25" i="4"/>
  <c r="CV25" i="4"/>
  <c r="AI9" i="12"/>
  <c r="CU26" i="4"/>
  <c r="CV26" i="4"/>
  <c r="AI10" i="12"/>
  <c r="CU27" i="4"/>
  <c r="CV27" i="4"/>
  <c r="AI11" i="12"/>
  <c r="CU28" i="4"/>
  <c r="CV28" i="4"/>
  <c r="AI12" i="12"/>
  <c r="CU29" i="4"/>
  <c r="CV29" i="4"/>
  <c r="AI13" i="12"/>
  <c r="CU30" i="4"/>
  <c r="CV30" i="4"/>
  <c r="AI14" i="12"/>
  <c r="CU31" i="4"/>
  <c r="CV31" i="4"/>
  <c r="AI15" i="12"/>
  <c r="CU32" i="4"/>
  <c r="CV32" i="4"/>
  <c r="AI16" i="12"/>
  <c r="CU33" i="4"/>
  <c r="CV33" i="4"/>
  <c r="AI17" i="12"/>
  <c r="CU34" i="4"/>
  <c r="CV34" i="4"/>
  <c r="AI18" i="12"/>
  <c r="CU35" i="4"/>
  <c r="CV35" i="4"/>
  <c r="AI19" i="12"/>
  <c r="CU36" i="4"/>
  <c r="CV36" i="4"/>
  <c r="AI20" i="12"/>
  <c r="CU37" i="4"/>
  <c r="CV37" i="4"/>
  <c r="AI21" i="12"/>
  <c r="CU38" i="4"/>
  <c r="CV38" i="4"/>
  <c r="AI22" i="12"/>
  <c r="CU39" i="4"/>
  <c r="CV39" i="4"/>
  <c r="AI23" i="12"/>
  <c r="CU40" i="4"/>
  <c r="CV40" i="4"/>
  <c r="AI24" i="12"/>
  <c r="CU41" i="4"/>
  <c r="CV41" i="4"/>
  <c r="AI25" i="12"/>
  <c r="CU42" i="4"/>
  <c r="CV42" i="4"/>
  <c r="AI26" i="12"/>
  <c r="CU43" i="4"/>
  <c r="CV43" i="4"/>
  <c r="AI27" i="12"/>
  <c r="CU44" i="4"/>
  <c r="CV44" i="4"/>
  <c r="AI28" i="12"/>
  <c r="CU45" i="4"/>
  <c r="CV45" i="4"/>
  <c r="AI29" i="12"/>
  <c r="CU46" i="4"/>
  <c r="CV46" i="4"/>
  <c r="AI30" i="12"/>
  <c r="CU47" i="4"/>
  <c r="CV47" i="4"/>
  <c r="AI31" i="12"/>
  <c r="CU48" i="4"/>
  <c r="CV48" i="4"/>
  <c r="AI32" i="12"/>
  <c r="CU49" i="4"/>
  <c r="CV49" i="4"/>
  <c r="AI33" i="12"/>
  <c r="CU50" i="4"/>
  <c r="CV50" i="4"/>
  <c r="AI34" i="12"/>
  <c r="CU51" i="4"/>
  <c r="CV51" i="4"/>
  <c r="AI35" i="12"/>
  <c r="CU52" i="4"/>
  <c r="CV52" i="4"/>
  <c r="AI36" i="12"/>
  <c r="CU53" i="4"/>
  <c r="CV53" i="4"/>
  <c r="AI37" i="12"/>
  <c r="CU54" i="4"/>
  <c r="CV54" i="4"/>
  <c r="AI38" i="12"/>
  <c r="CU55" i="4"/>
  <c r="CV55" i="4"/>
  <c r="AI39" i="12"/>
  <c r="CU56" i="4"/>
  <c r="CV56" i="4"/>
  <c r="AI40" i="12"/>
  <c r="CU57" i="4"/>
  <c r="CV57" i="4"/>
  <c r="AI41" i="12"/>
  <c r="CU58" i="4"/>
  <c r="CV58" i="4"/>
  <c r="AI42" i="12"/>
  <c r="CU59" i="4"/>
  <c r="CV59" i="4"/>
  <c r="AI43" i="12"/>
  <c r="CU60" i="4"/>
  <c r="CV60" i="4"/>
  <c r="AI44" i="12"/>
  <c r="CU61" i="4"/>
  <c r="CV61" i="4"/>
  <c r="AI45" i="12"/>
  <c r="CU62" i="4"/>
  <c r="CV62" i="4"/>
  <c r="AI46" i="12"/>
  <c r="CU63" i="4"/>
  <c r="CV63" i="4"/>
  <c r="AI47" i="12"/>
  <c r="CU64" i="4"/>
  <c r="CV64" i="4"/>
  <c r="AI48" i="12"/>
  <c r="CU65" i="4"/>
  <c r="CV65" i="4"/>
  <c r="AI49" i="12"/>
  <c r="CU66" i="4"/>
  <c r="CV66" i="4"/>
  <c r="AI50" i="12"/>
  <c r="AI52" i="12"/>
  <c r="F189" i="7"/>
  <c r="F190" i="7"/>
  <c r="H195" i="7"/>
  <c r="G195" i="7"/>
  <c r="CW21" i="4"/>
  <c r="CX21" i="4"/>
  <c r="AJ5" i="12"/>
  <c r="CW22" i="4"/>
  <c r="CX22" i="4"/>
  <c r="AJ6" i="12"/>
  <c r="CW23" i="4"/>
  <c r="CX23" i="4"/>
  <c r="AJ7" i="12"/>
  <c r="CW24" i="4"/>
  <c r="CX24" i="4"/>
  <c r="AJ8" i="12"/>
  <c r="CW25" i="4"/>
  <c r="CX25" i="4"/>
  <c r="AJ9" i="12"/>
  <c r="CW26" i="4"/>
  <c r="CX26" i="4"/>
  <c r="AJ10" i="12"/>
  <c r="CW27" i="4"/>
  <c r="CX27" i="4"/>
  <c r="AJ11" i="12"/>
  <c r="CW28" i="4"/>
  <c r="CX28" i="4"/>
  <c r="AJ12" i="12"/>
  <c r="CW29" i="4"/>
  <c r="CX29" i="4"/>
  <c r="AJ13" i="12"/>
  <c r="CW30" i="4"/>
  <c r="CX30" i="4"/>
  <c r="AJ14" i="12"/>
  <c r="CW31" i="4"/>
  <c r="CX31" i="4"/>
  <c r="AJ15" i="12"/>
  <c r="CW32" i="4"/>
  <c r="CX32" i="4"/>
  <c r="AJ16" i="12"/>
  <c r="CW33" i="4"/>
  <c r="CX33" i="4"/>
  <c r="AJ17" i="12"/>
  <c r="CW34" i="4"/>
  <c r="CX34" i="4"/>
  <c r="AJ18" i="12"/>
  <c r="CW35" i="4"/>
  <c r="CX35" i="4"/>
  <c r="AJ19" i="12"/>
  <c r="CW36" i="4"/>
  <c r="CX36" i="4"/>
  <c r="AJ20" i="12"/>
  <c r="CW37" i="4"/>
  <c r="CX37" i="4"/>
  <c r="AJ21" i="12"/>
  <c r="CW38" i="4"/>
  <c r="CX38" i="4"/>
  <c r="AJ22" i="12"/>
  <c r="CW39" i="4"/>
  <c r="CX39" i="4"/>
  <c r="AJ23" i="12"/>
  <c r="CW40" i="4"/>
  <c r="CX40" i="4"/>
  <c r="AJ24" i="12"/>
  <c r="CW41" i="4"/>
  <c r="CX41" i="4"/>
  <c r="AJ25" i="12"/>
  <c r="CW42" i="4"/>
  <c r="CX42" i="4"/>
  <c r="AJ26" i="12"/>
  <c r="CW43" i="4"/>
  <c r="CX43" i="4"/>
  <c r="AJ27" i="12"/>
  <c r="CW44" i="4"/>
  <c r="CX44" i="4"/>
  <c r="AJ28" i="12"/>
  <c r="CW45" i="4"/>
  <c r="CX45" i="4"/>
  <c r="AJ29" i="12"/>
  <c r="CW46" i="4"/>
  <c r="CX46" i="4"/>
  <c r="AJ30" i="12"/>
  <c r="CW47" i="4"/>
  <c r="CX47" i="4"/>
  <c r="AJ31" i="12"/>
  <c r="CW48" i="4"/>
  <c r="CX48" i="4"/>
  <c r="AJ32" i="12"/>
  <c r="CW49" i="4"/>
  <c r="CX49" i="4"/>
  <c r="AJ33" i="12"/>
  <c r="CW50" i="4"/>
  <c r="CX50" i="4"/>
  <c r="AJ34" i="12"/>
  <c r="CW51" i="4"/>
  <c r="CX51" i="4"/>
  <c r="AJ35" i="12"/>
  <c r="CW52" i="4"/>
  <c r="CX52" i="4"/>
  <c r="AJ36" i="12"/>
  <c r="CW53" i="4"/>
  <c r="CX53" i="4"/>
  <c r="AJ37" i="12"/>
  <c r="CW54" i="4"/>
  <c r="CX54" i="4"/>
  <c r="AJ38" i="12"/>
  <c r="CW55" i="4"/>
  <c r="CX55" i="4"/>
  <c r="AJ39" i="12"/>
  <c r="CW56" i="4"/>
  <c r="CX56" i="4"/>
  <c r="AJ40" i="12"/>
  <c r="CW57" i="4"/>
  <c r="CX57" i="4"/>
  <c r="AJ41" i="12"/>
  <c r="CW58" i="4"/>
  <c r="CX58" i="4"/>
  <c r="AJ42" i="12"/>
  <c r="CW59" i="4"/>
  <c r="CX59" i="4"/>
  <c r="AJ43" i="12"/>
  <c r="CW60" i="4"/>
  <c r="CX60" i="4"/>
  <c r="AJ44" i="12"/>
  <c r="CW61" i="4"/>
  <c r="CX61" i="4"/>
  <c r="AJ45" i="12"/>
  <c r="CW62" i="4"/>
  <c r="CX62" i="4"/>
  <c r="AJ46" i="12"/>
  <c r="CW63" i="4"/>
  <c r="CX63" i="4"/>
  <c r="AJ47" i="12"/>
  <c r="CW64" i="4"/>
  <c r="CX64" i="4"/>
  <c r="AJ48" i="12"/>
  <c r="CW65" i="4"/>
  <c r="CX65" i="4"/>
  <c r="AJ49" i="12"/>
  <c r="CW66" i="4"/>
  <c r="CX66" i="4"/>
  <c r="AJ50" i="12"/>
  <c r="AJ52" i="12"/>
  <c r="F194" i="7"/>
  <c r="F195" i="7"/>
  <c r="H201" i="7"/>
  <c r="G201" i="7"/>
  <c r="CY21" i="4"/>
  <c r="CZ21" i="4"/>
  <c r="AK5" i="12"/>
  <c r="CY22" i="4"/>
  <c r="CZ22" i="4"/>
  <c r="AK6" i="12"/>
  <c r="CY23" i="4"/>
  <c r="CZ23" i="4"/>
  <c r="AK7" i="12"/>
  <c r="CY24" i="4"/>
  <c r="CZ24" i="4"/>
  <c r="AK8" i="12"/>
  <c r="CY25" i="4"/>
  <c r="CZ25" i="4"/>
  <c r="AK9" i="12"/>
  <c r="CY26" i="4"/>
  <c r="CZ26" i="4"/>
  <c r="AK10" i="12"/>
  <c r="CY27" i="4"/>
  <c r="CZ27" i="4"/>
  <c r="AK11" i="12"/>
  <c r="CY28" i="4"/>
  <c r="CZ28" i="4"/>
  <c r="AK12" i="12"/>
  <c r="CY29" i="4"/>
  <c r="CZ29" i="4"/>
  <c r="AK13" i="12"/>
  <c r="CY30" i="4"/>
  <c r="CZ30" i="4"/>
  <c r="AK14" i="12"/>
  <c r="CY31" i="4"/>
  <c r="CZ31" i="4"/>
  <c r="AK15" i="12"/>
  <c r="CY32" i="4"/>
  <c r="CZ32" i="4"/>
  <c r="AK16" i="12"/>
  <c r="CY33" i="4"/>
  <c r="CZ33" i="4"/>
  <c r="AK17" i="12"/>
  <c r="CY34" i="4"/>
  <c r="CZ34" i="4"/>
  <c r="AK18" i="12"/>
  <c r="CY35" i="4"/>
  <c r="CZ35" i="4"/>
  <c r="AK19" i="12"/>
  <c r="CY36" i="4"/>
  <c r="CZ36" i="4"/>
  <c r="AK20" i="12"/>
  <c r="CY37" i="4"/>
  <c r="CZ37" i="4"/>
  <c r="AK21" i="12"/>
  <c r="CY38" i="4"/>
  <c r="CZ38" i="4"/>
  <c r="AK22" i="12"/>
  <c r="CY39" i="4"/>
  <c r="CZ39" i="4"/>
  <c r="AK23" i="12"/>
  <c r="CY40" i="4"/>
  <c r="CZ40" i="4"/>
  <c r="AK24" i="12"/>
  <c r="CY41" i="4"/>
  <c r="CZ41" i="4"/>
  <c r="AK25" i="12"/>
  <c r="CY42" i="4"/>
  <c r="CZ42" i="4"/>
  <c r="AK26" i="12"/>
  <c r="CY43" i="4"/>
  <c r="CZ43" i="4"/>
  <c r="AK27" i="12"/>
  <c r="CY44" i="4"/>
  <c r="CZ44" i="4"/>
  <c r="AK28" i="12"/>
  <c r="CY45" i="4"/>
  <c r="CZ45" i="4"/>
  <c r="AK29" i="12"/>
  <c r="CY46" i="4"/>
  <c r="CZ46" i="4"/>
  <c r="AK30" i="12"/>
  <c r="CY47" i="4"/>
  <c r="CZ47" i="4"/>
  <c r="AK31" i="12"/>
  <c r="CY48" i="4"/>
  <c r="CZ48" i="4"/>
  <c r="AK32" i="12"/>
  <c r="CY49" i="4"/>
  <c r="CZ49" i="4"/>
  <c r="AK33" i="12"/>
  <c r="CY50" i="4"/>
  <c r="CZ50" i="4"/>
  <c r="AK34" i="12"/>
  <c r="CY51" i="4"/>
  <c r="CZ51" i="4"/>
  <c r="AK35" i="12"/>
  <c r="CY52" i="4"/>
  <c r="CZ52" i="4"/>
  <c r="AK36" i="12"/>
  <c r="CY53" i="4"/>
  <c r="CZ53" i="4"/>
  <c r="AK37" i="12"/>
  <c r="CY54" i="4"/>
  <c r="CZ54" i="4"/>
  <c r="AK38" i="12"/>
  <c r="CY55" i="4"/>
  <c r="CZ55" i="4"/>
  <c r="AK39" i="12"/>
  <c r="CY56" i="4"/>
  <c r="CZ56" i="4"/>
  <c r="AK40" i="12"/>
  <c r="CY57" i="4"/>
  <c r="CZ57" i="4"/>
  <c r="AK41" i="12"/>
  <c r="CY58" i="4"/>
  <c r="CZ58" i="4"/>
  <c r="AK42" i="12"/>
  <c r="CY59" i="4"/>
  <c r="CZ59" i="4"/>
  <c r="AK43" i="12"/>
  <c r="CY60" i="4"/>
  <c r="CZ60" i="4"/>
  <c r="AK44" i="12"/>
  <c r="CY61" i="4"/>
  <c r="CZ61" i="4"/>
  <c r="AK45" i="12"/>
  <c r="CY62" i="4"/>
  <c r="CZ62" i="4"/>
  <c r="AK46" i="12"/>
  <c r="CY63" i="4"/>
  <c r="CZ63" i="4"/>
  <c r="AK47" i="12"/>
  <c r="CY64" i="4"/>
  <c r="CZ64" i="4"/>
  <c r="AK48" i="12"/>
  <c r="CY65" i="4"/>
  <c r="CZ65" i="4"/>
  <c r="AK49" i="12"/>
  <c r="CY66" i="4"/>
  <c r="CZ66" i="4"/>
  <c r="AK50" i="12"/>
  <c r="AK52" i="12"/>
  <c r="F200" i="7"/>
  <c r="F201" i="7"/>
  <c r="H206" i="7"/>
  <c r="G206" i="7"/>
  <c r="DA21" i="4"/>
  <c r="DB21" i="4"/>
  <c r="AL5" i="12"/>
  <c r="DA22" i="4"/>
  <c r="DB22" i="4"/>
  <c r="AL6" i="12"/>
  <c r="DA23" i="4"/>
  <c r="DB23" i="4"/>
  <c r="AL7" i="12"/>
  <c r="DA24" i="4"/>
  <c r="DB24" i="4"/>
  <c r="AL8" i="12"/>
  <c r="DA25" i="4"/>
  <c r="DB25" i="4"/>
  <c r="AL9" i="12"/>
  <c r="DA26" i="4"/>
  <c r="DB26" i="4"/>
  <c r="AL10" i="12"/>
  <c r="DA27" i="4"/>
  <c r="DB27" i="4"/>
  <c r="AL11" i="12"/>
  <c r="DA28" i="4"/>
  <c r="DB28" i="4"/>
  <c r="AL12" i="12"/>
  <c r="DA29" i="4"/>
  <c r="DB29" i="4"/>
  <c r="AL13" i="12"/>
  <c r="DA30" i="4"/>
  <c r="DB30" i="4"/>
  <c r="AL14" i="12"/>
  <c r="DA31" i="4"/>
  <c r="DB31" i="4"/>
  <c r="AL15" i="12"/>
  <c r="DA32" i="4"/>
  <c r="DB32" i="4"/>
  <c r="AL16" i="12"/>
  <c r="DA33" i="4"/>
  <c r="DB33" i="4"/>
  <c r="AL17" i="12"/>
  <c r="DA34" i="4"/>
  <c r="DB34" i="4"/>
  <c r="AL18" i="12"/>
  <c r="DA35" i="4"/>
  <c r="DB35" i="4"/>
  <c r="AL19" i="12"/>
  <c r="DA36" i="4"/>
  <c r="DB36" i="4"/>
  <c r="AL20" i="12"/>
  <c r="DA37" i="4"/>
  <c r="DB37" i="4"/>
  <c r="AL21" i="12"/>
  <c r="DA38" i="4"/>
  <c r="DB38" i="4"/>
  <c r="AL22" i="12"/>
  <c r="DA39" i="4"/>
  <c r="DB39" i="4"/>
  <c r="AL23" i="12"/>
  <c r="DA40" i="4"/>
  <c r="DB40" i="4"/>
  <c r="AL24" i="12"/>
  <c r="DA41" i="4"/>
  <c r="DB41" i="4"/>
  <c r="AL25" i="12"/>
  <c r="DA42" i="4"/>
  <c r="DB42" i="4"/>
  <c r="AL26" i="12"/>
  <c r="DA43" i="4"/>
  <c r="DB43" i="4"/>
  <c r="AL27" i="12"/>
  <c r="DA44" i="4"/>
  <c r="DB44" i="4"/>
  <c r="AL28" i="12"/>
  <c r="DA45" i="4"/>
  <c r="DB45" i="4"/>
  <c r="AL29" i="12"/>
  <c r="DA46" i="4"/>
  <c r="DB46" i="4"/>
  <c r="AL30" i="12"/>
  <c r="DA47" i="4"/>
  <c r="DB47" i="4"/>
  <c r="AL31" i="12"/>
  <c r="DA48" i="4"/>
  <c r="DB48" i="4"/>
  <c r="AL32" i="12"/>
  <c r="DA49" i="4"/>
  <c r="DB49" i="4"/>
  <c r="AL33" i="12"/>
  <c r="DA50" i="4"/>
  <c r="DB50" i="4"/>
  <c r="AL34" i="12"/>
  <c r="DA51" i="4"/>
  <c r="DB51" i="4"/>
  <c r="AL35" i="12"/>
  <c r="DA52" i="4"/>
  <c r="DB52" i="4"/>
  <c r="AL36" i="12"/>
  <c r="DA53" i="4"/>
  <c r="DB53" i="4"/>
  <c r="AL37" i="12"/>
  <c r="DA54" i="4"/>
  <c r="DB54" i="4"/>
  <c r="AL38" i="12"/>
  <c r="DA55" i="4"/>
  <c r="DB55" i="4"/>
  <c r="AL39" i="12"/>
  <c r="DA56" i="4"/>
  <c r="DB56" i="4"/>
  <c r="AL40" i="12"/>
  <c r="DA57" i="4"/>
  <c r="DB57" i="4"/>
  <c r="AL41" i="12"/>
  <c r="DA58" i="4"/>
  <c r="DB58" i="4"/>
  <c r="AL42" i="12"/>
  <c r="DA59" i="4"/>
  <c r="DB59" i="4"/>
  <c r="AL43" i="12"/>
  <c r="DA60" i="4"/>
  <c r="DB60" i="4"/>
  <c r="AL44" i="12"/>
  <c r="DA61" i="4"/>
  <c r="DB61" i="4"/>
  <c r="AL45" i="12"/>
  <c r="DA62" i="4"/>
  <c r="DB62" i="4"/>
  <c r="AL46" i="12"/>
  <c r="DA63" i="4"/>
  <c r="DB63" i="4"/>
  <c r="AL47" i="12"/>
  <c r="DA64" i="4"/>
  <c r="DB64" i="4"/>
  <c r="AL48" i="12"/>
  <c r="DA65" i="4"/>
  <c r="DB65" i="4"/>
  <c r="AL49" i="12"/>
  <c r="DA66" i="4"/>
  <c r="DB66" i="4"/>
  <c r="AL50" i="12"/>
  <c r="AL52" i="12"/>
  <c r="F205" i="7"/>
  <c r="F206" i="7"/>
  <c r="H211" i="7"/>
  <c r="G211" i="7"/>
  <c r="DC21" i="4"/>
  <c r="DD21" i="4"/>
  <c r="AM5" i="12"/>
  <c r="DC22" i="4"/>
  <c r="DD22" i="4"/>
  <c r="AM6" i="12"/>
  <c r="DC23" i="4"/>
  <c r="DD23" i="4"/>
  <c r="AM7" i="12"/>
  <c r="DC24" i="4"/>
  <c r="DD24" i="4"/>
  <c r="AM8" i="12"/>
  <c r="DC25" i="4"/>
  <c r="DD25" i="4"/>
  <c r="AM9" i="12"/>
  <c r="DC26" i="4"/>
  <c r="DD26" i="4"/>
  <c r="AM10" i="12"/>
  <c r="DC27" i="4"/>
  <c r="DD27" i="4"/>
  <c r="AM11" i="12"/>
  <c r="DC28" i="4"/>
  <c r="DD28" i="4"/>
  <c r="AM12" i="12"/>
  <c r="DC29" i="4"/>
  <c r="DD29" i="4"/>
  <c r="AM13" i="12"/>
  <c r="DC30" i="4"/>
  <c r="DD30" i="4"/>
  <c r="AM14" i="12"/>
  <c r="DC31" i="4"/>
  <c r="DD31" i="4"/>
  <c r="AM15" i="12"/>
  <c r="DC32" i="4"/>
  <c r="DD32" i="4"/>
  <c r="AM16" i="12"/>
  <c r="DC33" i="4"/>
  <c r="DD33" i="4"/>
  <c r="AM17" i="12"/>
  <c r="DC34" i="4"/>
  <c r="DD34" i="4"/>
  <c r="AM18" i="12"/>
  <c r="DC35" i="4"/>
  <c r="DD35" i="4"/>
  <c r="AM19" i="12"/>
  <c r="DC36" i="4"/>
  <c r="DD36" i="4"/>
  <c r="AM20" i="12"/>
  <c r="DC37" i="4"/>
  <c r="DD37" i="4"/>
  <c r="AM21" i="12"/>
  <c r="DC38" i="4"/>
  <c r="DD38" i="4"/>
  <c r="AM22" i="12"/>
  <c r="DC39" i="4"/>
  <c r="DD39" i="4"/>
  <c r="AM23" i="12"/>
  <c r="DC40" i="4"/>
  <c r="DD40" i="4"/>
  <c r="AM24" i="12"/>
  <c r="DC41" i="4"/>
  <c r="DD41" i="4"/>
  <c r="AM25" i="12"/>
  <c r="DC42" i="4"/>
  <c r="DD42" i="4"/>
  <c r="AM26" i="12"/>
  <c r="DC43" i="4"/>
  <c r="DD43" i="4"/>
  <c r="AM27" i="12"/>
  <c r="DC44" i="4"/>
  <c r="DD44" i="4"/>
  <c r="AM28" i="12"/>
  <c r="DC45" i="4"/>
  <c r="DD45" i="4"/>
  <c r="AM29" i="12"/>
  <c r="DC46" i="4"/>
  <c r="DD46" i="4"/>
  <c r="AM30" i="12"/>
  <c r="DC47" i="4"/>
  <c r="DD47" i="4"/>
  <c r="AM31" i="12"/>
  <c r="DC48" i="4"/>
  <c r="DD48" i="4"/>
  <c r="AM32" i="12"/>
  <c r="DC49" i="4"/>
  <c r="DD49" i="4"/>
  <c r="AM33" i="12"/>
  <c r="DC50" i="4"/>
  <c r="DD50" i="4"/>
  <c r="AM34" i="12"/>
  <c r="DC51" i="4"/>
  <c r="DD51" i="4"/>
  <c r="AM35" i="12"/>
  <c r="DC52" i="4"/>
  <c r="DD52" i="4"/>
  <c r="AM36" i="12"/>
  <c r="DC53" i="4"/>
  <c r="DD53" i="4"/>
  <c r="AM37" i="12"/>
  <c r="DC54" i="4"/>
  <c r="DD54" i="4"/>
  <c r="AM38" i="12"/>
  <c r="DC55" i="4"/>
  <c r="DD55" i="4"/>
  <c r="AM39" i="12"/>
  <c r="DC56" i="4"/>
  <c r="DD56" i="4"/>
  <c r="AM40" i="12"/>
  <c r="DC57" i="4"/>
  <c r="DD57" i="4"/>
  <c r="AM41" i="12"/>
  <c r="DC58" i="4"/>
  <c r="DD58" i="4"/>
  <c r="AM42" i="12"/>
  <c r="DC59" i="4"/>
  <c r="DD59" i="4"/>
  <c r="AM43" i="12"/>
  <c r="DC60" i="4"/>
  <c r="DD60" i="4"/>
  <c r="AM44" i="12"/>
  <c r="DC61" i="4"/>
  <c r="DD61" i="4"/>
  <c r="AM45" i="12"/>
  <c r="DC62" i="4"/>
  <c r="DD62" i="4"/>
  <c r="AM46" i="12"/>
  <c r="DC63" i="4"/>
  <c r="DD63" i="4"/>
  <c r="AM47" i="12"/>
  <c r="DC64" i="4"/>
  <c r="DD64" i="4"/>
  <c r="AM48" i="12"/>
  <c r="DC65" i="4"/>
  <c r="DD65" i="4"/>
  <c r="AM49" i="12"/>
  <c r="DC66" i="4"/>
  <c r="DD66" i="4"/>
  <c r="AM50" i="12"/>
  <c r="AM52" i="12"/>
  <c r="F210" i="7"/>
  <c r="F211" i="7"/>
  <c r="H216" i="7"/>
  <c r="G216" i="7"/>
  <c r="DE21" i="4"/>
  <c r="DF21" i="4"/>
  <c r="AN5" i="12"/>
  <c r="DE22" i="4"/>
  <c r="DF22" i="4"/>
  <c r="AN6" i="12"/>
  <c r="DE23" i="4"/>
  <c r="DF23" i="4"/>
  <c r="AN7" i="12"/>
  <c r="DE24" i="4"/>
  <c r="DF24" i="4"/>
  <c r="AN8" i="12"/>
  <c r="DE25" i="4"/>
  <c r="DF25" i="4"/>
  <c r="AN9" i="12"/>
  <c r="DE26" i="4"/>
  <c r="DF26" i="4"/>
  <c r="AN10" i="12"/>
  <c r="DE27" i="4"/>
  <c r="DF27" i="4"/>
  <c r="AN11" i="12"/>
  <c r="DE28" i="4"/>
  <c r="DF28" i="4"/>
  <c r="AN12" i="12"/>
  <c r="DE29" i="4"/>
  <c r="DF29" i="4"/>
  <c r="AN13" i="12"/>
  <c r="DE30" i="4"/>
  <c r="DF30" i="4"/>
  <c r="AN14" i="12"/>
  <c r="DE31" i="4"/>
  <c r="DF31" i="4"/>
  <c r="AN15" i="12"/>
  <c r="DE32" i="4"/>
  <c r="DF32" i="4"/>
  <c r="AN16" i="12"/>
  <c r="DE33" i="4"/>
  <c r="DF33" i="4"/>
  <c r="AN17" i="12"/>
  <c r="DE34" i="4"/>
  <c r="DF34" i="4"/>
  <c r="AN18" i="12"/>
  <c r="DE35" i="4"/>
  <c r="DF35" i="4"/>
  <c r="AN19" i="12"/>
  <c r="DE36" i="4"/>
  <c r="DF36" i="4"/>
  <c r="AN20" i="12"/>
  <c r="DE37" i="4"/>
  <c r="DF37" i="4"/>
  <c r="AN21" i="12"/>
  <c r="DE38" i="4"/>
  <c r="DF38" i="4"/>
  <c r="AN22" i="12"/>
  <c r="DE39" i="4"/>
  <c r="DF39" i="4"/>
  <c r="AN23" i="12"/>
  <c r="DE40" i="4"/>
  <c r="DF40" i="4"/>
  <c r="AN24" i="12"/>
  <c r="DE41" i="4"/>
  <c r="DF41" i="4"/>
  <c r="AN25" i="12"/>
  <c r="DE42" i="4"/>
  <c r="DF42" i="4"/>
  <c r="AN26" i="12"/>
  <c r="DE43" i="4"/>
  <c r="DF43" i="4"/>
  <c r="AN27" i="12"/>
  <c r="DE44" i="4"/>
  <c r="DF44" i="4"/>
  <c r="AN28" i="12"/>
  <c r="DE45" i="4"/>
  <c r="DF45" i="4"/>
  <c r="AN29" i="12"/>
  <c r="DE46" i="4"/>
  <c r="DF46" i="4"/>
  <c r="AN30" i="12"/>
  <c r="DE47" i="4"/>
  <c r="DF47" i="4"/>
  <c r="AN31" i="12"/>
  <c r="DE48" i="4"/>
  <c r="DF48" i="4"/>
  <c r="AN32" i="12"/>
  <c r="DE49" i="4"/>
  <c r="DF49" i="4"/>
  <c r="AN33" i="12"/>
  <c r="DE50" i="4"/>
  <c r="DF50" i="4"/>
  <c r="AN34" i="12"/>
  <c r="DE51" i="4"/>
  <c r="DF51" i="4"/>
  <c r="AN35" i="12"/>
  <c r="DE52" i="4"/>
  <c r="DF52" i="4"/>
  <c r="AN36" i="12"/>
  <c r="DE53" i="4"/>
  <c r="DF53" i="4"/>
  <c r="AN37" i="12"/>
  <c r="DE54" i="4"/>
  <c r="DF54" i="4"/>
  <c r="AN38" i="12"/>
  <c r="DE55" i="4"/>
  <c r="DF55" i="4"/>
  <c r="AN39" i="12"/>
  <c r="DE56" i="4"/>
  <c r="DF56" i="4"/>
  <c r="AN40" i="12"/>
  <c r="DE57" i="4"/>
  <c r="DF57" i="4"/>
  <c r="AN41" i="12"/>
  <c r="DE58" i="4"/>
  <c r="DF58" i="4"/>
  <c r="AN42" i="12"/>
  <c r="DE59" i="4"/>
  <c r="DF59" i="4"/>
  <c r="AN43" i="12"/>
  <c r="DE60" i="4"/>
  <c r="DF60" i="4"/>
  <c r="AN44" i="12"/>
  <c r="DE61" i="4"/>
  <c r="DF61" i="4"/>
  <c r="AN45" i="12"/>
  <c r="DE62" i="4"/>
  <c r="DF62" i="4"/>
  <c r="AN46" i="12"/>
  <c r="DE63" i="4"/>
  <c r="DF63" i="4"/>
  <c r="AN47" i="12"/>
  <c r="DE64" i="4"/>
  <c r="DF64" i="4"/>
  <c r="AN48" i="12"/>
  <c r="DE65" i="4"/>
  <c r="DF65" i="4"/>
  <c r="AN49" i="12"/>
  <c r="DE66" i="4"/>
  <c r="DF66" i="4"/>
  <c r="AN50" i="12"/>
  <c r="AN52" i="12"/>
  <c r="F215" i="7"/>
  <c r="F216" i="7"/>
  <c r="H221" i="7"/>
  <c r="G221" i="7"/>
  <c r="DG21" i="4"/>
  <c r="DH21" i="4"/>
  <c r="DI21" i="4"/>
  <c r="DJ21" i="4"/>
  <c r="AO5" i="12"/>
  <c r="DG22" i="4"/>
  <c r="DH22" i="4"/>
  <c r="DI22" i="4"/>
  <c r="DJ22" i="4"/>
  <c r="AO6" i="12"/>
  <c r="DG23" i="4"/>
  <c r="DH23" i="4"/>
  <c r="DI23" i="4"/>
  <c r="DJ23" i="4"/>
  <c r="AO7" i="12"/>
  <c r="DG24" i="4"/>
  <c r="DH24" i="4"/>
  <c r="DI24" i="4"/>
  <c r="DJ24" i="4"/>
  <c r="AO8" i="12"/>
  <c r="DG25" i="4"/>
  <c r="DH25" i="4"/>
  <c r="DI25" i="4"/>
  <c r="DJ25" i="4"/>
  <c r="AO9" i="12"/>
  <c r="DG26" i="4"/>
  <c r="DH26" i="4"/>
  <c r="DI26" i="4"/>
  <c r="DJ26" i="4"/>
  <c r="AO10" i="12"/>
  <c r="DG27" i="4"/>
  <c r="DH27" i="4"/>
  <c r="DI27" i="4"/>
  <c r="DJ27" i="4"/>
  <c r="AO11" i="12"/>
  <c r="DG28" i="4"/>
  <c r="DH28" i="4"/>
  <c r="DI28" i="4"/>
  <c r="DJ28" i="4"/>
  <c r="AO12" i="12"/>
  <c r="DG29" i="4"/>
  <c r="DH29" i="4"/>
  <c r="DI29" i="4"/>
  <c r="DJ29" i="4"/>
  <c r="AO13" i="12"/>
  <c r="DG30" i="4"/>
  <c r="DH30" i="4"/>
  <c r="DI30" i="4"/>
  <c r="DJ30" i="4"/>
  <c r="AO14" i="12"/>
  <c r="DG31" i="4"/>
  <c r="DH31" i="4"/>
  <c r="DI31" i="4"/>
  <c r="DJ31" i="4"/>
  <c r="AO15" i="12"/>
  <c r="DG32" i="4"/>
  <c r="DH32" i="4"/>
  <c r="DI32" i="4"/>
  <c r="DJ32" i="4"/>
  <c r="AO16" i="12"/>
  <c r="DG33" i="4"/>
  <c r="DH33" i="4"/>
  <c r="DI33" i="4"/>
  <c r="DJ33" i="4"/>
  <c r="AO17" i="12"/>
  <c r="DG34" i="4"/>
  <c r="DH34" i="4"/>
  <c r="DI34" i="4"/>
  <c r="DJ34" i="4"/>
  <c r="AO18" i="12"/>
  <c r="DG35" i="4"/>
  <c r="DH35" i="4"/>
  <c r="DI35" i="4"/>
  <c r="DJ35" i="4"/>
  <c r="AO19" i="12"/>
  <c r="DG36" i="4"/>
  <c r="DH36" i="4"/>
  <c r="DI36" i="4"/>
  <c r="DJ36" i="4"/>
  <c r="AO20" i="12"/>
  <c r="DG37" i="4"/>
  <c r="DH37" i="4"/>
  <c r="DI37" i="4"/>
  <c r="DJ37" i="4"/>
  <c r="AO21" i="12"/>
  <c r="DG38" i="4"/>
  <c r="DH38" i="4"/>
  <c r="DI38" i="4"/>
  <c r="DJ38" i="4"/>
  <c r="AO22" i="12"/>
  <c r="DG39" i="4"/>
  <c r="DH39" i="4"/>
  <c r="DI39" i="4"/>
  <c r="DJ39" i="4"/>
  <c r="AO23" i="12"/>
  <c r="DG40" i="4"/>
  <c r="DH40" i="4"/>
  <c r="DI40" i="4"/>
  <c r="DJ40" i="4"/>
  <c r="AO24" i="12"/>
  <c r="DG41" i="4"/>
  <c r="DH41" i="4"/>
  <c r="DI41" i="4"/>
  <c r="DJ41" i="4"/>
  <c r="AO25" i="12"/>
  <c r="DG42" i="4"/>
  <c r="DH42" i="4"/>
  <c r="DI42" i="4"/>
  <c r="DJ42" i="4"/>
  <c r="AO26" i="12"/>
  <c r="DG43" i="4"/>
  <c r="DH43" i="4"/>
  <c r="DI43" i="4"/>
  <c r="DJ43" i="4"/>
  <c r="AO27" i="12"/>
  <c r="DG44" i="4"/>
  <c r="DH44" i="4"/>
  <c r="DI44" i="4"/>
  <c r="DJ44" i="4"/>
  <c r="AO28" i="12"/>
  <c r="DG45" i="4"/>
  <c r="DH45" i="4"/>
  <c r="DI45" i="4"/>
  <c r="DJ45" i="4"/>
  <c r="AO29" i="12"/>
  <c r="DG46" i="4"/>
  <c r="DH46" i="4"/>
  <c r="DI46" i="4"/>
  <c r="DJ46" i="4"/>
  <c r="AO30" i="12"/>
  <c r="DG47" i="4"/>
  <c r="DH47" i="4"/>
  <c r="DI47" i="4"/>
  <c r="DJ47" i="4"/>
  <c r="AO31" i="12"/>
  <c r="DG48" i="4"/>
  <c r="DH48" i="4"/>
  <c r="DI48" i="4"/>
  <c r="DJ48" i="4"/>
  <c r="AO32" i="12"/>
  <c r="DG49" i="4"/>
  <c r="DH49" i="4"/>
  <c r="DI49" i="4"/>
  <c r="DJ49" i="4"/>
  <c r="AO33" i="12"/>
  <c r="DG50" i="4"/>
  <c r="DH50" i="4"/>
  <c r="DI50" i="4"/>
  <c r="DJ50" i="4"/>
  <c r="AO34" i="12"/>
  <c r="DG51" i="4"/>
  <c r="DH51" i="4"/>
  <c r="DI51" i="4"/>
  <c r="DJ51" i="4"/>
  <c r="AO35" i="12"/>
  <c r="DG52" i="4"/>
  <c r="DH52" i="4"/>
  <c r="DI52" i="4"/>
  <c r="DJ52" i="4"/>
  <c r="AO36" i="12"/>
  <c r="DG53" i="4"/>
  <c r="DH53" i="4"/>
  <c r="DI53" i="4"/>
  <c r="DJ53" i="4"/>
  <c r="AO37" i="12"/>
  <c r="DG54" i="4"/>
  <c r="DH54" i="4"/>
  <c r="DI54" i="4"/>
  <c r="DJ54" i="4"/>
  <c r="AO38" i="12"/>
  <c r="DG55" i="4"/>
  <c r="DH55" i="4"/>
  <c r="DI55" i="4"/>
  <c r="DJ55" i="4"/>
  <c r="AO39" i="12"/>
  <c r="DG56" i="4"/>
  <c r="DH56" i="4"/>
  <c r="DI56" i="4"/>
  <c r="DJ56" i="4"/>
  <c r="AO40" i="12"/>
  <c r="DG57" i="4"/>
  <c r="DH57" i="4"/>
  <c r="DI57" i="4"/>
  <c r="DJ57" i="4"/>
  <c r="AO41" i="12"/>
  <c r="DG58" i="4"/>
  <c r="DH58" i="4"/>
  <c r="DI58" i="4"/>
  <c r="DJ58" i="4"/>
  <c r="AO42" i="12"/>
  <c r="DG59" i="4"/>
  <c r="DH59" i="4"/>
  <c r="DI59" i="4"/>
  <c r="DJ59" i="4"/>
  <c r="AO43" i="12"/>
  <c r="DG60" i="4"/>
  <c r="DH60" i="4"/>
  <c r="DI60" i="4"/>
  <c r="DJ60" i="4"/>
  <c r="AO44" i="12"/>
  <c r="DG61" i="4"/>
  <c r="DH61" i="4"/>
  <c r="DI61" i="4"/>
  <c r="DJ61" i="4"/>
  <c r="AO45" i="12"/>
  <c r="DG62" i="4"/>
  <c r="DH62" i="4"/>
  <c r="DI62" i="4"/>
  <c r="DJ62" i="4"/>
  <c r="AO46" i="12"/>
  <c r="DG63" i="4"/>
  <c r="DH63" i="4"/>
  <c r="DI63" i="4"/>
  <c r="DJ63" i="4"/>
  <c r="AO47" i="12"/>
  <c r="DG64" i="4"/>
  <c r="DH64" i="4"/>
  <c r="DI64" i="4"/>
  <c r="DJ64" i="4"/>
  <c r="AO48" i="12"/>
  <c r="DG65" i="4"/>
  <c r="DH65" i="4"/>
  <c r="DI65" i="4"/>
  <c r="DJ65" i="4"/>
  <c r="AO49" i="12"/>
  <c r="DG66" i="4"/>
  <c r="DH66" i="4"/>
  <c r="DI66" i="4"/>
  <c r="DJ66" i="4"/>
  <c r="AO50" i="12"/>
  <c r="AO52" i="12"/>
  <c r="F220" i="7"/>
  <c r="F221" i="7"/>
  <c r="H230" i="7"/>
  <c r="G230" i="7"/>
  <c r="DK21" i="4"/>
  <c r="DL21" i="4"/>
  <c r="DM21" i="4"/>
  <c r="DN21" i="4"/>
  <c r="DO21" i="4"/>
  <c r="DP21" i="4"/>
  <c r="AP5" i="12"/>
  <c r="DK22" i="4"/>
  <c r="DL22" i="4"/>
  <c r="DM22" i="4"/>
  <c r="DN22" i="4"/>
  <c r="DO22" i="4"/>
  <c r="DP22" i="4"/>
  <c r="AP6" i="12"/>
  <c r="DK23" i="4"/>
  <c r="DL23" i="4"/>
  <c r="DM23" i="4"/>
  <c r="DN23" i="4"/>
  <c r="DO23" i="4"/>
  <c r="DP23" i="4"/>
  <c r="AP7" i="12"/>
  <c r="DK24" i="4"/>
  <c r="DL24" i="4"/>
  <c r="DM24" i="4"/>
  <c r="DN24" i="4"/>
  <c r="DO24" i="4"/>
  <c r="DP24" i="4"/>
  <c r="AP8" i="12"/>
  <c r="DK25" i="4"/>
  <c r="DL25" i="4"/>
  <c r="DM25" i="4"/>
  <c r="DN25" i="4"/>
  <c r="DO25" i="4"/>
  <c r="DP25" i="4"/>
  <c r="AP9" i="12"/>
  <c r="DK26" i="4"/>
  <c r="DL26" i="4"/>
  <c r="DM26" i="4"/>
  <c r="DN26" i="4"/>
  <c r="DO26" i="4"/>
  <c r="DP26" i="4"/>
  <c r="AP10" i="12"/>
  <c r="DK27" i="4"/>
  <c r="DL27" i="4"/>
  <c r="DM27" i="4"/>
  <c r="DN27" i="4"/>
  <c r="DO27" i="4"/>
  <c r="DP27" i="4"/>
  <c r="AP11" i="12"/>
  <c r="DK28" i="4"/>
  <c r="DL28" i="4"/>
  <c r="DM28" i="4"/>
  <c r="DN28" i="4"/>
  <c r="DO28" i="4"/>
  <c r="DP28" i="4"/>
  <c r="AP12" i="12"/>
  <c r="DK29" i="4"/>
  <c r="DL29" i="4"/>
  <c r="DM29" i="4"/>
  <c r="DN29" i="4"/>
  <c r="DO29" i="4"/>
  <c r="DP29" i="4"/>
  <c r="AP13" i="12"/>
  <c r="DK30" i="4"/>
  <c r="DL30" i="4"/>
  <c r="DM30" i="4"/>
  <c r="DN30" i="4"/>
  <c r="DO30" i="4"/>
  <c r="DP30" i="4"/>
  <c r="AP14" i="12"/>
  <c r="DK31" i="4"/>
  <c r="DL31" i="4"/>
  <c r="DM31" i="4"/>
  <c r="DN31" i="4"/>
  <c r="DO31" i="4"/>
  <c r="DP31" i="4"/>
  <c r="AP15" i="12"/>
  <c r="DK32" i="4"/>
  <c r="DL32" i="4"/>
  <c r="DM32" i="4"/>
  <c r="DN32" i="4"/>
  <c r="DO32" i="4"/>
  <c r="DP32" i="4"/>
  <c r="AP16" i="12"/>
  <c r="DK33" i="4"/>
  <c r="DL33" i="4"/>
  <c r="DM33" i="4"/>
  <c r="DN33" i="4"/>
  <c r="DO33" i="4"/>
  <c r="DP33" i="4"/>
  <c r="AP17" i="12"/>
  <c r="DK34" i="4"/>
  <c r="DL34" i="4"/>
  <c r="DM34" i="4"/>
  <c r="DN34" i="4"/>
  <c r="DO34" i="4"/>
  <c r="DP34" i="4"/>
  <c r="AP18" i="12"/>
  <c r="DK35" i="4"/>
  <c r="DL35" i="4"/>
  <c r="DM35" i="4"/>
  <c r="DN35" i="4"/>
  <c r="DO35" i="4"/>
  <c r="DP35" i="4"/>
  <c r="AP19" i="12"/>
  <c r="DK36" i="4"/>
  <c r="DL36" i="4"/>
  <c r="DM36" i="4"/>
  <c r="DN36" i="4"/>
  <c r="DO36" i="4"/>
  <c r="DP36" i="4"/>
  <c r="AP20" i="12"/>
  <c r="DK37" i="4"/>
  <c r="DL37" i="4"/>
  <c r="DM37" i="4"/>
  <c r="DN37" i="4"/>
  <c r="DO37" i="4"/>
  <c r="DP37" i="4"/>
  <c r="AP21" i="12"/>
  <c r="DK38" i="4"/>
  <c r="DL38" i="4"/>
  <c r="DM38" i="4"/>
  <c r="DN38" i="4"/>
  <c r="DO38" i="4"/>
  <c r="DP38" i="4"/>
  <c r="AP22" i="12"/>
  <c r="DK39" i="4"/>
  <c r="DL39" i="4"/>
  <c r="DM39" i="4"/>
  <c r="DN39" i="4"/>
  <c r="DO39" i="4"/>
  <c r="DP39" i="4"/>
  <c r="AP23" i="12"/>
  <c r="DK40" i="4"/>
  <c r="DL40" i="4"/>
  <c r="DM40" i="4"/>
  <c r="DN40" i="4"/>
  <c r="DO40" i="4"/>
  <c r="DP40" i="4"/>
  <c r="AP24" i="12"/>
  <c r="DK41" i="4"/>
  <c r="DL41" i="4"/>
  <c r="DM41" i="4"/>
  <c r="DN41" i="4"/>
  <c r="DO41" i="4"/>
  <c r="DP41" i="4"/>
  <c r="AP25" i="12"/>
  <c r="DK42" i="4"/>
  <c r="DL42" i="4"/>
  <c r="DM42" i="4"/>
  <c r="DN42" i="4"/>
  <c r="DO42" i="4"/>
  <c r="DP42" i="4"/>
  <c r="AP26" i="12"/>
  <c r="DK43" i="4"/>
  <c r="DL43" i="4"/>
  <c r="DM43" i="4"/>
  <c r="DN43" i="4"/>
  <c r="DO43" i="4"/>
  <c r="DP43" i="4"/>
  <c r="AP27" i="12"/>
  <c r="DK44" i="4"/>
  <c r="DL44" i="4"/>
  <c r="DM44" i="4"/>
  <c r="DN44" i="4"/>
  <c r="DO44" i="4"/>
  <c r="DP44" i="4"/>
  <c r="AP28" i="12"/>
  <c r="DK45" i="4"/>
  <c r="DL45" i="4"/>
  <c r="DM45" i="4"/>
  <c r="DN45" i="4"/>
  <c r="DO45" i="4"/>
  <c r="DP45" i="4"/>
  <c r="AP29" i="12"/>
  <c r="DK46" i="4"/>
  <c r="DL46" i="4"/>
  <c r="DM46" i="4"/>
  <c r="DN46" i="4"/>
  <c r="DO46" i="4"/>
  <c r="DP46" i="4"/>
  <c r="AP30" i="12"/>
  <c r="DK47" i="4"/>
  <c r="DL47" i="4"/>
  <c r="DM47" i="4"/>
  <c r="DN47" i="4"/>
  <c r="DO47" i="4"/>
  <c r="DP47" i="4"/>
  <c r="AP31" i="12"/>
  <c r="DK48" i="4"/>
  <c r="DL48" i="4"/>
  <c r="DM48" i="4"/>
  <c r="DN48" i="4"/>
  <c r="DO48" i="4"/>
  <c r="DP48" i="4"/>
  <c r="AP32" i="12"/>
  <c r="DK49" i="4"/>
  <c r="DL49" i="4"/>
  <c r="DM49" i="4"/>
  <c r="DN49" i="4"/>
  <c r="DO49" i="4"/>
  <c r="DP49" i="4"/>
  <c r="AP33" i="12"/>
  <c r="DK50" i="4"/>
  <c r="DL50" i="4"/>
  <c r="DM50" i="4"/>
  <c r="DN50" i="4"/>
  <c r="DO50" i="4"/>
  <c r="DP50" i="4"/>
  <c r="AP34" i="12"/>
  <c r="DK51" i="4"/>
  <c r="DL51" i="4"/>
  <c r="DM51" i="4"/>
  <c r="DN51" i="4"/>
  <c r="DO51" i="4"/>
  <c r="DP51" i="4"/>
  <c r="AP35" i="12"/>
  <c r="DK52" i="4"/>
  <c r="DL52" i="4"/>
  <c r="DM52" i="4"/>
  <c r="DN52" i="4"/>
  <c r="DO52" i="4"/>
  <c r="DP52" i="4"/>
  <c r="AP36" i="12"/>
  <c r="DK53" i="4"/>
  <c r="DL53" i="4"/>
  <c r="DM53" i="4"/>
  <c r="DN53" i="4"/>
  <c r="DO53" i="4"/>
  <c r="DP53" i="4"/>
  <c r="AP37" i="12"/>
  <c r="DK54" i="4"/>
  <c r="DL54" i="4"/>
  <c r="DM54" i="4"/>
  <c r="DN54" i="4"/>
  <c r="DO54" i="4"/>
  <c r="DP54" i="4"/>
  <c r="AP38" i="12"/>
  <c r="DK55" i="4"/>
  <c r="DL55" i="4"/>
  <c r="DM55" i="4"/>
  <c r="DN55" i="4"/>
  <c r="DO55" i="4"/>
  <c r="DP55" i="4"/>
  <c r="AP39" i="12"/>
  <c r="DK56" i="4"/>
  <c r="DL56" i="4"/>
  <c r="DM56" i="4"/>
  <c r="DN56" i="4"/>
  <c r="DO56" i="4"/>
  <c r="DP56" i="4"/>
  <c r="AP40" i="12"/>
  <c r="DK57" i="4"/>
  <c r="DL57" i="4"/>
  <c r="DM57" i="4"/>
  <c r="DN57" i="4"/>
  <c r="DO57" i="4"/>
  <c r="DP57" i="4"/>
  <c r="AP41" i="12"/>
  <c r="DK58" i="4"/>
  <c r="DL58" i="4"/>
  <c r="DM58" i="4"/>
  <c r="DN58" i="4"/>
  <c r="DO58" i="4"/>
  <c r="DP58" i="4"/>
  <c r="AP42" i="12"/>
  <c r="DK59" i="4"/>
  <c r="DL59" i="4"/>
  <c r="DM59" i="4"/>
  <c r="DN59" i="4"/>
  <c r="DO59" i="4"/>
  <c r="DP59" i="4"/>
  <c r="AP43" i="12"/>
  <c r="DK60" i="4"/>
  <c r="DL60" i="4"/>
  <c r="DM60" i="4"/>
  <c r="DN60" i="4"/>
  <c r="DO60" i="4"/>
  <c r="DP60" i="4"/>
  <c r="AP44" i="12"/>
  <c r="DK61" i="4"/>
  <c r="DL61" i="4"/>
  <c r="DM61" i="4"/>
  <c r="DN61" i="4"/>
  <c r="DO61" i="4"/>
  <c r="DP61" i="4"/>
  <c r="AP45" i="12"/>
  <c r="DK62" i="4"/>
  <c r="DL62" i="4"/>
  <c r="DM62" i="4"/>
  <c r="DN62" i="4"/>
  <c r="DO62" i="4"/>
  <c r="DP62" i="4"/>
  <c r="AP46" i="12"/>
  <c r="DK63" i="4"/>
  <c r="DL63" i="4"/>
  <c r="DM63" i="4"/>
  <c r="DN63" i="4"/>
  <c r="DO63" i="4"/>
  <c r="DP63" i="4"/>
  <c r="AP47" i="12"/>
  <c r="DK64" i="4"/>
  <c r="DL64" i="4"/>
  <c r="DM64" i="4"/>
  <c r="DN64" i="4"/>
  <c r="DO64" i="4"/>
  <c r="DP64" i="4"/>
  <c r="AP48" i="12"/>
  <c r="DK65" i="4"/>
  <c r="DL65" i="4"/>
  <c r="DM65" i="4"/>
  <c r="DN65" i="4"/>
  <c r="DO65" i="4"/>
  <c r="DP65" i="4"/>
  <c r="AP49" i="12"/>
  <c r="DK66" i="4"/>
  <c r="DL66" i="4"/>
  <c r="DM66" i="4"/>
  <c r="DN66" i="4"/>
  <c r="DO66" i="4"/>
  <c r="DP66" i="4"/>
  <c r="AP50" i="12"/>
  <c r="AP52" i="12"/>
  <c r="F229" i="7"/>
  <c r="F230" i="7"/>
  <c r="H244" i="7"/>
  <c r="G244" i="7"/>
  <c r="AQ5" i="12"/>
  <c r="AQ6" i="12"/>
  <c r="AQ7" i="12"/>
  <c r="AQ8" i="12"/>
  <c r="AQ9" i="12"/>
  <c r="AQ10" i="12"/>
  <c r="AQ11" i="12"/>
  <c r="AQ12" i="12"/>
  <c r="AQ13" i="12"/>
  <c r="AQ14" i="12"/>
  <c r="AQ15" i="12"/>
  <c r="AQ16" i="12"/>
  <c r="AQ17" i="12"/>
  <c r="AQ18" i="12"/>
  <c r="AQ19" i="12"/>
  <c r="AQ20" i="12"/>
  <c r="AQ21" i="12"/>
  <c r="AQ22" i="12"/>
  <c r="AQ23" i="12"/>
  <c r="AQ24" i="12"/>
  <c r="AQ25" i="12"/>
  <c r="AQ26" i="12"/>
  <c r="AQ27" i="12"/>
  <c r="AQ28" i="12"/>
  <c r="AQ29" i="12"/>
  <c r="AQ30" i="12"/>
  <c r="AQ31" i="12"/>
  <c r="AQ32" i="12"/>
  <c r="AQ33" i="12"/>
  <c r="AQ34" i="12"/>
  <c r="AQ35" i="12"/>
  <c r="AQ36" i="12"/>
  <c r="AQ37" i="12"/>
  <c r="AQ38" i="12"/>
  <c r="AQ39" i="12"/>
  <c r="AQ40" i="12"/>
  <c r="AQ41" i="12"/>
  <c r="AQ42" i="12"/>
  <c r="AQ43" i="12"/>
  <c r="AQ44" i="12"/>
  <c r="AQ45" i="12"/>
  <c r="AQ46" i="12"/>
  <c r="AQ47" i="12"/>
  <c r="AQ48" i="12"/>
  <c r="AQ49" i="12"/>
  <c r="AQ50" i="12"/>
  <c r="AQ52" i="12"/>
  <c r="F243" i="7"/>
  <c r="F244" i="7"/>
  <c r="H254" i="7"/>
  <c r="G254" i="7"/>
  <c r="DU21" i="4"/>
  <c r="DV21" i="4"/>
  <c r="AR5" i="12"/>
  <c r="DU22" i="4"/>
  <c r="DV22" i="4"/>
  <c r="AR6" i="12"/>
  <c r="DU23" i="4"/>
  <c r="DV23" i="4"/>
  <c r="AR7" i="12"/>
  <c r="DU24" i="4"/>
  <c r="DV24" i="4"/>
  <c r="AR8" i="12"/>
  <c r="DU25" i="4"/>
  <c r="DV25" i="4"/>
  <c r="AR9" i="12"/>
  <c r="DU26" i="4"/>
  <c r="DV26" i="4"/>
  <c r="AR10" i="12"/>
  <c r="DU27" i="4"/>
  <c r="DV27" i="4"/>
  <c r="AR11" i="12"/>
  <c r="DU28" i="4"/>
  <c r="DV28" i="4"/>
  <c r="AR12" i="12"/>
  <c r="DU29" i="4"/>
  <c r="DV29" i="4"/>
  <c r="AR13" i="12"/>
  <c r="DU30" i="4"/>
  <c r="DV30" i="4"/>
  <c r="AR14" i="12"/>
  <c r="DU31" i="4"/>
  <c r="DV31" i="4"/>
  <c r="AR15" i="12"/>
  <c r="DU32" i="4"/>
  <c r="DV32" i="4"/>
  <c r="AR16" i="12"/>
  <c r="DU33" i="4"/>
  <c r="DV33" i="4"/>
  <c r="AR17" i="12"/>
  <c r="DU34" i="4"/>
  <c r="DV34" i="4"/>
  <c r="AR18" i="12"/>
  <c r="DU35" i="4"/>
  <c r="DV35" i="4"/>
  <c r="AR19" i="12"/>
  <c r="DU36" i="4"/>
  <c r="DV36" i="4"/>
  <c r="AR20" i="12"/>
  <c r="DU37" i="4"/>
  <c r="DV37" i="4"/>
  <c r="AR21" i="12"/>
  <c r="DU38" i="4"/>
  <c r="DV38" i="4"/>
  <c r="AR22" i="12"/>
  <c r="DU39" i="4"/>
  <c r="DV39" i="4"/>
  <c r="AR23" i="12"/>
  <c r="DU40" i="4"/>
  <c r="DV40" i="4"/>
  <c r="AR24" i="12"/>
  <c r="DU41" i="4"/>
  <c r="DV41" i="4"/>
  <c r="AR25" i="12"/>
  <c r="DU42" i="4"/>
  <c r="DV42" i="4"/>
  <c r="AR26" i="12"/>
  <c r="DU43" i="4"/>
  <c r="DV43" i="4"/>
  <c r="AR27" i="12"/>
  <c r="DU44" i="4"/>
  <c r="DV44" i="4"/>
  <c r="AR28" i="12"/>
  <c r="DU45" i="4"/>
  <c r="DV45" i="4"/>
  <c r="AR29" i="12"/>
  <c r="DU46" i="4"/>
  <c r="DV46" i="4"/>
  <c r="AR30" i="12"/>
  <c r="DU47" i="4"/>
  <c r="DV47" i="4"/>
  <c r="AR31" i="12"/>
  <c r="DU48" i="4"/>
  <c r="DV48" i="4"/>
  <c r="AR32" i="12"/>
  <c r="DU49" i="4"/>
  <c r="DV49" i="4"/>
  <c r="AR33" i="12"/>
  <c r="DU50" i="4"/>
  <c r="DV50" i="4"/>
  <c r="AR34" i="12"/>
  <c r="DU51" i="4"/>
  <c r="DV51" i="4"/>
  <c r="AR35" i="12"/>
  <c r="DU52" i="4"/>
  <c r="DV52" i="4"/>
  <c r="AR36" i="12"/>
  <c r="DU53" i="4"/>
  <c r="DV53" i="4"/>
  <c r="AR37" i="12"/>
  <c r="DU54" i="4"/>
  <c r="DV54" i="4"/>
  <c r="AR38" i="12"/>
  <c r="DU55" i="4"/>
  <c r="DV55" i="4"/>
  <c r="AR39" i="12"/>
  <c r="DU56" i="4"/>
  <c r="DV56" i="4"/>
  <c r="AR40" i="12"/>
  <c r="DU57" i="4"/>
  <c r="DV57" i="4"/>
  <c r="AR41" i="12"/>
  <c r="DU58" i="4"/>
  <c r="DV58" i="4"/>
  <c r="AR42" i="12"/>
  <c r="DU59" i="4"/>
  <c r="DV59" i="4"/>
  <c r="AR43" i="12"/>
  <c r="DU60" i="4"/>
  <c r="DV60" i="4"/>
  <c r="AR44" i="12"/>
  <c r="DU61" i="4"/>
  <c r="DV61" i="4"/>
  <c r="AR45" i="12"/>
  <c r="DU62" i="4"/>
  <c r="DV62" i="4"/>
  <c r="AR46" i="12"/>
  <c r="DU63" i="4"/>
  <c r="DV63" i="4"/>
  <c r="AR47" i="12"/>
  <c r="DU64" i="4"/>
  <c r="DV64" i="4"/>
  <c r="AR48" i="12"/>
  <c r="DU65" i="4"/>
  <c r="DV65" i="4"/>
  <c r="AR49" i="12"/>
  <c r="DU66" i="4"/>
  <c r="DV66" i="4"/>
  <c r="AR50" i="12"/>
  <c r="AR52" i="12"/>
  <c r="F253" i="7"/>
  <c r="F254" i="7"/>
  <c r="H262" i="7"/>
  <c r="G262" i="7"/>
  <c r="DW21" i="4"/>
  <c r="DX21" i="4"/>
  <c r="AS5" i="12"/>
  <c r="DW22" i="4"/>
  <c r="DX22" i="4"/>
  <c r="AS6" i="12"/>
  <c r="DW23" i="4"/>
  <c r="DX23" i="4"/>
  <c r="AS7" i="12"/>
  <c r="DW24" i="4"/>
  <c r="DX24" i="4"/>
  <c r="AS8" i="12"/>
  <c r="DW25" i="4"/>
  <c r="DX25" i="4"/>
  <c r="AS9" i="12"/>
  <c r="DW26" i="4"/>
  <c r="DX26" i="4"/>
  <c r="AS10" i="12"/>
  <c r="DW27" i="4"/>
  <c r="DX27" i="4"/>
  <c r="AS11" i="12"/>
  <c r="DW28" i="4"/>
  <c r="DX28" i="4"/>
  <c r="AS12" i="12"/>
  <c r="DW29" i="4"/>
  <c r="DX29" i="4"/>
  <c r="AS13" i="12"/>
  <c r="DW30" i="4"/>
  <c r="DX30" i="4"/>
  <c r="AS14" i="12"/>
  <c r="DW31" i="4"/>
  <c r="DX31" i="4"/>
  <c r="AS15" i="12"/>
  <c r="DW32" i="4"/>
  <c r="DX32" i="4"/>
  <c r="AS16" i="12"/>
  <c r="DW33" i="4"/>
  <c r="DX33" i="4"/>
  <c r="AS17" i="12"/>
  <c r="DW34" i="4"/>
  <c r="DX34" i="4"/>
  <c r="AS18" i="12"/>
  <c r="DW35" i="4"/>
  <c r="DX35" i="4"/>
  <c r="AS19" i="12"/>
  <c r="DW36" i="4"/>
  <c r="DX36" i="4"/>
  <c r="AS20" i="12"/>
  <c r="DW37" i="4"/>
  <c r="DX37" i="4"/>
  <c r="AS21" i="12"/>
  <c r="DW38" i="4"/>
  <c r="DX38" i="4"/>
  <c r="AS22" i="12"/>
  <c r="DW39" i="4"/>
  <c r="DX39" i="4"/>
  <c r="AS23" i="12"/>
  <c r="DW40" i="4"/>
  <c r="DX40" i="4"/>
  <c r="AS24" i="12"/>
  <c r="DW41" i="4"/>
  <c r="DX41" i="4"/>
  <c r="AS25" i="12"/>
  <c r="DW42" i="4"/>
  <c r="DX42" i="4"/>
  <c r="AS26" i="12"/>
  <c r="DW43" i="4"/>
  <c r="DX43" i="4"/>
  <c r="AS27" i="12"/>
  <c r="DW44" i="4"/>
  <c r="DX44" i="4"/>
  <c r="AS28" i="12"/>
  <c r="DW45" i="4"/>
  <c r="DX45" i="4"/>
  <c r="AS29" i="12"/>
  <c r="DW46" i="4"/>
  <c r="DX46" i="4"/>
  <c r="AS30" i="12"/>
  <c r="DW47" i="4"/>
  <c r="DX47" i="4"/>
  <c r="AS31" i="12"/>
  <c r="DW48" i="4"/>
  <c r="DX48" i="4"/>
  <c r="AS32" i="12"/>
  <c r="DW49" i="4"/>
  <c r="DX49" i="4"/>
  <c r="AS33" i="12"/>
  <c r="DW50" i="4"/>
  <c r="DX50" i="4"/>
  <c r="AS34" i="12"/>
  <c r="DW51" i="4"/>
  <c r="DX51" i="4"/>
  <c r="AS35" i="12"/>
  <c r="DW52" i="4"/>
  <c r="DX52" i="4"/>
  <c r="AS36" i="12"/>
  <c r="DW53" i="4"/>
  <c r="DX53" i="4"/>
  <c r="AS37" i="12"/>
  <c r="DW54" i="4"/>
  <c r="DX54" i="4"/>
  <c r="AS38" i="12"/>
  <c r="DW55" i="4"/>
  <c r="DX55" i="4"/>
  <c r="AS39" i="12"/>
  <c r="DW56" i="4"/>
  <c r="DX56" i="4"/>
  <c r="AS40" i="12"/>
  <c r="DW57" i="4"/>
  <c r="DX57" i="4"/>
  <c r="AS41" i="12"/>
  <c r="DW58" i="4"/>
  <c r="DX58" i="4"/>
  <c r="AS42" i="12"/>
  <c r="DW59" i="4"/>
  <c r="DX59" i="4"/>
  <c r="AS43" i="12"/>
  <c r="DW60" i="4"/>
  <c r="DX60" i="4"/>
  <c r="AS44" i="12"/>
  <c r="DW61" i="4"/>
  <c r="DX61" i="4"/>
  <c r="AS45" i="12"/>
  <c r="DW62" i="4"/>
  <c r="DX62" i="4"/>
  <c r="AS46" i="12"/>
  <c r="DW63" i="4"/>
  <c r="DX63" i="4"/>
  <c r="AS47" i="12"/>
  <c r="DW64" i="4"/>
  <c r="DX64" i="4"/>
  <c r="AS48" i="12"/>
  <c r="DW65" i="4"/>
  <c r="DX65" i="4"/>
  <c r="AS49" i="12"/>
  <c r="DW66" i="4"/>
  <c r="DX66" i="4"/>
  <c r="AS50" i="12"/>
  <c r="AS52" i="12"/>
  <c r="F261" i="7"/>
  <c r="F262" i="7"/>
  <c r="H267" i="7"/>
  <c r="G267" i="7"/>
  <c r="I266" i="7"/>
  <c r="I261" i="7"/>
  <c r="I253" i="7"/>
  <c r="I243" i="7"/>
  <c r="I229" i="7"/>
  <c r="I220" i="7"/>
  <c r="I215" i="7"/>
  <c r="I210" i="7"/>
  <c r="I205" i="7"/>
  <c r="I200" i="7"/>
  <c r="I194" i="7"/>
  <c r="I189" i="7"/>
  <c r="I184" i="7"/>
  <c r="I171" i="7"/>
  <c r="I166" i="7"/>
  <c r="I161" i="7"/>
  <c r="I156" i="7"/>
  <c r="I151" i="7"/>
  <c r="I146" i="7"/>
  <c r="I140" i="7"/>
  <c r="I134" i="7"/>
  <c r="I129" i="7"/>
  <c r="I121" i="7"/>
  <c r="I116" i="7"/>
  <c r="I107" i="7"/>
  <c r="I98" i="7"/>
  <c r="I88" i="7"/>
  <c r="I84" i="7"/>
  <c r="I79" i="7"/>
  <c r="I74" i="7"/>
  <c r="I69" i="7"/>
  <c r="I62" i="7"/>
  <c r="I53" i="7"/>
  <c r="I47" i="7"/>
  <c r="I42" i="7"/>
  <c r="I34" i="7"/>
  <c r="I24" i="7"/>
  <c r="I19" i="7"/>
  <c r="I15" i="7"/>
  <c r="I10" i="7"/>
  <c r="I3" i="7"/>
  <c r="H266" i="7"/>
  <c r="G266" i="7"/>
  <c r="H261" i="7"/>
  <c r="G261" i="7"/>
  <c r="H253" i="7"/>
  <c r="G253" i="7"/>
  <c r="H243" i="7"/>
  <c r="G243" i="7"/>
  <c r="H229" i="7"/>
  <c r="G229" i="7"/>
  <c r="H220" i="7"/>
  <c r="G220" i="7"/>
  <c r="H215" i="7"/>
  <c r="G215" i="7"/>
  <c r="H210" i="7"/>
  <c r="G210" i="7"/>
  <c r="H205" i="7"/>
  <c r="G205" i="7"/>
  <c r="H200" i="7"/>
  <c r="G200" i="7"/>
  <c r="H194" i="7"/>
  <c r="G194" i="7"/>
  <c r="H189" i="7"/>
  <c r="G189" i="7"/>
  <c r="H184" i="7"/>
  <c r="G184" i="7"/>
  <c r="H171" i="7"/>
  <c r="G171" i="7"/>
  <c r="H166" i="7"/>
  <c r="G166" i="7"/>
  <c r="H161" i="7"/>
  <c r="G161" i="7"/>
  <c r="H156" i="7"/>
  <c r="G156" i="7"/>
  <c r="H151" i="7"/>
  <c r="G151" i="7"/>
  <c r="H146" i="7"/>
  <c r="G146" i="7"/>
  <c r="H140" i="7"/>
  <c r="G140" i="7"/>
  <c r="H134" i="7"/>
  <c r="G134" i="7"/>
  <c r="H129" i="7"/>
  <c r="G129" i="7"/>
  <c r="H121" i="7"/>
  <c r="G121" i="7"/>
  <c r="H116" i="7"/>
  <c r="G116" i="7"/>
  <c r="H107" i="7"/>
  <c r="G107" i="7"/>
  <c r="H98" i="7"/>
  <c r="G98" i="7"/>
  <c r="H88" i="7"/>
  <c r="G88" i="7"/>
  <c r="H84" i="7"/>
  <c r="G84" i="7"/>
  <c r="H79" i="7"/>
  <c r="G79" i="7"/>
  <c r="H74" i="7"/>
  <c r="G74" i="7"/>
  <c r="H69" i="7"/>
  <c r="G69" i="7"/>
  <c r="H62" i="7"/>
  <c r="G62" i="7"/>
  <c r="H53" i="7"/>
  <c r="G53" i="7"/>
  <c r="H47" i="7"/>
  <c r="G47" i="7"/>
  <c r="H42" i="7"/>
  <c r="G42" i="7"/>
  <c r="H34" i="7"/>
  <c r="G34" i="7"/>
  <c r="H24" i="7"/>
  <c r="G24" i="7"/>
  <c r="H19" i="7"/>
  <c r="G19" i="7"/>
  <c r="H15" i="7"/>
  <c r="G15" i="7"/>
  <c r="H10" i="7"/>
  <c r="G10" i="7"/>
  <c r="H3" i="7"/>
  <c r="G3" i="7"/>
  <c r="BB67" i="4"/>
  <c r="AZ67" i="4"/>
  <c r="R67" i="4"/>
  <c r="I67" i="4"/>
  <c r="M52" i="12"/>
  <c r="AC94" i="3"/>
  <c r="AC93" i="3"/>
  <c r="AC92" i="3"/>
  <c r="AC91" i="3"/>
  <c r="AD94" i="3"/>
  <c r="AD93" i="3"/>
  <c r="AD92" i="3"/>
  <c r="AD91" i="3"/>
  <c r="AE94" i="3"/>
  <c r="AE93" i="3"/>
  <c r="AE92" i="3"/>
  <c r="AE91" i="3"/>
  <c r="AU13" i="12"/>
  <c r="P40" i="3"/>
  <c r="H98" i="3"/>
  <c r="AU22" i="12"/>
  <c r="P49" i="3"/>
  <c r="H99" i="3"/>
  <c r="AU18" i="12"/>
  <c r="P45" i="3"/>
  <c r="H100" i="3"/>
  <c r="AU21" i="12"/>
  <c r="P48" i="3"/>
  <c r="H101" i="3"/>
  <c r="AU45" i="12"/>
  <c r="P72" i="3"/>
  <c r="H102" i="3"/>
  <c r="AU20" i="12"/>
  <c r="P47" i="3"/>
  <c r="H103" i="3"/>
  <c r="Q98" i="3"/>
  <c r="AU42" i="12"/>
  <c r="P69" i="3"/>
  <c r="H104" i="3"/>
  <c r="AU29" i="12"/>
  <c r="P56" i="3"/>
  <c r="H105" i="3"/>
  <c r="AU9" i="12"/>
  <c r="P36" i="3"/>
  <c r="H106" i="3"/>
  <c r="AU32" i="12"/>
  <c r="P59" i="3"/>
  <c r="H107" i="3"/>
  <c r="AU44" i="12"/>
  <c r="P71" i="3"/>
  <c r="H108" i="3"/>
  <c r="AU36" i="12"/>
  <c r="P63" i="3"/>
  <c r="H109" i="3"/>
  <c r="AU30" i="12"/>
  <c r="P57" i="3"/>
  <c r="H110" i="3"/>
  <c r="AU11" i="12"/>
  <c r="P38" i="3"/>
  <c r="H111" i="3"/>
  <c r="AU19" i="12"/>
  <c r="P46" i="3"/>
  <c r="H112" i="3"/>
  <c r="AU34" i="12"/>
  <c r="P61" i="3"/>
  <c r="H113" i="3"/>
  <c r="AU7" i="12"/>
  <c r="P34" i="3"/>
  <c r="H114" i="3"/>
  <c r="AU33" i="12"/>
  <c r="P60" i="3"/>
  <c r="H115" i="3"/>
  <c r="AU8" i="12"/>
  <c r="P35" i="3"/>
  <c r="H116" i="3"/>
  <c r="AU49" i="12"/>
  <c r="P76" i="3"/>
  <c r="H117" i="3"/>
  <c r="AU48" i="12"/>
  <c r="P75" i="3"/>
  <c r="H118" i="3"/>
  <c r="AU31" i="12"/>
  <c r="P58" i="3"/>
  <c r="H119" i="3"/>
  <c r="AU5" i="12"/>
  <c r="P32" i="3"/>
  <c r="H120" i="3"/>
  <c r="AU40" i="12"/>
  <c r="P67" i="3"/>
  <c r="H121" i="3"/>
  <c r="AU37" i="12"/>
  <c r="P64" i="3"/>
  <c r="H122" i="3"/>
  <c r="AU24" i="12"/>
  <c r="P51" i="3"/>
  <c r="H123" i="3"/>
  <c r="AU17" i="12"/>
  <c r="P44" i="3"/>
  <c r="H124" i="3"/>
  <c r="AU28" i="12"/>
  <c r="P55" i="3"/>
  <c r="H125" i="3"/>
  <c r="AU27" i="12"/>
  <c r="P54" i="3"/>
  <c r="H126" i="3"/>
  <c r="AU26" i="12"/>
  <c r="P53" i="3"/>
  <c r="H127" i="3"/>
  <c r="AU16" i="12"/>
  <c r="P43" i="3"/>
  <c r="H128" i="3"/>
  <c r="AU25" i="12"/>
  <c r="P52" i="3"/>
  <c r="H129" i="3"/>
  <c r="AU38" i="12"/>
  <c r="P65" i="3"/>
  <c r="H130" i="3"/>
  <c r="AU15" i="12"/>
  <c r="P42" i="3"/>
  <c r="H131" i="3"/>
  <c r="AU23" i="12"/>
  <c r="P50" i="3"/>
  <c r="H132" i="3"/>
  <c r="AU14" i="12"/>
  <c r="P41" i="3"/>
  <c r="H133" i="3"/>
  <c r="Q99" i="3"/>
  <c r="AU6" i="12"/>
  <c r="P33" i="3"/>
  <c r="H134" i="3"/>
  <c r="AU10" i="12"/>
  <c r="P37" i="3"/>
  <c r="H135" i="3"/>
  <c r="AU47" i="12"/>
  <c r="P74" i="3"/>
  <c r="H136" i="3"/>
  <c r="AU41" i="12"/>
  <c r="P68" i="3"/>
  <c r="H137" i="3"/>
  <c r="AU39" i="12"/>
  <c r="P66" i="3"/>
  <c r="H138" i="3"/>
  <c r="AU46" i="12"/>
  <c r="P73" i="3"/>
  <c r="H139" i="3"/>
  <c r="AU35" i="12"/>
  <c r="P62" i="3"/>
  <c r="H140" i="3"/>
  <c r="AU43" i="12"/>
  <c r="P70" i="3"/>
  <c r="H141" i="3"/>
  <c r="AU50" i="12"/>
  <c r="P77" i="3"/>
  <c r="H142" i="3"/>
  <c r="Q100" i="3"/>
  <c r="Q102" i="3"/>
  <c r="AF94" i="3"/>
  <c r="AG13" i="12"/>
  <c r="M40" i="3"/>
  <c r="G98" i="3"/>
  <c r="AG22" i="12"/>
  <c r="M49" i="3"/>
  <c r="G99" i="3"/>
  <c r="AG18" i="12"/>
  <c r="M45" i="3"/>
  <c r="G100" i="3"/>
  <c r="AG21" i="12"/>
  <c r="M48" i="3"/>
  <c r="G101" i="3"/>
  <c r="AG45" i="12"/>
  <c r="M72" i="3"/>
  <c r="G102" i="3"/>
  <c r="AG20" i="12"/>
  <c r="M47" i="3"/>
  <c r="G103" i="3"/>
  <c r="P98" i="3"/>
  <c r="AG42" i="12"/>
  <c r="M69" i="3"/>
  <c r="G104" i="3"/>
  <c r="AG29" i="12"/>
  <c r="M56" i="3"/>
  <c r="G105" i="3"/>
  <c r="AG9" i="12"/>
  <c r="M36" i="3"/>
  <c r="G106" i="3"/>
  <c r="AG32" i="12"/>
  <c r="M59" i="3"/>
  <c r="G107" i="3"/>
  <c r="AG44" i="12"/>
  <c r="M71" i="3"/>
  <c r="G108" i="3"/>
  <c r="AG36" i="12"/>
  <c r="M63" i="3"/>
  <c r="G109" i="3"/>
  <c r="AG30" i="12"/>
  <c r="M57" i="3"/>
  <c r="G110" i="3"/>
  <c r="AG11" i="12"/>
  <c r="M38" i="3"/>
  <c r="G111" i="3"/>
  <c r="AG19" i="12"/>
  <c r="M46" i="3"/>
  <c r="G112" i="3"/>
  <c r="AG34" i="12"/>
  <c r="M61" i="3"/>
  <c r="G113" i="3"/>
  <c r="AG7" i="12"/>
  <c r="M34" i="3"/>
  <c r="G114" i="3"/>
  <c r="AG33" i="12"/>
  <c r="M60" i="3"/>
  <c r="G115" i="3"/>
  <c r="AG8" i="12"/>
  <c r="M35" i="3"/>
  <c r="G116" i="3"/>
  <c r="AG49" i="12"/>
  <c r="M76" i="3"/>
  <c r="G117" i="3"/>
  <c r="AG48" i="12"/>
  <c r="M75" i="3"/>
  <c r="G118" i="3"/>
  <c r="AG31" i="12"/>
  <c r="M58" i="3"/>
  <c r="G119" i="3"/>
  <c r="AG5" i="12"/>
  <c r="M32" i="3"/>
  <c r="G120" i="3"/>
  <c r="AG40" i="12"/>
  <c r="M67" i="3"/>
  <c r="G121" i="3"/>
  <c r="AG37" i="12"/>
  <c r="M64" i="3"/>
  <c r="G122" i="3"/>
  <c r="AG24" i="12"/>
  <c r="M51" i="3"/>
  <c r="G123" i="3"/>
  <c r="AG17" i="12"/>
  <c r="M44" i="3"/>
  <c r="G124" i="3"/>
  <c r="AG28" i="12"/>
  <c r="M55" i="3"/>
  <c r="G125" i="3"/>
  <c r="AG27" i="12"/>
  <c r="M54" i="3"/>
  <c r="G126" i="3"/>
  <c r="AG26" i="12"/>
  <c r="M53" i="3"/>
  <c r="G127" i="3"/>
  <c r="AG16" i="12"/>
  <c r="M43" i="3"/>
  <c r="G128" i="3"/>
  <c r="AG25" i="12"/>
  <c r="M52" i="3"/>
  <c r="G129" i="3"/>
  <c r="AG38" i="12"/>
  <c r="M65" i="3"/>
  <c r="G130" i="3"/>
  <c r="AG15" i="12"/>
  <c r="M42" i="3"/>
  <c r="G131" i="3"/>
  <c r="AG23" i="12"/>
  <c r="M50" i="3"/>
  <c r="G132" i="3"/>
  <c r="AG14" i="12"/>
  <c r="M41" i="3"/>
  <c r="G133" i="3"/>
  <c r="P99" i="3"/>
  <c r="AG6" i="12"/>
  <c r="M33" i="3"/>
  <c r="G134" i="3"/>
  <c r="AG10" i="12"/>
  <c r="M37" i="3"/>
  <c r="G135" i="3"/>
  <c r="AG47" i="12"/>
  <c r="M74" i="3"/>
  <c r="G136" i="3"/>
  <c r="AG41" i="12"/>
  <c r="M68" i="3"/>
  <c r="G137" i="3"/>
  <c r="AG39" i="12"/>
  <c r="M66" i="3"/>
  <c r="G138" i="3"/>
  <c r="AG46" i="12"/>
  <c r="M73" i="3"/>
  <c r="G139" i="3"/>
  <c r="AG35" i="12"/>
  <c r="M62" i="3"/>
  <c r="G140" i="3"/>
  <c r="AG43" i="12"/>
  <c r="M70" i="3"/>
  <c r="G141" i="3"/>
  <c r="AG50" i="12"/>
  <c r="M77" i="3"/>
  <c r="G142" i="3"/>
  <c r="P100" i="3"/>
  <c r="P102" i="3"/>
  <c r="AF93" i="3"/>
  <c r="W13" i="12"/>
  <c r="J40" i="3"/>
  <c r="F98" i="3"/>
  <c r="W22" i="12"/>
  <c r="J49" i="3"/>
  <c r="F99" i="3"/>
  <c r="W18" i="12"/>
  <c r="J45" i="3"/>
  <c r="F100" i="3"/>
  <c r="W21" i="12"/>
  <c r="J48" i="3"/>
  <c r="F101" i="3"/>
  <c r="W45" i="12"/>
  <c r="J72" i="3"/>
  <c r="F102" i="3"/>
  <c r="W20" i="12"/>
  <c r="J47" i="3"/>
  <c r="F103" i="3"/>
  <c r="O98" i="3"/>
  <c r="W42" i="12"/>
  <c r="J69" i="3"/>
  <c r="F104" i="3"/>
  <c r="W29" i="12"/>
  <c r="J56" i="3"/>
  <c r="F105" i="3"/>
  <c r="W9" i="12"/>
  <c r="J36" i="3"/>
  <c r="F106" i="3"/>
  <c r="W32" i="12"/>
  <c r="J59" i="3"/>
  <c r="F107" i="3"/>
  <c r="W44" i="12"/>
  <c r="J71" i="3"/>
  <c r="F108" i="3"/>
  <c r="W36" i="12"/>
  <c r="J63" i="3"/>
  <c r="F109" i="3"/>
  <c r="W30" i="12"/>
  <c r="J57" i="3"/>
  <c r="F110" i="3"/>
  <c r="W11" i="12"/>
  <c r="J38" i="3"/>
  <c r="F111" i="3"/>
  <c r="W19" i="12"/>
  <c r="J46" i="3"/>
  <c r="F112" i="3"/>
  <c r="W34" i="12"/>
  <c r="J61" i="3"/>
  <c r="F113" i="3"/>
  <c r="W7" i="12"/>
  <c r="J34" i="3"/>
  <c r="F114" i="3"/>
  <c r="W33" i="12"/>
  <c r="J60" i="3"/>
  <c r="F115" i="3"/>
  <c r="W8" i="12"/>
  <c r="J35" i="3"/>
  <c r="F116" i="3"/>
  <c r="W49" i="12"/>
  <c r="J76" i="3"/>
  <c r="F117" i="3"/>
  <c r="W48" i="12"/>
  <c r="J75" i="3"/>
  <c r="F118" i="3"/>
  <c r="W31" i="12"/>
  <c r="J58" i="3"/>
  <c r="F119" i="3"/>
  <c r="W5" i="12"/>
  <c r="J32" i="3"/>
  <c r="F120" i="3"/>
  <c r="W40" i="12"/>
  <c r="J67" i="3"/>
  <c r="F121" i="3"/>
  <c r="W37" i="12"/>
  <c r="J64" i="3"/>
  <c r="F122" i="3"/>
  <c r="W24" i="12"/>
  <c r="J51" i="3"/>
  <c r="F123" i="3"/>
  <c r="W17" i="12"/>
  <c r="J44" i="3"/>
  <c r="F124" i="3"/>
  <c r="W28" i="12"/>
  <c r="J55" i="3"/>
  <c r="F125" i="3"/>
  <c r="W27" i="12"/>
  <c r="J54" i="3"/>
  <c r="F126" i="3"/>
  <c r="W26" i="12"/>
  <c r="J53" i="3"/>
  <c r="F127" i="3"/>
  <c r="W16" i="12"/>
  <c r="J43" i="3"/>
  <c r="F128" i="3"/>
  <c r="W25" i="12"/>
  <c r="J52" i="3"/>
  <c r="F129" i="3"/>
  <c r="W38" i="12"/>
  <c r="J65" i="3"/>
  <c r="F130" i="3"/>
  <c r="W15" i="12"/>
  <c r="J42" i="3"/>
  <c r="F131" i="3"/>
  <c r="W23" i="12"/>
  <c r="J50" i="3"/>
  <c r="F132" i="3"/>
  <c r="W14" i="12"/>
  <c r="J41" i="3"/>
  <c r="F133" i="3"/>
  <c r="O99" i="3"/>
  <c r="W6" i="12"/>
  <c r="J33" i="3"/>
  <c r="F134" i="3"/>
  <c r="W10" i="12"/>
  <c r="J37" i="3"/>
  <c r="F135" i="3"/>
  <c r="W47" i="12"/>
  <c r="J74" i="3"/>
  <c r="F136" i="3"/>
  <c r="W41" i="12"/>
  <c r="J68" i="3"/>
  <c r="F137" i="3"/>
  <c r="W39" i="12"/>
  <c r="J66" i="3"/>
  <c r="F138" i="3"/>
  <c r="W46" i="12"/>
  <c r="J73" i="3"/>
  <c r="F139" i="3"/>
  <c r="W35" i="12"/>
  <c r="J62" i="3"/>
  <c r="F140" i="3"/>
  <c r="W43" i="12"/>
  <c r="J70" i="3"/>
  <c r="F141" i="3"/>
  <c r="W50" i="12"/>
  <c r="J77" i="3"/>
  <c r="F142" i="3"/>
  <c r="O100" i="3"/>
  <c r="O102" i="3"/>
  <c r="AF92" i="3"/>
  <c r="M13" i="12"/>
  <c r="G40" i="3"/>
  <c r="E98" i="3"/>
  <c r="M22" i="12"/>
  <c r="G49" i="3"/>
  <c r="E99" i="3"/>
  <c r="M18" i="12"/>
  <c r="G45" i="3"/>
  <c r="E100" i="3"/>
  <c r="M21" i="12"/>
  <c r="G48" i="3"/>
  <c r="E101" i="3"/>
  <c r="M45" i="12"/>
  <c r="G72" i="3"/>
  <c r="E102" i="3"/>
  <c r="M20" i="12"/>
  <c r="G47" i="3"/>
  <c r="E103" i="3"/>
  <c r="N98" i="3"/>
  <c r="M42" i="12"/>
  <c r="G69" i="3"/>
  <c r="E104" i="3"/>
  <c r="M29" i="12"/>
  <c r="G56" i="3"/>
  <c r="E105" i="3"/>
  <c r="M9" i="12"/>
  <c r="G36" i="3"/>
  <c r="E106" i="3"/>
  <c r="M32" i="12"/>
  <c r="G59" i="3"/>
  <c r="E107" i="3"/>
  <c r="M44" i="12"/>
  <c r="G71" i="3"/>
  <c r="E108" i="3"/>
  <c r="M36" i="12"/>
  <c r="G63" i="3"/>
  <c r="E109" i="3"/>
  <c r="M30" i="12"/>
  <c r="G57" i="3"/>
  <c r="E110" i="3"/>
  <c r="M11" i="12"/>
  <c r="G38" i="3"/>
  <c r="E111" i="3"/>
  <c r="M19" i="12"/>
  <c r="G46" i="3"/>
  <c r="E112" i="3"/>
  <c r="M34" i="12"/>
  <c r="G61" i="3"/>
  <c r="E113" i="3"/>
  <c r="M7" i="12"/>
  <c r="G34" i="3"/>
  <c r="E114" i="3"/>
  <c r="M33" i="12"/>
  <c r="G60" i="3"/>
  <c r="E115" i="3"/>
  <c r="M8" i="12"/>
  <c r="G35" i="3"/>
  <c r="E116" i="3"/>
  <c r="M49" i="12"/>
  <c r="G76" i="3"/>
  <c r="E117" i="3"/>
  <c r="M48" i="12"/>
  <c r="G75" i="3"/>
  <c r="E118" i="3"/>
  <c r="M31" i="12"/>
  <c r="G58" i="3"/>
  <c r="E119" i="3"/>
  <c r="M5" i="12"/>
  <c r="G32" i="3"/>
  <c r="E120" i="3"/>
  <c r="M40" i="12"/>
  <c r="G67" i="3"/>
  <c r="E121" i="3"/>
  <c r="M37" i="12"/>
  <c r="G64" i="3"/>
  <c r="E122" i="3"/>
  <c r="M24" i="12"/>
  <c r="G51" i="3"/>
  <c r="E123" i="3"/>
  <c r="M17" i="12"/>
  <c r="G44" i="3"/>
  <c r="E124" i="3"/>
  <c r="M28" i="12"/>
  <c r="G55" i="3"/>
  <c r="E125" i="3"/>
  <c r="M27" i="12"/>
  <c r="G54" i="3"/>
  <c r="E126" i="3"/>
  <c r="M26" i="12"/>
  <c r="G53" i="3"/>
  <c r="E127" i="3"/>
  <c r="M16" i="12"/>
  <c r="G43" i="3"/>
  <c r="E128" i="3"/>
  <c r="M25" i="12"/>
  <c r="G52" i="3"/>
  <c r="E129" i="3"/>
  <c r="M38" i="12"/>
  <c r="G65" i="3"/>
  <c r="E130" i="3"/>
  <c r="M15" i="12"/>
  <c r="G42" i="3"/>
  <c r="E131" i="3"/>
  <c r="M23" i="12"/>
  <c r="G50" i="3"/>
  <c r="E132" i="3"/>
  <c r="M14" i="12"/>
  <c r="G41" i="3"/>
  <c r="E133" i="3"/>
  <c r="N99" i="3"/>
  <c r="M6" i="12"/>
  <c r="G33" i="3"/>
  <c r="E134" i="3"/>
  <c r="M10" i="12"/>
  <c r="G37" i="3"/>
  <c r="E135" i="3"/>
  <c r="M47" i="12"/>
  <c r="G74" i="3"/>
  <c r="E136" i="3"/>
  <c r="M41" i="12"/>
  <c r="G68" i="3"/>
  <c r="E137" i="3"/>
  <c r="M39" i="12"/>
  <c r="G66" i="3"/>
  <c r="E138" i="3"/>
  <c r="M46" i="12"/>
  <c r="G73" i="3"/>
  <c r="E139" i="3"/>
  <c r="M35" i="12"/>
  <c r="G62" i="3"/>
  <c r="E140" i="3"/>
  <c r="M43" i="12"/>
  <c r="G70" i="3"/>
  <c r="E141" i="3"/>
  <c r="M50" i="12"/>
  <c r="G77" i="3"/>
  <c r="E142" i="3"/>
  <c r="N100" i="3"/>
  <c r="N102" i="3"/>
  <c r="AF91" i="3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AH51" i="12"/>
  <c r="B17" i="3"/>
  <c r="C90" i="3"/>
  <c r="AI51" i="12"/>
  <c r="D90" i="3"/>
  <c r="AJ51" i="12"/>
  <c r="E90" i="3"/>
  <c r="AK51" i="12"/>
  <c r="F90" i="3"/>
  <c r="AL51" i="12"/>
  <c r="G90" i="3"/>
  <c r="AM51" i="12"/>
  <c r="H90" i="3"/>
  <c r="AN51" i="12"/>
  <c r="I90" i="3"/>
  <c r="AO51" i="12"/>
  <c r="J90" i="3"/>
  <c r="AP51" i="12"/>
  <c r="K90" i="3"/>
  <c r="AQ51" i="12"/>
  <c r="L90" i="3"/>
  <c r="AR51" i="12"/>
  <c r="M90" i="3"/>
  <c r="AS51" i="12"/>
  <c r="N90" i="3"/>
  <c r="AT51" i="12"/>
  <c r="O90" i="3"/>
  <c r="P90" i="3"/>
  <c r="AI94" i="3"/>
  <c r="AL94" i="3"/>
  <c r="AU12" i="12"/>
  <c r="P39" i="3"/>
  <c r="H143" i="3"/>
  <c r="AH94" i="3"/>
  <c r="AK94" i="3"/>
  <c r="AG94" i="3"/>
  <c r="AJ94" i="3"/>
  <c r="X51" i="12"/>
  <c r="C88" i="3"/>
  <c r="Y51" i="12"/>
  <c r="D88" i="3"/>
  <c r="Z51" i="12"/>
  <c r="E88" i="3"/>
  <c r="AA51" i="12"/>
  <c r="F88" i="3"/>
  <c r="AB51" i="12"/>
  <c r="G88" i="3"/>
  <c r="AC51" i="12"/>
  <c r="H88" i="3"/>
  <c r="AD51" i="12"/>
  <c r="I88" i="3"/>
  <c r="AE51" i="12"/>
  <c r="J88" i="3"/>
  <c r="AF51" i="12"/>
  <c r="K88" i="3"/>
  <c r="L88" i="3"/>
  <c r="AI93" i="3"/>
  <c r="AL93" i="3"/>
  <c r="AG12" i="12"/>
  <c r="M39" i="3"/>
  <c r="G143" i="3"/>
  <c r="AH93" i="3"/>
  <c r="AK93" i="3"/>
  <c r="AG93" i="3"/>
  <c r="AJ93" i="3"/>
  <c r="N51" i="12"/>
  <c r="C86" i="3"/>
  <c r="O51" i="12"/>
  <c r="D86" i="3"/>
  <c r="P51" i="12"/>
  <c r="E86" i="3"/>
  <c r="Q51" i="12"/>
  <c r="F86" i="3"/>
  <c r="R51" i="12"/>
  <c r="G86" i="3"/>
  <c r="S51" i="12"/>
  <c r="H86" i="3"/>
  <c r="T51" i="12"/>
  <c r="I86" i="3"/>
  <c r="U51" i="12"/>
  <c r="J86" i="3"/>
  <c r="V51" i="12"/>
  <c r="K86" i="3"/>
  <c r="L86" i="3"/>
  <c r="AI92" i="3"/>
  <c r="AL92" i="3"/>
  <c r="W12" i="12"/>
  <c r="J39" i="3"/>
  <c r="F143" i="3"/>
  <c r="AH92" i="3"/>
  <c r="AK92" i="3"/>
  <c r="AG92" i="3"/>
  <c r="AJ92" i="3"/>
  <c r="C51" i="12"/>
  <c r="C84" i="3"/>
  <c r="D51" i="12"/>
  <c r="D84" i="3"/>
  <c r="E51" i="12"/>
  <c r="E84" i="3"/>
  <c r="F51" i="12"/>
  <c r="F84" i="3"/>
  <c r="G51" i="12"/>
  <c r="G84" i="3"/>
  <c r="H51" i="12"/>
  <c r="H84" i="3"/>
  <c r="I51" i="12"/>
  <c r="I84" i="3"/>
  <c r="J51" i="12"/>
  <c r="J84" i="3"/>
  <c r="K51" i="12"/>
  <c r="K84" i="3"/>
  <c r="L51" i="12"/>
  <c r="L84" i="3"/>
  <c r="M84" i="3"/>
  <c r="AI91" i="3"/>
  <c r="AL91" i="3"/>
  <c r="M12" i="12"/>
  <c r="G39" i="3"/>
  <c r="E143" i="3"/>
  <c r="AH91" i="3"/>
  <c r="AK91" i="3"/>
  <c r="AG91" i="3"/>
  <c r="AJ91" i="3"/>
  <c r="AV50" i="12"/>
  <c r="AV49" i="12"/>
  <c r="AV48" i="12"/>
  <c r="AV47" i="12"/>
  <c r="AV46" i="12"/>
  <c r="AV45" i="12"/>
  <c r="AV44" i="12"/>
  <c r="AV43" i="12"/>
  <c r="AV42" i="12"/>
  <c r="AV41" i="12"/>
  <c r="AV40" i="12"/>
  <c r="AV39" i="12"/>
  <c r="AV38" i="12"/>
  <c r="AV37" i="12"/>
  <c r="AV36" i="12"/>
  <c r="AV35" i="12"/>
  <c r="AV34" i="12"/>
  <c r="AV33" i="12"/>
  <c r="AV32" i="12"/>
  <c r="AV31" i="12"/>
  <c r="AV30" i="12"/>
  <c r="AV29" i="12"/>
  <c r="AV28" i="12"/>
  <c r="AV27" i="12"/>
  <c r="AV26" i="12"/>
  <c r="AV25" i="12"/>
  <c r="AV24" i="12"/>
  <c r="AV23" i="12"/>
  <c r="AV22" i="12"/>
  <c r="AV21" i="12"/>
  <c r="AV20" i="12"/>
  <c r="AV19" i="12"/>
  <c r="AV18" i="12"/>
  <c r="AV17" i="12"/>
  <c r="AV16" i="12"/>
  <c r="AV15" i="12"/>
  <c r="AV14" i="12"/>
  <c r="AV13" i="12"/>
  <c r="AV12" i="12"/>
  <c r="AV11" i="12"/>
  <c r="AV10" i="12"/>
  <c r="AV9" i="12"/>
  <c r="AV8" i="12"/>
  <c r="AV7" i="12"/>
  <c r="AV6" i="12"/>
  <c r="AV5" i="12"/>
  <c r="AT4" i="12"/>
  <c r="AS4" i="12"/>
  <c r="AR4" i="12"/>
  <c r="AQ4" i="12"/>
  <c r="AP4" i="12"/>
  <c r="AO4" i="12"/>
  <c r="AN4" i="12"/>
  <c r="AM4" i="12"/>
  <c r="AL4" i="12"/>
  <c r="AK4" i="12"/>
  <c r="AJ4" i="12"/>
  <c r="AI4" i="12"/>
  <c r="AH4" i="12"/>
  <c r="AF4" i="12"/>
  <c r="AE4" i="12"/>
  <c r="AD4" i="12"/>
  <c r="AC4" i="12"/>
  <c r="AB4" i="12"/>
  <c r="AA4" i="12"/>
  <c r="Z4" i="12"/>
  <c r="Y4" i="12"/>
  <c r="X4" i="12"/>
  <c r="V4" i="12"/>
  <c r="U4" i="12"/>
  <c r="T4" i="12"/>
  <c r="S4" i="12"/>
  <c r="R4" i="12"/>
  <c r="Q4" i="12"/>
  <c r="P4" i="12"/>
  <c r="O4" i="12"/>
  <c r="N4" i="12"/>
  <c r="L4" i="12"/>
  <c r="K4" i="12"/>
  <c r="J4" i="12"/>
  <c r="I4" i="12"/>
  <c r="H4" i="12"/>
  <c r="G4" i="12"/>
  <c r="F4" i="12"/>
  <c r="E4" i="12"/>
  <c r="D4" i="12"/>
  <c r="C4" i="12"/>
  <c r="B77" i="3"/>
  <c r="B206" i="3"/>
  <c r="AF206" i="3"/>
  <c r="B76" i="3"/>
  <c r="B205" i="3"/>
  <c r="AF205" i="3"/>
  <c r="B75" i="3"/>
  <c r="B204" i="3"/>
  <c r="AF204" i="3"/>
  <c r="B74" i="3"/>
  <c r="B203" i="3"/>
  <c r="AF203" i="3"/>
  <c r="B73" i="3"/>
  <c r="B202" i="3"/>
  <c r="AF202" i="3"/>
  <c r="B72" i="3"/>
  <c r="B201" i="3"/>
  <c r="AF201" i="3"/>
  <c r="B71" i="3"/>
  <c r="B200" i="3"/>
  <c r="AF200" i="3"/>
  <c r="B70" i="3"/>
  <c r="B199" i="3"/>
  <c r="AF199" i="3"/>
  <c r="B69" i="3"/>
  <c r="B198" i="3"/>
  <c r="AF198" i="3"/>
  <c r="B68" i="3"/>
  <c r="B197" i="3"/>
  <c r="AF197" i="3"/>
  <c r="B67" i="3"/>
  <c r="B196" i="3"/>
  <c r="AF196" i="3"/>
  <c r="B66" i="3"/>
  <c r="B195" i="3"/>
  <c r="AF195" i="3"/>
  <c r="B65" i="3"/>
  <c r="B194" i="3"/>
  <c r="AF194" i="3"/>
  <c r="B64" i="3"/>
  <c r="B193" i="3"/>
  <c r="AF193" i="3"/>
  <c r="B63" i="3"/>
  <c r="B192" i="3"/>
  <c r="AF192" i="3"/>
  <c r="B62" i="3"/>
  <c r="B191" i="3"/>
  <c r="AF191" i="3"/>
  <c r="B61" i="3"/>
  <c r="B190" i="3"/>
  <c r="AF190" i="3"/>
  <c r="B60" i="3"/>
  <c r="B189" i="3"/>
  <c r="AF189" i="3"/>
  <c r="B59" i="3"/>
  <c r="B188" i="3"/>
  <c r="AF188" i="3"/>
  <c r="B58" i="3"/>
  <c r="B187" i="3"/>
  <c r="AF187" i="3"/>
  <c r="B57" i="3"/>
  <c r="B186" i="3"/>
  <c r="AF186" i="3"/>
  <c r="B56" i="3"/>
  <c r="B185" i="3"/>
  <c r="AF185" i="3"/>
  <c r="B55" i="3"/>
  <c r="B184" i="3"/>
  <c r="AF184" i="3"/>
  <c r="B54" i="3"/>
  <c r="B183" i="3"/>
  <c r="AF183" i="3"/>
  <c r="B53" i="3"/>
  <c r="B182" i="3"/>
  <c r="AF182" i="3"/>
  <c r="B52" i="3"/>
  <c r="B181" i="3"/>
  <c r="AF181" i="3"/>
  <c r="B51" i="3"/>
  <c r="B180" i="3"/>
  <c r="AF180" i="3"/>
  <c r="B50" i="3"/>
  <c r="B179" i="3"/>
  <c r="AF179" i="3"/>
  <c r="B49" i="3"/>
  <c r="B178" i="3"/>
  <c r="AF178" i="3"/>
  <c r="B48" i="3"/>
  <c r="B177" i="3"/>
  <c r="AF177" i="3"/>
  <c r="B47" i="3"/>
  <c r="B176" i="3"/>
  <c r="AF176" i="3"/>
  <c r="B46" i="3"/>
  <c r="B175" i="3"/>
  <c r="AF175" i="3"/>
  <c r="B45" i="3"/>
  <c r="B174" i="3"/>
  <c r="AF174" i="3"/>
  <c r="B44" i="3"/>
  <c r="B173" i="3"/>
  <c r="AF173" i="3"/>
  <c r="B43" i="3"/>
  <c r="B172" i="3"/>
  <c r="AF172" i="3"/>
  <c r="B42" i="3"/>
  <c r="B171" i="3"/>
  <c r="AF171" i="3"/>
  <c r="B41" i="3"/>
  <c r="B170" i="3"/>
  <c r="AF170" i="3"/>
  <c r="B40" i="3"/>
  <c r="B169" i="3"/>
  <c r="AF169" i="3"/>
  <c r="B39" i="3"/>
  <c r="B168" i="3"/>
  <c r="AF168" i="3"/>
  <c r="B38" i="3"/>
  <c r="B167" i="3"/>
  <c r="AF167" i="3"/>
  <c r="B37" i="3"/>
  <c r="B166" i="3"/>
  <c r="AF166" i="3"/>
  <c r="B36" i="3"/>
  <c r="B165" i="3"/>
  <c r="AF165" i="3"/>
  <c r="B35" i="3"/>
  <c r="B164" i="3"/>
  <c r="AF164" i="3"/>
  <c r="B34" i="3"/>
  <c r="B163" i="3"/>
  <c r="AF163" i="3"/>
  <c r="B33" i="3"/>
  <c r="B162" i="3"/>
  <c r="AF162" i="3"/>
  <c r="B32" i="3"/>
  <c r="B161" i="3"/>
  <c r="AF161" i="3"/>
  <c r="Z206" i="3"/>
  <c r="Z205" i="3"/>
  <c r="Z204" i="3"/>
  <c r="Z203" i="3"/>
  <c r="Z202" i="3"/>
  <c r="Z201" i="3"/>
  <c r="Z200" i="3"/>
  <c r="Z199" i="3"/>
  <c r="Z198" i="3"/>
  <c r="Z197" i="3"/>
  <c r="Z196" i="3"/>
  <c r="Z195" i="3"/>
  <c r="Z194" i="3"/>
  <c r="Z193" i="3"/>
  <c r="Z192" i="3"/>
  <c r="Z191" i="3"/>
  <c r="Z190" i="3"/>
  <c r="Z189" i="3"/>
  <c r="Z188" i="3"/>
  <c r="Z187" i="3"/>
  <c r="Z186" i="3"/>
  <c r="Z185" i="3"/>
  <c r="Z184" i="3"/>
  <c r="Z183" i="3"/>
  <c r="Z182" i="3"/>
  <c r="Z181" i="3"/>
  <c r="Z180" i="3"/>
  <c r="Z179" i="3"/>
  <c r="Z178" i="3"/>
  <c r="Z177" i="3"/>
  <c r="Z176" i="3"/>
  <c r="Z175" i="3"/>
  <c r="Z174" i="3"/>
  <c r="Z173" i="3"/>
  <c r="Z172" i="3"/>
  <c r="Z171" i="3"/>
  <c r="Z170" i="3"/>
  <c r="Z169" i="3"/>
  <c r="Z168" i="3"/>
  <c r="Z167" i="3"/>
  <c r="Z166" i="3"/>
  <c r="Z165" i="3"/>
  <c r="Z164" i="3"/>
  <c r="Z163" i="3"/>
  <c r="Z162" i="3"/>
  <c r="Z161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161" i="3"/>
  <c r="C32" i="3"/>
  <c r="C161" i="3"/>
  <c r="C22" i="3"/>
  <c r="Q30" i="3"/>
  <c r="AF90" i="3"/>
  <c r="AE90" i="3"/>
  <c r="AI90" i="3"/>
  <c r="AL90" i="3"/>
  <c r="C21" i="3"/>
  <c r="N30" i="3"/>
  <c r="AF89" i="3"/>
  <c r="AE89" i="3"/>
  <c r="AI89" i="3"/>
  <c r="AL89" i="3"/>
  <c r="C20" i="3"/>
  <c r="K30" i="3"/>
  <c r="AF88" i="3"/>
  <c r="AE88" i="3"/>
  <c r="AI88" i="3"/>
  <c r="AL88" i="3"/>
  <c r="C19" i="3"/>
  <c r="H30" i="3"/>
  <c r="AF87" i="3"/>
  <c r="AE87" i="3"/>
  <c r="AI87" i="3"/>
  <c r="AL87" i="3"/>
  <c r="AF86" i="3"/>
  <c r="AE86" i="3"/>
  <c r="AI86" i="3"/>
  <c r="AL86" i="3"/>
  <c r="AF85" i="3"/>
  <c r="AE85" i="3"/>
  <c r="AI85" i="3"/>
  <c r="AL85" i="3"/>
  <c r="AF84" i="3"/>
  <c r="AE84" i="3"/>
  <c r="AI84" i="3"/>
  <c r="AL84" i="3"/>
  <c r="AF83" i="3"/>
  <c r="AE83" i="3"/>
  <c r="AI83" i="3"/>
  <c r="AL83" i="3"/>
  <c r="AF82" i="3"/>
  <c r="AE82" i="3"/>
  <c r="AI82" i="3"/>
  <c r="AL82" i="3"/>
  <c r="AF81" i="3"/>
  <c r="AE81" i="3"/>
  <c r="AI81" i="3"/>
  <c r="AL81" i="3"/>
  <c r="AF80" i="3"/>
  <c r="AE80" i="3"/>
  <c r="AI80" i="3"/>
  <c r="AL80" i="3"/>
  <c r="AF79" i="3"/>
  <c r="AE79" i="3"/>
  <c r="AI79" i="3"/>
  <c r="AL79" i="3"/>
  <c r="AD90" i="3"/>
  <c r="AH90" i="3"/>
  <c r="AK90" i="3"/>
  <c r="AD89" i="3"/>
  <c r="AH89" i="3"/>
  <c r="AK89" i="3"/>
  <c r="AD88" i="3"/>
  <c r="AH88" i="3"/>
  <c r="AK88" i="3"/>
  <c r="AD87" i="3"/>
  <c r="AH87" i="3"/>
  <c r="AK87" i="3"/>
  <c r="AD86" i="3"/>
  <c r="AH86" i="3"/>
  <c r="AK86" i="3"/>
  <c r="AD85" i="3"/>
  <c r="AH85" i="3"/>
  <c r="AK85" i="3"/>
  <c r="AD84" i="3"/>
  <c r="AH84" i="3"/>
  <c r="AK84" i="3"/>
  <c r="AD83" i="3"/>
  <c r="AH83" i="3"/>
  <c r="AK83" i="3"/>
  <c r="AD82" i="3"/>
  <c r="AH82" i="3"/>
  <c r="AK82" i="3"/>
  <c r="AD81" i="3"/>
  <c r="AH81" i="3"/>
  <c r="AK81" i="3"/>
  <c r="AD80" i="3"/>
  <c r="AH80" i="3"/>
  <c r="AK80" i="3"/>
  <c r="AD79" i="3"/>
  <c r="AH79" i="3"/>
  <c r="AK79" i="3"/>
  <c r="AC90" i="3"/>
  <c r="AG90" i="3"/>
  <c r="AJ90" i="3"/>
  <c r="AC89" i="3"/>
  <c r="AG89" i="3"/>
  <c r="AJ89" i="3"/>
  <c r="AC88" i="3"/>
  <c r="AG88" i="3"/>
  <c r="AJ88" i="3"/>
  <c r="AC87" i="3"/>
  <c r="AG87" i="3"/>
  <c r="AJ87" i="3"/>
  <c r="AC86" i="3"/>
  <c r="AG86" i="3"/>
  <c r="AJ86" i="3"/>
  <c r="AC85" i="3"/>
  <c r="AG85" i="3"/>
  <c r="AJ85" i="3"/>
  <c r="AC84" i="3"/>
  <c r="AG84" i="3"/>
  <c r="AJ84" i="3"/>
  <c r="AC83" i="3"/>
  <c r="AG83" i="3"/>
  <c r="AJ83" i="3"/>
  <c r="AC82" i="3"/>
  <c r="AG82" i="3"/>
  <c r="AJ82" i="3"/>
  <c r="AC81" i="3"/>
  <c r="AG81" i="3"/>
  <c r="AJ81" i="3"/>
  <c r="AC80" i="3"/>
  <c r="AG80" i="3"/>
  <c r="AJ80" i="3"/>
  <c r="AC79" i="3"/>
  <c r="AG79" i="3"/>
  <c r="AJ79" i="3"/>
  <c r="AF78" i="3"/>
  <c r="AE78" i="3"/>
  <c r="E30" i="3"/>
  <c r="D40" i="3"/>
  <c r="D98" i="3"/>
  <c r="D49" i="3"/>
  <c r="D99" i="3"/>
  <c r="D45" i="3"/>
  <c r="D100" i="3"/>
  <c r="D48" i="3"/>
  <c r="D101" i="3"/>
  <c r="D72" i="3"/>
  <c r="D102" i="3"/>
  <c r="D56" i="3"/>
  <c r="D105" i="3"/>
  <c r="D39" i="3"/>
  <c r="D143" i="3"/>
  <c r="D47" i="3"/>
  <c r="D103" i="3"/>
  <c r="D69" i="3"/>
  <c r="D104" i="3"/>
  <c r="D71" i="3"/>
  <c r="D108" i="3"/>
  <c r="D59" i="3"/>
  <c r="D107" i="3"/>
  <c r="D63" i="3"/>
  <c r="D109" i="3"/>
  <c r="D57" i="3"/>
  <c r="D110" i="3"/>
  <c r="D36" i="3"/>
  <c r="D106" i="3"/>
  <c r="D61" i="3"/>
  <c r="D113" i="3"/>
  <c r="D34" i="3"/>
  <c r="D114" i="3"/>
  <c r="D76" i="3"/>
  <c r="D117" i="3"/>
  <c r="D60" i="3"/>
  <c r="D115" i="3"/>
  <c r="D35" i="3"/>
  <c r="D116" i="3"/>
  <c r="D38" i="3"/>
  <c r="D111" i="3"/>
  <c r="D75" i="3"/>
  <c r="D118" i="3"/>
  <c r="D58" i="3"/>
  <c r="D119" i="3"/>
  <c r="D67" i="3"/>
  <c r="D121" i="3"/>
  <c r="D32" i="3"/>
  <c r="D120" i="3"/>
  <c r="D64" i="3"/>
  <c r="D122" i="3"/>
  <c r="D46" i="3"/>
  <c r="D112" i="3"/>
  <c r="D52" i="3"/>
  <c r="D129" i="3"/>
  <c r="D43" i="3"/>
  <c r="D128" i="3"/>
  <c r="D42" i="3"/>
  <c r="D131" i="3"/>
  <c r="D44" i="3"/>
  <c r="D124" i="3"/>
  <c r="D53" i="3"/>
  <c r="D127" i="3"/>
  <c r="D51" i="3"/>
  <c r="D123" i="3"/>
  <c r="D50" i="3"/>
  <c r="D132" i="3"/>
  <c r="D55" i="3"/>
  <c r="D125" i="3"/>
  <c r="D54" i="3"/>
  <c r="D126" i="3"/>
  <c r="D65" i="3"/>
  <c r="D130" i="3"/>
  <c r="D41" i="3"/>
  <c r="D133" i="3"/>
  <c r="D33" i="3"/>
  <c r="D134" i="3"/>
  <c r="D37" i="3"/>
  <c r="D135" i="3"/>
  <c r="D66" i="3"/>
  <c r="D138" i="3"/>
  <c r="D73" i="3"/>
  <c r="D139" i="3"/>
  <c r="D68" i="3"/>
  <c r="D137" i="3"/>
  <c r="D74" i="3"/>
  <c r="D136" i="3"/>
  <c r="D62" i="3"/>
  <c r="D140" i="3"/>
  <c r="D77" i="3"/>
  <c r="D142" i="3"/>
  <c r="D70" i="3"/>
  <c r="D141" i="3"/>
  <c r="R98" i="3"/>
  <c r="R101" i="3"/>
  <c r="R100" i="3"/>
  <c r="R99" i="3"/>
  <c r="C60" i="3"/>
  <c r="C115" i="3"/>
  <c r="C74" i="3"/>
  <c r="C136" i="3"/>
  <c r="C67" i="3"/>
  <c r="C121" i="3"/>
  <c r="C41" i="3"/>
  <c r="C133" i="3"/>
  <c r="DY16" i="4"/>
  <c r="DW16" i="4"/>
  <c r="DU16" i="4"/>
  <c r="DQ16" i="4"/>
  <c r="AJ16" i="4"/>
  <c r="DK16" i="4"/>
  <c r="CF16" i="4"/>
  <c r="BM16" i="4"/>
  <c r="AF16" i="4"/>
  <c r="DG16" i="4"/>
  <c r="CD16" i="4"/>
  <c r="BK16" i="4"/>
  <c r="AD16" i="4"/>
  <c r="DE16" i="4"/>
  <c r="CB16" i="4"/>
  <c r="BG16" i="4"/>
  <c r="AB16" i="4"/>
  <c r="DC16" i="4"/>
  <c r="BZ16" i="4"/>
  <c r="BC16" i="4"/>
  <c r="Z16" i="4"/>
  <c r="DA16" i="4"/>
  <c r="BX16" i="4"/>
  <c r="AY16" i="4"/>
  <c r="R16" i="4"/>
  <c r="CY16" i="4"/>
  <c r="BV16" i="4"/>
  <c r="AS16" i="4"/>
  <c r="J16" i="4"/>
  <c r="CW16" i="4"/>
  <c r="BT16" i="4"/>
  <c r="AQ16" i="4"/>
  <c r="H16" i="4"/>
  <c r="CU16" i="4"/>
  <c r="BR16" i="4"/>
  <c r="AO16" i="4"/>
  <c r="F16" i="4"/>
  <c r="CS16" i="4"/>
  <c r="BP16" i="4"/>
  <c r="AM16" i="4"/>
  <c r="D16" i="4"/>
  <c r="CS20" i="4"/>
  <c r="A6" i="12"/>
  <c r="C3" i="12"/>
  <c r="D3" i="12"/>
  <c r="E3" i="12"/>
  <c r="F3" i="12"/>
  <c r="G3" i="12"/>
  <c r="H3" i="12"/>
  <c r="I3" i="12"/>
  <c r="J3" i="12"/>
  <c r="K3" i="12"/>
  <c r="L3" i="12"/>
  <c r="N3" i="12"/>
  <c r="O3" i="12"/>
  <c r="P3" i="12"/>
  <c r="Q3" i="12"/>
  <c r="R3" i="12"/>
  <c r="S3" i="12"/>
  <c r="T3" i="12"/>
  <c r="U3" i="12"/>
  <c r="V3" i="12"/>
  <c r="X3" i="12"/>
  <c r="Y3" i="12"/>
  <c r="Z3" i="12"/>
  <c r="AA3" i="12"/>
  <c r="AB3" i="12"/>
  <c r="AC3" i="12"/>
  <c r="AD3" i="12"/>
  <c r="AE3" i="12"/>
  <c r="AF3" i="12"/>
  <c r="AH3" i="12"/>
  <c r="AI3" i="12"/>
  <c r="AJ3" i="12"/>
  <c r="AK3" i="12"/>
  <c r="AL3" i="12"/>
  <c r="AM3" i="12"/>
  <c r="AN3" i="12"/>
  <c r="AO3" i="12"/>
  <c r="AP3" i="12"/>
  <c r="AQ3" i="12"/>
  <c r="AR3" i="12"/>
  <c r="AS3" i="12"/>
  <c r="AT3" i="12"/>
  <c r="AU3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W100" i="3"/>
  <c r="AX100" i="3"/>
  <c r="AW99" i="3"/>
  <c r="AX99" i="3"/>
  <c r="AW98" i="3"/>
  <c r="AX98" i="3"/>
  <c r="AV100" i="3"/>
  <c r="AV99" i="3"/>
  <c r="AV98" i="3"/>
  <c r="AR88" i="3"/>
  <c r="AQ88" i="3"/>
  <c r="AP88" i="3"/>
  <c r="AO88" i="3"/>
  <c r="AR87" i="3"/>
  <c r="AQ87" i="3"/>
  <c r="AP87" i="3"/>
  <c r="AO87" i="3"/>
  <c r="AR86" i="3"/>
  <c r="AQ86" i="3"/>
  <c r="AP86" i="3"/>
  <c r="AO86" i="3"/>
  <c r="D20" i="4"/>
  <c r="J2" i="11"/>
  <c r="K2" i="11"/>
  <c r="CS10" i="4"/>
  <c r="A4" i="11"/>
  <c r="A6" i="11"/>
  <c r="A8" i="11"/>
  <c r="A10" i="11"/>
  <c r="A18" i="11"/>
  <c r="A20" i="11"/>
  <c r="A22" i="11"/>
  <c r="K22" i="11"/>
  <c r="CU19" i="4"/>
  <c r="CW19" i="4"/>
  <c r="CY19" i="4"/>
  <c r="DA19" i="4"/>
  <c r="DC19" i="4"/>
  <c r="DE19" i="4"/>
  <c r="DG19" i="4"/>
  <c r="DI19" i="4"/>
  <c r="DK19" i="4"/>
  <c r="K23" i="11"/>
  <c r="C186" i="7"/>
  <c r="C189" i="7"/>
  <c r="C191" i="7"/>
  <c r="C194" i="7"/>
  <c r="C195" i="7"/>
  <c r="C197" i="7"/>
  <c r="C200" i="7"/>
  <c r="C202" i="7"/>
  <c r="C205" i="7"/>
  <c r="C207" i="7"/>
  <c r="C210" i="7"/>
  <c r="C212" i="7"/>
  <c r="C215" i="7"/>
  <c r="C217" i="7"/>
  <c r="C220" i="7"/>
  <c r="C222" i="7"/>
  <c r="C224" i="7"/>
  <c r="C226" i="7"/>
  <c r="C229" i="7"/>
  <c r="C230" i="7"/>
  <c r="Q230" i="7"/>
  <c r="J22" i="11"/>
  <c r="J23" i="11"/>
  <c r="C231" i="7"/>
  <c r="Q231" i="7"/>
  <c r="A24" i="11"/>
  <c r="A26" i="11"/>
  <c r="K26" i="11"/>
  <c r="DM19" i="4"/>
  <c r="DO19" i="4"/>
  <c r="K27" i="11"/>
  <c r="C234" i="7"/>
  <c r="C235" i="7"/>
  <c r="C238" i="7"/>
  <c r="Q238" i="7"/>
  <c r="J26" i="11"/>
  <c r="J27" i="11"/>
  <c r="C239" i="7"/>
  <c r="Q239" i="7"/>
  <c r="Q240" i="7"/>
  <c r="F19" i="4"/>
  <c r="H19" i="4"/>
  <c r="J19" i="4"/>
  <c r="L19" i="4"/>
  <c r="N19" i="4"/>
  <c r="P19" i="4"/>
  <c r="R19" i="4"/>
  <c r="T19" i="4"/>
  <c r="V19" i="4"/>
  <c r="X19" i="4"/>
  <c r="Z19" i="4"/>
  <c r="AB19" i="4"/>
  <c r="AD19" i="4"/>
  <c r="AF19" i="4"/>
  <c r="AH19" i="4"/>
  <c r="AJ19" i="4"/>
  <c r="M3" i="12"/>
  <c r="N101" i="3"/>
  <c r="DQ19" i="4"/>
  <c r="DS19" i="4"/>
  <c r="DU19" i="4"/>
  <c r="DW19" i="4"/>
  <c r="DY19" i="4"/>
  <c r="EA19" i="4"/>
  <c r="BP20" i="4"/>
  <c r="BR19" i="4"/>
  <c r="BT19" i="4"/>
  <c r="BV19" i="4"/>
  <c r="BX19" i="4"/>
  <c r="BZ19" i="4"/>
  <c r="CB19" i="4"/>
  <c r="CD19" i="4"/>
  <c r="CF19" i="4"/>
  <c r="CH19" i="4"/>
  <c r="CJ19" i="4"/>
  <c r="CL19" i="4"/>
  <c r="CN19" i="4"/>
  <c r="CP19" i="4"/>
  <c r="AG3" i="12"/>
  <c r="AM20" i="4"/>
  <c r="AO19" i="4"/>
  <c r="AQ19" i="4"/>
  <c r="AS19" i="4"/>
  <c r="AU19" i="4"/>
  <c r="AW19" i="4"/>
  <c r="AY19" i="4"/>
  <c r="BA19" i="4"/>
  <c r="BC19" i="4"/>
  <c r="BE19" i="4"/>
  <c r="BG19" i="4"/>
  <c r="BI19" i="4"/>
  <c r="BK19" i="4"/>
  <c r="BM19" i="4"/>
  <c r="W3" i="12"/>
  <c r="AA87" i="3"/>
  <c r="AA83" i="3"/>
  <c r="AA79" i="3"/>
  <c r="AB90" i="3"/>
  <c r="AB89" i="3"/>
  <c r="AB88" i="3"/>
  <c r="AB87" i="3"/>
  <c r="AB86" i="3"/>
  <c r="AB85" i="3"/>
  <c r="AB84" i="3"/>
  <c r="AB83" i="3"/>
  <c r="AB82" i="3"/>
  <c r="AB81" i="3"/>
  <c r="AB80" i="3"/>
  <c r="AB79" i="3"/>
  <c r="AD78" i="3"/>
  <c r="AC78" i="3"/>
  <c r="AE206" i="3"/>
  <c r="AE205" i="3"/>
  <c r="AE204" i="3"/>
  <c r="AE203" i="3"/>
  <c r="AE202" i="3"/>
  <c r="AE201" i="3"/>
  <c r="AE200" i="3"/>
  <c r="AE199" i="3"/>
  <c r="AE198" i="3"/>
  <c r="AE197" i="3"/>
  <c r="AE196" i="3"/>
  <c r="AE195" i="3"/>
  <c r="AE194" i="3"/>
  <c r="AE193" i="3"/>
  <c r="AE192" i="3"/>
  <c r="AE191" i="3"/>
  <c r="AE190" i="3"/>
  <c r="AE189" i="3"/>
  <c r="AE188" i="3"/>
  <c r="AE187" i="3"/>
  <c r="AE186" i="3"/>
  <c r="AE185" i="3"/>
  <c r="AE184" i="3"/>
  <c r="AE183" i="3"/>
  <c r="AE182" i="3"/>
  <c r="AE181" i="3"/>
  <c r="AE180" i="3"/>
  <c r="AE179" i="3"/>
  <c r="AE178" i="3"/>
  <c r="AE177" i="3"/>
  <c r="AE176" i="3"/>
  <c r="AE175" i="3"/>
  <c r="AE174" i="3"/>
  <c r="AE173" i="3"/>
  <c r="AE172" i="3"/>
  <c r="AE171" i="3"/>
  <c r="AE170" i="3"/>
  <c r="AE169" i="3"/>
  <c r="AE168" i="3"/>
  <c r="AE167" i="3"/>
  <c r="AE166" i="3"/>
  <c r="AE165" i="3"/>
  <c r="AE164" i="3"/>
  <c r="AE163" i="3"/>
  <c r="AE162" i="3"/>
  <c r="AE161" i="3"/>
  <c r="G161" i="3"/>
  <c r="G162" i="3"/>
  <c r="Y206" i="3"/>
  <c r="Y205" i="3"/>
  <c r="Y204" i="3"/>
  <c r="Y203" i="3"/>
  <c r="Y202" i="3"/>
  <c r="Y201" i="3"/>
  <c r="Y200" i="3"/>
  <c r="Y199" i="3"/>
  <c r="Y198" i="3"/>
  <c r="Y197" i="3"/>
  <c r="Y196" i="3"/>
  <c r="Y195" i="3"/>
  <c r="Y194" i="3"/>
  <c r="Y193" i="3"/>
  <c r="Y192" i="3"/>
  <c r="Y191" i="3"/>
  <c r="Y190" i="3"/>
  <c r="Y189" i="3"/>
  <c r="Y188" i="3"/>
  <c r="Y187" i="3"/>
  <c r="Y186" i="3"/>
  <c r="Y185" i="3"/>
  <c r="Y184" i="3"/>
  <c r="Y183" i="3"/>
  <c r="Y182" i="3"/>
  <c r="Y181" i="3"/>
  <c r="Y180" i="3"/>
  <c r="Y179" i="3"/>
  <c r="Y178" i="3"/>
  <c r="Y177" i="3"/>
  <c r="Y176" i="3"/>
  <c r="Y175" i="3"/>
  <c r="Y174" i="3"/>
  <c r="Y173" i="3"/>
  <c r="Y172" i="3"/>
  <c r="Y171" i="3"/>
  <c r="Y170" i="3"/>
  <c r="Y169" i="3"/>
  <c r="Y168" i="3"/>
  <c r="Y167" i="3"/>
  <c r="Y166" i="3"/>
  <c r="Y165" i="3"/>
  <c r="Y164" i="3"/>
  <c r="Y163" i="3"/>
  <c r="Y161" i="3"/>
  <c r="Y162" i="3"/>
  <c r="S206" i="3"/>
  <c r="S205" i="3"/>
  <c r="S204" i="3"/>
  <c r="S203" i="3"/>
  <c r="S202" i="3"/>
  <c r="S201" i="3"/>
  <c r="S200" i="3"/>
  <c r="S199" i="3"/>
  <c r="S198" i="3"/>
  <c r="S197" i="3"/>
  <c r="S196" i="3"/>
  <c r="S195" i="3"/>
  <c r="S194" i="3"/>
  <c r="S193" i="3"/>
  <c r="S192" i="3"/>
  <c r="S191" i="3"/>
  <c r="S190" i="3"/>
  <c r="S189" i="3"/>
  <c r="S188" i="3"/>
  <c r="S187" i="3"/>
  <c r="S186" i="3"/>
  <c r="S185" i="3"/>
  <c r="S184" i="3"/>
  <c r="S183" i="3"/>
  <c r="S182" i="3"/>
  <c r="S181" i="3"/>
  <c r="S180" i="3"/>
  <c r="S179" i="3"/>
  <c r="S178" i="3"/>
  <c r="S177" i="3"/>
  <c r="S176" i="3"/>
  <c r="S175" i="3"/>
  <c r="S174" i="3"/>
  <c r="S173" i="3"/>
  <c r="S172" i="3"/>
  <c r="S171" i="3"/>
  <c r="S170" i="3"/>
  <c r="S169" i="3"/>
  <c r="S168" i="3"/>
  <c r="S167" i="3"/>
  <c r="S166" i="3"/>
  <c r="S165" i="3"/>
  <c r="S164" i="3"/>
  <c r="S163" i="3"/>
  <c r="S162" i="3"/>
  <c r="S161" i="3"/>
  <c r="M206" i="3"/>
  <c r="M205" i="3"/>
  <c r="M204" i="3"/>
  <c r="M203" i="3"/>
  <c r="M202" i="3"/>
  <c r="M201" i="3"/>
  <c r="M200" i="3"/>
  <c r="M199" i="3"/>
  <c r="M198" i="3"/>
  <c r="M197" i="3"/>
  <c r="M196" i="3"/>
  <c r="M195" i="3"/>
  <c r="M194" i="3"/>
  <c r="M193" i="3"/>
  <c r="M192" i="3"/>
  <c r="M191" i="3"/>
  <c r="M190" i="3"/>
  <c r="M189" i="3"/>
  <c r="M188" i="3"/>
  <c r="M187" i="3"/>
  <c r="M186" i="3"/>
  <c r="M185" i="3"/>
  <c r="M184" i="3"/>
  <c r="M183" i="3"/>
  <c r="M182" i="3"/>
  <c r="M181" i="3"/>
  <c r="M180" i="3"/>
  <c r="M179" i="3"/>
  <c r="M178" i="3"/>
  <c r="M177" i="3"/>
  <c r="M176" i="3"/>
  <c r="M175" i="3"/>
  <c r="M174" i="3"/>
  <c r="M173" i="3"/>
  <c r="M172" i="3"/>
  <c r="M171" i="3"/>
  <c r="M170" i="3"/>
  <c r="M169" i="3"/>
  <c r="M168" i="3"/>
  <c r="M167" i="3"/>
  <c r="M166" i="3"/>
  <c r="M165" i="3"/>
  <c r="M164" i="3"/>
  <c r="M163" i="3"/>
  <c r="M162" i="3"/>
  <c r="M161" i="3"/>
  <c r="I206" i="3"/>
  <c r="I205" i="3"/>
  <c r="I204" i="3"/>
  <c r="I203" i="3"/>
  <c r="I202" i="3"/>
  <c r="I201" i="3"/>
  <c r="I200" i="3"/>
  <c r="I199" i="3"/>
  <c r="I198" i="3"/>
  <c r="I197" i="3"/>
  <c r="I196" i="3"/>
  <c r="I195" i="3"/>
  <c r="I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A77" i="3"/>
  <c r="A206" i="3"/>
  <c r="A76" i="3"/>
  <c r="A205" i="3"/>
  <c r="A75" i="3"/>
  <c r="A204" i="3"/>
  <c r="A74" i="3"/>
  <c r="A203" i="3"/>
  <c r="A73" i="3"/>
  <c r="A202" i="3"/>
  <c r="A72" i="3"/>
  <c r="A201" i="3"/>
  <c r="A71" i="3"/>
  <c r="A200" i="3"/>
  <c r="A70" i="3"/>
  <c r="A199" i="3"/>
  <c r="A69" i="3"/>
  <c r="A198" i="3"/>
  <c r="A68" i="3"/>
  <c r="A197" i="3"/>
  <c r="A67" i="3"/>
  <c r="A196" i="3"/>
  <c r="A66" i="3"/>
  <c r="A195" i="3"/>
  <c r="A65" i="3"/>
  <c r="A194" i="3"/>
  <c r="A64" i="3"/>
  <c r="A193" i="3"/>
  <c r="A63" i="3"/>
  <c r="A192" i="3"/>
  <c r="A62" i="3"/>
  <c r="A191" i="3"/>
  <c r="A61" i="3"/>
  <c r="A190" i="3"/>
  <c r="A60" i="3"/>
  <c r="A189" i="3"/>
  <c r="A59" i="3"/>
  <c r="A188" i="3"/>
  <c r="A58" i="3"/>
  <c r="A187" i="3"/>
  <c r="A57" i="3"/>
  <c r="A186" i="3"/>
  <c r="A56" i="3"/>
  <c r="A185" i="3"/>
  <c r="A55" i="3"/>
  <c r="A184" i="3"/>
  <c r="A54" i="3"/>
  <c r="A183" i="3"/>
  <c r="A53" i="3"/>
  <c r="A182" i="3"/>
  <c r="A52" i="3"/>
  <c r="A181" i="3"/>
  <c r="A51" i="3"/>
  <c r="A180" i="3"/>
  <c r="A50" i="3"/>
  <c r="A179" i="3"/>
  <c r="A49" i="3"/>
  <c r="A178" i="3"/>
  <c r="A48" i="3"/>
  <c r="A177" i="3"/>
  <c r="A47" i="3"/>
  <c r="A176" i="3"/>
  <c r="A46" i="3"/>
  <c r="A175" i="3"/>
  <c r="A45" i="3"/>
  <c r="A174" i="3"/>
  <c r="A44" i="3"/>
  <c r="A173" i="3"/>
  <c r="A43" i="3"/>
  <c r="A172" i="3"/>
  <c r="A42" i="3"/>
  <c r="A171" i="3"/>
  <c r="A41" i="3"/>
  <c r="A170" i="3"/>
  <c r="A40" i="3"/>
  <c r="A169" i="3"/>
  <c r="A39" i="3"/>
  <c r="A168" i="3"/>
  <c r="A38" i="3"/>
  <c r="A167" i="3"/>
  <c r="A37" i="3"/>
  <c r="A166" i="3"/>
  <c r="A36" i="3"/>
  <c r="A165" i="3"/>
  <c r="A35" i="3"/>
  <c r="A164" i="3"/>
  <c r="A34" i="3"/>
  <c r="A163" i="3"/>
  <c r="A33" i="3"/>
  <c r="A162" i="3"/>
  <c r="A32" i="3"/>
  <c r="A161" i="3"/>
  <c r="O77" i="3"/>
  <c r="O76" i="3"/>
  <c r="O75" i="3"/>
  <c r="O74" i="3"/>
  <c r="O73" i="3"/>
  <c r="O72" i="3"/>
  <c r="O71" i="3"/>
  <c r="O70" i="3"/>
  <c r="O69" i="3"/>
  <c r="O68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C65" i="3"/>
  <c r="C130" i="3"/>
  <c r="C68" i="3"/>
  <c r="C137" i="3"/>
  <c r="C48" i="3"/>
  <c r="C101" i="3"/>
  <c r="C73" i="3"/>
  <c r="C139" i="3"/>
  <c r="C62" i="3"/>
  <c r="C140" i="3"/>
  <c r="C59" i="3"/>
  <c r="C107" i="3"/>
  <c r="C57" i="3"/>
  <c r="C110" i="3"/>
  <c r="C64" i="3"/>
  <c r="C122" i="3"/>
  <c r="C120" i="3"/>
  <c r="C75" i="3"/>
  <c r="C118" i="3"/>
  <c r="C77" i="3"/>
  <c r="C142" i="3"/>
  <c r="C38" i="3"/>
  <c r="C111" i="3"/>
  <c r="C61" i="3"/>
  <c r="C113" i="3"/>
  <c r="C33" i="3"/>
  <c r="C134" i="3"/>
  <c r="C39" i="3"/>
  <c r="C72" i="3"/>
  <c r="C102" i="3"/>
  <c r="C76" i="3"/>
  <c r="C117" i="3"/>
  <c r="C53" i="3"/>
  <c r="C127" i="3"/>
  <c r="C52" i="3"/>
  <c r="C129" i="3"/>
  <c r="C36" i="3"/>
  <c r="C106" i="3"/>
  <c r="C54" i="3"/>
  <c r="C126" i="3"/>
  <c r="C34" i="3"/>
  <c r="C114" i="3"/>
  <c r="C63" i="3"/>
  <c r="C109" i="3"/>
  <c r="C37" i="3"/>
  <c r="C135" i="3"/>
  <c r="C40" i="3"/>
  <c r="C98" i="3"/>
  <c r="C45" i="3"/>
  <c r="C100" i="3"/>
  <c r="C35" i="3"/>
  <c r="C116" i="3"/>
  <c r="C58" i="3"/>
  <c r="C119" i="3"/>
  <c r="C49" i="3"/>
  <c r="C99" i="3"/>
  <c r="C71" i="3"/>
  <c r="C108" i="3"/>
  <c r="C66" i="3"/>
  <c r="C138" i="3"/>
  <c r="C51" i="3"/>
  <c r="C123" i="3"/>
  <c r="C50" i="3"/>
  <c r="C132" i="3"/>
  <c r="C55" i="3"/>
  <c r="C70" i="3"/>
  <c r="C141" i="3"/>
  <c r="C43" i="3"/>
  <c r="C128" i="3"/>
  <c r="A28" i="11"/>
  <c r="A30" i="11"/>
  <c r="A32" i="11"/>
  <c r="A34" i="11"/>
  <c r="A36" i="11"/>
  <c r="A38" i="11"/>
  <c r="I38" i="11"/>
  <c r="I39" i="11"/>
  <c r="J38" i="11"/>
  <c r="J39" i="11"/>
  <c r="K38" i="11"/>
  <c r="K39" i="11"/>
  <c r="L2" i="11"/>
  <c r="L38" i="11"/>
  <c r="L39" i="11"/>
  <c r="M2" i="11"/>
  <c r="M38" i="11"/>
  <c r="M39" i="11"/>
  <c r="H39" i="11"/>
  <c r="C243" i="7"/>
  <c r="C244" i="7"/>
  <c r="C247" i="7"/>
  <c r="C248" i="7"/>
  <c r="C249" i="7"/>
  <c r="C250" i="7"/>
  <c r="C253" i="7"/>
  <c r="C254" i="7"/>
  <c r="C255" i="7"/>
  <c r="C258" i="7"/>
  <c r="C261" i="7"/>
  <c r="C263" i="7"/>
  <c r="C266" i="7"/>
  <c r="C267" i="7"/>
  <c r="C270" i="7"/>
  <c r="C271" i="7"/>
  <c r="C272" i="7"/>
  <c r="C274" i="7"/>
  <c r="Q274" i="7"/>
  <c r="K36" i="11"/>
  <c r="K37" i="11"/>
  <c r="Q266" i="7"/>
  <c r="L274" i="7"/>
  <c r="M274" i="7"/>
  <c r="C273" i="7"/>
  <c r="Q273" i="7"/>
  <c r="L273" i="7"/>
  <c r="M273" i="7"/>
  <c r="Q272" i="7"/>
  <c r="L272" i="7"/>
  <c r="M272" i="7"/>
  <c r="Q271" i="7"/>
  <c r="L271" i="7"/>
  <c r="M271" i="7"/>
  <c r="Q270" i="7"/>
  <c r="L270" i="7"/>
  <c r="M270" i="7"/>
  <c r="A14" i="11"/>
  <c r="K14" i="11"/>
  <c r="K15" i="11"/>
  <c r="Q210" i="7"/>
  <c r="J14" i="11"/>
  <c r="J15" i="11"/>
  <c r="C211" i="7"/>
  <c r="Q211" i="7"/>
  <c r="I14" i="11"/>
  <c r="I15" i="11"/>
  <c r="Q212" i="7"/>
  <c r="Q213" i="7"/>
  <c r="L266" i="7"/>
  <c r="J36" i="11"/>
  <c r="J37" i="11"/>
  <c r="Q267" i="7"/>
  <c r="L267" i="7"/>
  <c r="I36" i="11"/>
  <c r="I37" i="11"/>
  <c r="C268" i="7"/>
  <c r="Q268" i="7"/>
  <c r="L268" i="7"/>
  <c r="L269" i="7"/>
  <c r="M268" i="7"/>
  <c r="M267" i="7"/>
  <c r="M266" i="7"/>
  <c r="K34" i="11"/>
  <c r="K35" i="11"/>
  <c r="Q261" i="7"/>
  <c r="L261" i="7"/>
  <c r="J34" i="11"/>
  <c r="J35" i="11"/>
  <c r="C262" i="7"/>
  <c r="Q262" i="7"/>
  <c r="L262" i="7"/>
  <c r="I34" i="11"/>
  <c r="I35" i="11"/>
  <c r="Q263" i="7"/>
  <c r="L263" i="7"/>
  <c r="L264" i="7"/>
  <c r="M263" i="7"/>
  <c r="M262" i="7"/>
  <c r="M261" i="7"/>
  <c r="K32" i="11"/>
  <c r="K33" i="11"/>
  <c r="Q253" i="7"/>
  <c r="J32" i="11"/>
  <c r="J33" i="11"/>
  <c r="Q254" i="7"/>
  <c r="N2" i="11"/>
  <c r="N32" i="11"/>
  <c r="N33" i="11"/>
  <c r="Q255" i="7"/>
  <c r="M32" i="11"/>
  <c r="M33" i="11"/>
  <c r="C256" i="7"/>
  <c r="Q256" i="7"/>
  <c r="L32" i="11"/>
  <c r="L33" i="11"/>
  <c r="C257" i="7"/>
  <c r="Q257" i="7"/>
  <c r="I32" i="11"/>
  <c r="I33" i="11"/>
  <c r="Q258" i="7"/>
  <c r="Q259" i="7"/>
  <c r="L253" i="7"/>
  <c r="L254" i="7"/>
  <c r="L255" i="7"/>
  <c r="L256" i="7"/>
  <c r="L257" i="7"/>
  <c r="L258" i="7"/>
  <c r="L259" i="7"/>
  <c r="M258" i="7"/>
  <c r="M257" i="7"/>
  <c r="M256" i="7"/>
  <c r="M255" i="7"/>
  <c r="M254" i="7"/>
  <c r="M253" i="7"/>
  <c r="L247" i="7"/>
  <c r="L248" i="7"/>
  <c r="L249" i="7"/>
  <c r="L250" i="7"/>
  <c r="L251" i="7"/>
  <c r="M250" i="7"/>
  <c r="M249" i="7"/>
  <c r="M248" i="7"/>
  <c r="M247" i="7"/>
  <c r="J28" i="11"/>
  <c r="J29" i="11"/>
  <c r="Q244" i="7"/>
  <c r="I28" i="11"/>
  <c r="I29" i="11"/>
  <c r="C245" i="7"/>
  <c r="Q245" i="7"/>
  <c r="Q246" i="7"/>
  <c r="L243" i="7"/>
  <c r="L244" i="7"/>
  <c r="L245" i="7"/>
  <c r="L246" i="7"/>
  <c r="M245" i="7"/>
  <c r="M244" i="7"/>
  <c r="M243" i="7"/>
  <c r="L238" i="7"/>
  <c r="L239" i="7"/>
  <c r="L240" i="7"/>
  <c r="L241" i="7"/>
  <c r="M240" i="7"/>
  <c r="M239" i="7"/>
  <c r="M238" i="7"/>
  <c r="J24" i="11"/>
  <c r="J25" i="11"/>
  <c r="Q234" i="7"/>
  <c r="L234" i="7"/>
  <c r="I24" i="11"/>
  <c r="I25" i="11"/>
  <c r="C236" i="7"/>
  <c r="Q236" i="7"/>
  <c r="Q235" i="7"/>
  <c r="L235" i="7"/>
  <c r="L236" i="7"/>
  <c r="L237" i="7"/>
  <c r="M236" i="7"/>
  <c r="M235" i="7"/>
  <c r="M234" i="7"/>
  <c r="L22" i="11"/>
  <c r="L23" i="11"/>
  <c r="Q229" i="7"/>
  <c r="K18" i="11"/>
  <c r="K19" i="11"/>
  <c r="Q220" i="7"/>
  <c r="J18" i="11"/>
  <c r="J19" i="11"/>
  <c r="C221" i="7"/>
  <c r="Q221" i="7"/>
  <c r="I18" i="11"/>
  <c r="I19" i="11"/>
  <c r="Q222" i="7"/>
  <c r="Q223" i="7"/>
  <c r="L229" i="7"/>
  <c r="L230" i="7"/>
  <c r="L231" i="7"/>
  <c r="I22" i="11"/>
  <c r="I23" i="11"/>
  <c r="C232" i="7"/>
  <c r="Q232" i="7"/>
  <c r="L232" i="7"/>
  <c r="L233" i="7"/>
  <c r="M232" i="7"/>
  <c r="M231" i="7"/>
  <c r="M230" i="7"/>
  <c r="M229" i="7"/>
  <c r="L20" i="11"/>
  <c r="L21" i="11"/>
  <c r="Q224" i="7"/>
  <c r="K20" i="11"/>
  <c r="K21" i="11"/>
  <c r="C225" i="7"/>
  <c r="Q225" i="7"/>
  <c r="I20" i="11"/>
  <c r="I21" i="11"/>
  <c r="Q226" i="7"/>
  <c r="Q227" i="7"/>
  <c r="L224" i="7"/>
  <c r="L225" i="7"/>
  <c r="L226" i="7"/>
  <c r="L227" i="7"/>
  <c r="M226" i="7"/>
  <c r="M225" i="7"/>
  <c r="M224" i="7"/>
  <c r="L220" i="7"/>
  <c r="L221" i="7"/>
  <c r="L222" i="7"/>
  <c r="L223" i="7"/>
  <c r="M222" i="7"/>
  <c r="M221" i="7"/>
  <c r="M220" i="7"/>
  <c r="A16" i="11"/>
  <c r="K16" i="11"/>
  <c r="K17" i="11"/>
  <c r="Q215" i="7"/>
  <c r="J16" i="11"/>
  <c r="J17" i="11"/>
  <c r="C216" i="7"/>
  <c r="Q216" i="7"/>
  <c r="I16" i="11"/>
  <c r="I17" i="11"/>
  <c r="Q217" i="7"/>
  <c r="Q218" i="7"/>
  <c r="L215" i="7"/>
  <c r="L216" i="7"/>
  <c r="L217" i="7"/>
  <c r="L218" i="7"/>
  <c r="M217" i="7"/>
  <c r="M216" i="7"/>
  <c r="M215" i="7"/>
  <c r="L210" i="7"/>
  <c r="L211" i="7"/>
  <c r="L212" i="7"/>
  <c r="L213" i="7"/>
  <c r="M212" i="7"/>
  <c r="M211" i="7"/>
  <c r="M210" i="7"/>
  <c r="A12" i="11"/>
  <c r="K12" i="11"/>
  <c r="K13" i="11"/>
  <c r="Q205" i="7"/>
  <c r="J12" i="11"/>
  <c r="J13" i="11"/>
  <c r="C206" i="7"/>
  <c r="Q206" i="7"/>
  <c r="I12" i="11"/>
  <c r="I13" i="11"/>
  <c r="Q207" i="7"/>
  <c r="Q208" i="7"/>
  <c r="L205" i="7"/>
  <c r="L206" i="7"/>
  <c r="L207" i="7"/>
  <c r="L208" i="7"/>
  <c r="M207" i="7"/>
  <c r="M206" i="7"/>
  <c r="M205" i="7"/>
  <c r="K10" i="11"/>
  <c r="K11" i="11"/>
  <c r="Q200" i="7"/>
  <c r="J10" i="11"/>
  <c r="J11" i="11"/>
  <c r="C201" i="7"/>
  <c r="Q201" i="7"/>
  <c r="I10" i="11"/>
  <c r="I11" i="11"/>
  <c r="Q202" i="7"/>
  <c r="Q203" i="7"/>
  <c r="L200" i="7"/>
  <c r="L201" i="7"/>
  <c r="L202" i="7"/>
  <c r="L203" i="7"/>
  <c r="M202" i="7"/>
  <c r="M201" i="7"/>
  <c r="M200" i="7"/>
  <c r="L8" i="11"/>
  <c r="L9" i="11"/>
  <c r="Q194" i="7"/>
  <c r="K8" i="11"/>
  <c r="K9" i="11"/>
  <c r="Q195" i="7"/>
  <c r="J8" i="11"/>
  <c r="J9" i="11"/>
  <c r="C196" i="7"/>
  <c r="Q196" i="7"/>
  <c r="I8" i="11"/>
  <c r="I9" i="11"/>
  <c r="Q197" i="7"/>
  <c r="Q198" i="7"/>
  <c r="L194" i="7"/>
  <c r="L195" i="7"/>
  <c r="L196" i="7"/>
  <c r="L197" i="7"/>
  <c r="L198" i="7"/>
  <c r="M197" i="7"/>
  <c r="M196" i="7"/>
  <c r="M195" i="7"/>
  <c r="M194" i="7"/>
  <c r="K6" i="11"/>
  <c r="K7" i="11"/>
  <c r="Q189" i="7"/>
  <c r="J6" i="11"/>
  <c r="J7" i="11"/>
  <c r="C190" i="7"/>
  <c r="Q190" i="7"/>
  <c r="I6" i="11"/>
  <c r="I7" i="11"/>
  <c r="Q191" i="7"/>
  <c r="Q192" i="7"/>
  <c r="L189" i="7"/>
  <c r="L190" i="7"/>
  <c r="L191" i="7"/>
  <c r="L192" i="7"/>
  <c r="M191" i="7"/>
  <c r="M190" i="7"/>
  <c r="M189" i="7"/>
  <c r="K4" i="11"/>
  <c r="K5" i="11"/>
  <c r="Q184" i="7"/>
  <c r="J4" i="11"/>
  <c r="J5" i="11"/>
  <c r="C185" i="7"/>
  <c r="Q185" i="7"/>
  <c r="I4" i="11"/>
  <c r="I5" i="11"/>
  <c r="Q186" i="7"/>
  <c r="Q187" i="7"/>
  <c r="L184" i="7"/>
  <c r="L185" i="7"/>
  <c r="L186" i="7"/>
  <c r="L187" i="7"/>
  <c r="M186" i="7"/>
  <c r="M185" i="7"/>
  <c r="M184" i="7"/>
  <c r="E2" i="10"/>
  <c r="H2" i="10"/>
  <c r="J2" i="10"/>
  <c r="K2" i="10"/>
  <c r="BP10" i="4"/>
  <c r="A4" i="10"/>
  <c r="A6" i="10"/>
  <c r="A8" i="10"/>
  <c r="A10" i="10"/>
  <c r="A18" i="10"/>
  <c r="A20" i="10"/>
  <c r="A22" i="10"/>
  <c r="A25" i="10"/>
  <c r="W25" i="10"/>
  <c r="W26" i="10"/>
  <c r="C130" i="7"/>
  <c r="C131" i="7"/>
  <c r="C134" i="7"/>
  <c r="C135" i="7"/>
  <c r="C136" i="7"/>
  <c r="C137" i="7"/>
  <c r="C140" i="7"/>
  <c r="C141" i="7"/>
  <c r="C142" i="7"/>
  <c r="C143" i="7"/>
  <c r="C146" i="7"/>
  <c r="C147" i="7"/>
  <c r="C148" i="7"/>
  <c r="C151" i="7"/>
  <c r="C152" i="7"/>
  <c r="C156" i="7"/>
  <c r="C157" i="7"/>
  <c r="C161" i="7"/>
  <c r="C162" i="7"/>
  <c r="C163" i="7"/>
  <c r="C166" i="7"/>
  <c r="C167" i="7"/>
  <c r="C171" i="7"/>
  <c r="C173" i="7"/>
  <c r="C175" i="7"/>
  <c r="C176" i="7"/>
  <c r="C177" i="7"/>
  <c r="C178" i="7"/>
  <c r="C179" i="7"/>
  <c r="C180" i="7"/>
  <c r="Q180" i="7"/>
  <c r="J20" i="10"/>
  <c r="J21" i="10"/>
  <c r="C172" i="7"/>
  <c r="Q172" i="7"/>
  <c r="L180" i="7"/>
  <c r="M180" i="7"/>
  <c r="S25" i="10"/>
  <c r="S26" i="10"/>
  <c r="Q179" i="7"/>
  <c r="L179" i="7"/>
  <c r="M179" i="7"/>
  <c r="O25" i="10"/>
  <c r="O26" i="10"/>
  <c r="Q178" i="7"/>
  <c r="L178" i="7"/>
  <c r="M178" i="7"/>
  <c r="K25" i="10"/>
  <c r="K26" i="10"/>
  <c r="Q177" i="7"/>
  <c r="L177" i="7"/>
  <c r="M177" i="7"/>
  <c r="K22" i="10"/>
  <c r="K23" i="10"/>
  <c r="Q176" i="7"/>
  <c r="K8" i="10"/>
  <c r="K9" i="10"/>
  <c r="Q140" i="7"/>
  <c r="L2" i="10"/>
  <c r="L8" i="10"/>
  <c r="L9" i="10"/>
  <c r="Q141" i="7"/>
  <c r="J8" i="10"/>
  <c r="J9" i="10"/>
  <c r="Q142" i="7"/>
  <c r="I8" i="10"/>
  <c r="I9" i="10"/>
  <c r="Q143" i="7"/>
  <c r="Q144" i="7"/>
  <c r="L176" i="7"/>
  <c r="M176" i="7"/>
  <c r="Q175" i="7"/>
  <c r="L175" i="7"/>
  <c r="M175" i="7"/>
  <c r="K20" i="10"/>
  <c r="K21" i="10"/>
  <c r="Q171" i="7"/>
  <c r="I20" i="10"/>
  <c r="I21" i="10"/>
  <c r="Q173" i="7"/>
  <c r="Q174" i="7"/>
  <c r="L171" i="7"/>
  <c r="L172" i="7"/>
  <c r="L173" i="7"/>
  <c r="L174" i="7"/>
  <c r="M173" i="7"/>
  <c r="M172" i="7"/>
  <c r="M171" i="7"/>
  <c r="K18" i="10"/>
  <c r="K19" i="10"/>
  <c r="Q166" i="7"/>
  <c r="J18" i="10"/>
  <c r="J19" i="10"/>
  <c r="Q167" i="7"/>
  <c r="I18" i="10"/>
  <c r="I19" i="10"/>
  <c r="C168" i="7"/>
  <c r="Q168" i="7"/>
  <c r="Q169" i="7"/>
  <c r="L166" i="7"/>
  <c r="L167" i="7"/>
  <c r="L168" i="7"/>
  <c r="L169" i="7"/>
  <c r="M168" i="7"/>
  <c r="M167" i="7"/>
  <c r="M166" i="7"/>
  <c r="A16" i="10"/>
  <c r="K16" i="10"/>
  <c r="K17" i="10"/>
  <c r="Q161" i="7"/>
  <c r="J16" i="10"/>
  <c r="J17" i="10"/>
  <c r="Q162" i="7"/>
  <c r="I16" i="10"/>
  <c r="I17" i="10"/>
  <c r="Q163" i="7"/>
  <c r="Q164" i="7"/>
  <c r="L161" i="7"/>
  <c r="L162" i="7"/>
  <c r="L163" i="7"/>
  <c r="L164" i="7"/>
  <c r="M163" i="7"/>
  <c r="M162" i="7"/>
  <c r="M161" i="7"/>
  <c r="A12" i="10"/>
  <c r="A14" i="10"/>
  <c r="K14" i="10"/>
  <c r="K15" i="10"/>
  <c r="Q156" i="7"/>
  <c r="J14" i="10"/>
  <c r="J15" i="10"/>
  <c r="Q157" i="7"/>
  <c r="I14" i="10"/>
  <c r="I15" i="10"/>
  <c r="C158" i="7"/>
  <c r="Q158" i="7"/>
  <c r="Q159" i="7"/>
  <c r="L156" i="7"/>
  <c r="L157" i="7"/>
  <c r="L158" i="7"/>
  <c r="L159" i="7"/>
  <c r="M158" i="7"/>
  <c r="M157" i="7"/>
  <c r="M156" i="7"/>
  <c r="K12" i="10"/>
  <c r="K13" i="10"/>
  <c r="Q151" i="7"/>
  <c r="J12" i="10"/>
  <c r="J13" i="10"/>
  <c r="Q152" i="7"/>
  <c r="I12" i="10"/>
  <c r="I13" i="10"/>
  <c r="C153" i="7"/>
  <c r="Q153" i="7"/>
  <c r="Q154" i="7"/>
  <c r="L151" i="7"/>
  <c r="L152" i="7"/>
  <c r="L153" i="7"/>
  <c r="L154" i="7"/>
  <c r="M153" i="7"/>
  <c r="M152" i="7"/>
  <c r="M151" i="7"/>
  <c r="K10" i="10"/>
  <c r="K11" i="10"/>
  <c r="Q146" i="7"/>
  <c r="J10" i="10"/>
  <c r="J11" i="10"/>
  <c r="Q147" i="7"/>
  <c r="I10" i="10"/>
  <c r="I11" i="10"/>
  <c r="Q148" i="7"/>
  <c r="Q149" i="7"/>
  <c r="L146" i="7"/>
  <c r="L147" i="7"/>
  <c r="L148" i="7"/>
  <c r="L149" i="7"/>
  <c r="M148" i="7"/>
  <c r="M147" i="7"/>
  <c r="M146" i="7"/>
  <c r="L140" i="7"/>
  <c r="L141" i="7"/>
  <c r="L142" i="7"/>
  <c r="L143" i="7"/>
  <c r="L144" i="7"/>
  <c r="M143" i="7"/>
  <c r="M142" i="7"/>
  <c r="M141" i="7"/>
  <c r="M140" i="7"/>
  <c r="K6" i="10"/>
  <c r="K7" i="10"/>
  <c r="Q134" i="7"/>
  <c r="L6" i="10"/>
  <c r="L7" i="10"/>
  <c r="Q135" i="7"/>
  <c r="J6" i="10"/>
  <c r="J7" i="10"/>
  <c r="Q136" i="7"/>
  <c r="I6" i="10"/>
  <c r="I7" i="10"/>
  <c r="Q137" i="7"/>
  <c r="Q138" i="7"/>
  <c r="L134" i="7"/>
  <c r="L135" i="7"/>
  <c r="L136" i="7"/>
  <c r="L137" i="7"/>
  <c r="L138" i="7"/>
  <c r="M137" i="7"/>
  <c r="M136" i="7"/>
  <c r="M135" i="7"/>
  <c r="M134" i="7"/>
  <c r="K4" i="10"/>
  <c r="K5" i="10"/>
  <c r="Q129" i="7"/>
  <c r="J4" i="10"/>
  <c r="J5" i="10"/>
  <c r="Q130" i="7"/>
  <c r="I4" i="10"/>
  <c r="I5" i="10"/>
  <c r="Q131" i="7"/>
  <c r="Q132" i="7"/>
  <c r="L129" i="7"/>
  <c r="L130" i="7"/>
  <c r="L131" i="7"/>
  <c r="L132" i="7"/>
  <c r="M131" i="7"/>
  <c r="M130" i="7"/>
  <c r="M129" i="7"/>
  <c r="E2" i="9"/>
  <c r="H2" i="9"/>
  <c r="J2" i="9"/>
  <c r="K2" i="9"/>
  <c r="AM10" i="4"/>
  <c r="A4" i="9"/>
  <c r="A6" i="9"/>
  <c r="A8" i="9"/>
  <c r="A12" i="9"/>
  <c r="A14" i="9"/>
  <c r="A16" i="9"/>
  <c r="A18" i="9"/>
  <c r="A20" i="9"/>
  <c r="A22" i="9"/>
  <c r="A24" i="9"/>
  <c r="A26" i="9"/>
  <c r="K26" i="9"/>
  <c r="K27" i="9"/>
  <c r="C70" i="7"/>
  <c r="C71" i="7"/>
  <c r="C74" i="7"/>
  <c r="C75" i="7"/>
  <c r="C76" i="7"/>
  <c r="C79" i="7"/>
  <c r="C80" i="7"/>
  <c r="C81" i="7"/>
  <c r="C84" i="7"/>
  <c r="C85" i="7"/>
  <c r="C86" i="7"/>
  <c r="C88" i="7"/>
  <c r="C89" i="7"/>
  <c r="C90" i="7"/>
  <c r="C92" i="7"/>
  <c r="C93" i="7"/>
  <c r="C94" i="7"/>
  <c r="C95" i="7"/>
  <c r="C98" i="7"/>
  <c r="C99" i="7"/>
  <c r="C100" i="7"/>
  <c r="C102" i="7"/>
  <c r="C103" i="7"/>
  <c r="C104" i="7"/>
  <c r="C107" i="7"/>
  <c r="C108" i="7"/>
  <c r="C111" i="7"/>
  <c r="C112" i="7"/>
  <c r="C113" i="7"/>
  <c r="C116" i="7"/>
  <c r="C117" i="7"/>
  <c r="C118" i="7"/>
  <c r="C121" i="7"/>
  <c r="Q121" i="7"/>
  <c r="L2" i="9"/>
  <c r="L26" i="9"/>
  <c r="L27" i="9"/>
  <c r="C122" i="7"/>
  <c r="Q122" i="7"/>
  <c r="J26" i="9"/>
  <c r="J27" i="9"/>
  <c r="C123" i="7"/>
  <c r="Q123" i="7"/>
  <c r="I26" i="9"/>
  <c r="I27" i="9"/>
  <c r="C124" i="7"/>
  <c r="Q124" i="7"/>
  <c r="Q125" i="7"/>
  <c r="L121" i="7"/>
  <c r="L122" i="7"/>
  <c r="L123" i="7"/>
  <c r="L124" i="7"/>
  <c r="L125" i="7"/>
  <c r="M124" i="7"/>
  <c r="M123" i="7"/>
  <c r="M122" i="7"/>
  <c r="M121" i="7"/>
  <c r="K24" i="9"/>
  <c r="K25" i="9"/>
  <c r="Q116" i="7"/>
  <c r="J24" i="9"/>
  <c r="J25" i="9"/>
  <c r="Q117" i="7"/>
  <c r="I24" i="9"/>
  <c r="I25" i="9"/>
  <c r="Q118" i="7"/>
  <c r="Q119" i="7"/>
  <c r="L116" i="7"/>
  <c r="L117" i="7"/>
  <c r="L118" i="7"/>
  <c r="L119" i="7"/>
  <c r="M118" i="7"/>
  <c r="M117" i="7"/>
  <c r="M116" i="7"/>
  <c r="K22" i="9"/>
  <c r="K23" i="9"/>
  <c r="Q111" i="7"/>
  <c r="K20" i="9"/>
  <c r="K21" i="9"/>
  <c r="Q107" i="7"/>
  <c r="L111" i="7"/>
  <c r="J22" i="9"/>
  <c r="J23" i="9"/>
  <c r="Q112" i="7"/>
  <c r="L112" i="7"/>
  <c r="Q113" i="7"/>
  <c r="L113" i="7"/>
  <c r="L114" i="7"/>
  <c r="M113" i="7"/>
  <c r="M112" i="7"/>
  <c r="M111" i="7"/>
  <c r="K6" i="9"/>
  <c r="K7" i="9"/>
  <c r="Q74" i="7"/>
  <c r="J6" i="9"/>
  <c r="J7" i="9"/>
  <c r="Q75" i="7"/>
  <c r="I6" i="9"/>
  <c r="I7" i="9"/>
  <c r="Q76" i="7"/>
  <c r="Q77" i="7"/>
  <c r="L107" i="7"/>
  <c r="J20" i="9"/>
  <c r="J21" i="9"/>
  <c r="Q108" i="7"/>
  <c r="L108" i="7"/>
  <c r="I20" i="9"/>
  <c r="I21" i="9"/>
  <c r="C109" i="7"/>
  <c r="Q109" i="7"/>
  <c r="L109" i="7"/>
  <c r="L110" i="7"/>
  <c r="M110" i="7"/>
  <c r="M109" i="7"/>
  <c r="M108" i="7"/>
  <c r="M107" i="7"/>
  <c r="K18" i="9"/>
  <c r="K19" i="9"/>
  <c r="Q102" i="7"/>
  <c r="K16" i="9"/>
  <c r="K17" i="9"/>
  <c r="Q98" i="7"/>
  <c r="L102" i="7"/>
  <c r="J18" i="9"/>
  <c r="J19" i="9"/>
  <c r="Q103" i="7"/>
  <c r="L103" i="7"/>
  <c r="Q104" i="7"/>
  <c r="L104" i="7"/>
  <c r="L105" i="7"/>
  <c r="M104" i="7"/>
  <c r="M103" i="7"/>
  <c r="M102" i="7"/>
  <c r="J16" i="9"/>
  <c r="J17" i="9"/>
  <c r="Q99" i="7"/>
  <c r="I16" i="9"/>
  <c r="I17" i="9"/>
  <c r="Q100" i="7"/>
  <c r="Q101" i="7"/>
  <c r="L98" i="7"/>
  <c r="L99" i="7"/>
  <c r="L100" i="7"/>
  <c r="L101" i="7"/>
  <c r="M101" i="7"/>
  <c r="M100" i="7"/>
  <c r="M99" i="7"/>
  <c r="M98" i="7"/>
  <c r="K14" i="9"/>
  <c r="K15" i="9"/>
  <c r="Q92" i="7"/>
  <c r="K12" i="9"/>
  <c r="K13" i="9"/>
  <c r="Q88" i="7"/>
  <c r="L92" i="7"/>
  <c r="L14" i="9"/>
  <c r="L15" i="9"/>
  <c r="Q93" i="7"/>
  <c r="L93" i="7"/>
  <c r="Q95" i="7"/>
  <c r="Q94" i="7"/>
  <c r="L94" i="7"/>
  <c r="L95" i="7"/>
  <c r="L96" i="7"/>
  <c r="M95" i="7"/>
  <c r="M94" i="7"/>
  <c r="M93" i="7"/>
  <c r="M92" i="7"/>
  <c r="L88" i="7"/>
  <c r="J12" i="9"/>
  <c r="J13" i="9"/>
  <c r="Q89" i="7"/>
  <c r="L89" i="7"/>
  <c r="I12" i="9"/>
  <c r="I13" i="9"/>
  <c r="Q90" i="7"/>
  <c r="L90" i="7"/>
  <c r="L91" i="7"/>
  <c r="M90" i="7"/>
  <c r="M89" i="7"/>
  <c r="M88" i="7"/>
  <c r="A10" i="9"/>
  <c r="Q10" i="9"/>
  <c r="Q11" i="9"/>
  <c r="Q86" i="7"/>
  <c r="K8" i="9"/>
  <c r="K9" i="9"/>
  <c r="Q79" i="7"/>
  <c r="J8" i="9"/>
  <c r="J9" i="9"/>
  <c r="Q80" i="7"/>
  <c r="I8" i="9"/>
  <c r="I9" i="9"/>
  <c r="Q81" i="7"/>
  <c r="Q82" i="7"/>
  <c r="L86" i="7"/>
  <c r="M86" i="7"/>
  <c r="N10" i="9"/>
  <c r="N11" i="9"/>
  <c r="Q85" i="7"/>
  <c r="L85" i="7"/>
  <c r="M85" i="7"/>
  <c r="K10" i="9"/>
  <c r="K11" i="9"/>
  <c r="Q84" i="7"/>
  <c r="L84" i="7"/>
  <c r="M84" i="7"/>
  <c r="L79" i="7"/>
  <c r="L80" i="7"/>
  <c r="L81" i="7"/>
  <c r="L82" i="7"/>
  <c r="M81" i="7"/>
  <c r="M80" i="7"/>
  <c r="M79" i="7"/>
  <c r="L74" i="7"/>
  <c r="L75" i="7"/>
  <c r="L76" i="7"/>
  <c r="L77" i="7"/>
  <c r="M76" i="7"/>
  <c r="M75" i="7"/>
  <c r="M74" i="7"/>
  <c r="K4" i="9"/>
  <c r="K5" i="9"/>
  <c r="Q69" i="7"/>
  <c r="J4" i="9"/>
  <c r="J5" i="9"/>
  <c r="Q70" i="7"/>
  <c r="I4" i="9"/>
  <c r="I5" i="9"/>
  <c r="Q71" i="7"/>
  <c r="Q72" i="7"/>
  <c r="L69" i="7"/>
  <c r="L70" i="7"/>
  <c r="L71" i="7"/>
  <c r="L72" i="7"/>
  <c r="M71" i="7"/>
  <c r="M70" i="7"/>
  <c r="M69" i="7"/>
  <c r="E2" i="8"/>
  <c r="H2" i="8"/>
  <c r="J2" i="8"/>
  <c r="K2" i="8"/>
  <c r="D10" i="4"/>
  <c r="A4" i="8"/>
  <c r="A6" i="8"/>
  <c r="A8" i="8"/>
  <c r="A11" i="8"/>
  <c r="A13" i="8"/>
  <c r="A15" i="8"/>
  <c r="A17" i="8"/>
  <c r="A19" i="8"/>
  <c r="A21" i="8"/>
  <c r="A23" i="8"/>
  <c r="A25" i="8"/>
  <c r="A27" i="8"/>
  <c r="A29" i="8"/>
  <c r="A31" i="8"/>
  <c r="K31" i="8"/>
  <c r="K32" i="8"/>
  <c r="C24" i="7"/>
  <c r="C30" i="7"/>
  <c r="C31" i="7"/>
  <c r="C32" i="7"/>
  <c r="C34" i="7"/>
  <c r="C42" i="7"/>
  <c r="C47" i="7"/>
  <c r="C53" i="7"/>
  <c r="C57" i="7"/>
  <c r="C62" i="7"/>
  <c r="Q62" i="7"/>
  <c r="J31" i="8"/>
  <c r="J32" i="8"/>
  <c r="Q63" i="7"/>
  <c r="I31" i="8"/>
  <c r="I32" i="8"/>
  <c r="Q64" i="7"/>
  <c r="Q65" i="7"/>
  <c r="L62" i="7"/>
  <c r="L63" i="7"/>
  <c r="L64" i="7"/>
  <c r="L65" i="7"/>
  <c r="M64" i="7"/>
  <c r="M63" i="7"/>
  <c r="M62" i="7"/>
  <c r="K29" i="8"/>
  <c r="K30" i="8"/>
  <c r="Q57" i="7"/>
  <c r="K27" i="8"/>
  <c r="K28" i="8"/>
  <c r="Q53" i="7"/>
  <c r="L57" i="7"/>
  <c r="J29" i="8"/>
  <c r="J30" i="8"/>
  <c r="Q58" i="7"/>
  <c r="L58" i="7"/>
  <c r="Q59" i="7"/>
  <c r="L59" i="7"/>
  <c r="L60" i="7"/>
  <c r="M59" i="7"/>
  <c r="M58" i="7"/>
  <c r="M57" i="7"/>
  <c r="J27" i="8"/>
  <c r="J28" i="8"/>
  <c r="Q54" i="7"/>
  <c r="I27" i="8"/>
  <c r="I28" i="8"/>
  <c r="Q55" i="7"/>
  <c r="Q56" i="7"/>
  <c r="L53" i="7"/>
  <c r="L54" i="7"/>
  <c r="L55" i="7"/>
  <c r="L56" i="7"/>
  <c r="M55" i="7"/>
  <c r="M54" i="7"/>
  <c r="M53" i="7"/>
  <c r="I25" i="8"/>
  <c r="I26" i="8"/>
  <c r="Q47" i="7"/>
  <c r="J25" i="8"/>
  <c r="J26" i="8"/>
  <c r="Q48" i="7"/>
  <c r="L2" i="8"/>
  <c r="L25" i="8"/>
  <c r="L26" i="8"/>
  <c r="Q49" i="7"/>
  <c r="K25" i="8"/>
  <c r="K26" i="8"/>
  <c r="Q50" i="7"/>
  <c r="Q51" i="7"/>
  <c r="L47" i="7"/>
  <c r="L48" i="7"/>
  <c r="L49" i="7"/>
  <c r="L50" i="7"/>
  <c r="L51" i="7"/>
  <c r="M50" i="7"/>
  <c r="M49" i="7"/>
  <c r="M48" i="7"/>
  <c r="M47" i="7"/>
  <c r="K23" i="8"/>
  <c r="K24" i="8"/>
  <c r="Q42" i="7"/>
  <c r="J21" i="8"/>
  <c r="J22" i="8"/>
  <c r="Q34" i="7"/>
  <c r="M2" i="8"/>
  <c r="N2" i="8"/>
  <c r="N21" i="8"/>
  <c r="N22" i="8"/>
  <c r="Q35" i="7"/>
  <c r="L21" i="8"/>
  <c r="L22" i="8"/>
  <c r="Q36" i="7"/>
  <c r="M21" i="8"/>
  <c r="M22" i="8"/>
  <c r="Q37" i="7"/>
  <c r="K21" i="8"/>
  <c r="K22" i="8"/>
  <c r="Q38" i="7"/>
  <c r="I21" i="8"/>
  <c r="I22" i="8"/>
  <c r="Q39" i="7"/>
  <c r="Q40" i="7"/>
  <c r="L42" i="7"/>
  <c r="J23" i="8"/>
  <c r="J24" i="8"/>
  <c r="Q43" i="7"/>
  <c r="L43" i="7"/>
  <c r="I23" i="8"/>
  <c r="I24" i="8"/>
  <c r="Q44" i="7"/>
  <c r="L44" i="7"/>
  <c r="L45" i="7"/>
  <c r="M44" i="7"/>
  <c r="M43" i="7"/>
  <c r="M42" i="7"/>
  <c r="L34" i="7"/>
  <c r="L35" i="7"/>
  <c r="L36" i="7"/>
  <c r="L37" i="7"/>
  <c r="L38" i="7"/>
  <c r="L39" i="7"/>
  <c r="L40" i="7"/>
  <c r="M39" i="7"/>
  <c r="M38" i="7"/>
  <c r="M37" i="7"/>
  <c r="M36" i="7"/>
  <c r="M35" i="7"/>
  <c r="M34" i="7"/>
  <c r="K19" i="8"/>
  <c r="K20" i="8"/>
  <c r="Q32" i="7"/>
  <c r="M13" i="8"/>
  <c r="M14" i="8"/>
  <c r="Q24" i="7"/>
  <c r="L32" i="7"/>
  <c r="M32" i="7"/>
  <c r="K17" i="8"/>
  <c r="K18" i="8"/>
  <c r="Q31" i="7"/>
  <c r="L31" i="7"/>
  <c r="M31" i="7"/>
  <c r="K15" i="8"/>
  <c r="K16" i="8"/>
  <c r="Q30" i="7"/>
  <c r="L30" i="7"/>
  <c r="M30" i="7"/>
  <c r="L13" i="8"/>
  <c r="L14" i="8"/>
  <c r="Q25" i="7"/>
  <c r="K13" i="8"/>
  <c r="K14" i="8"/>
  <c r="Q26" i="7"/>
  <c r="J13" i="8"/>
  <c r="J14" i="8"/>
  <c r="Q27" i="7"/>
  <c r="I13" i="8"/>
  <c r="I14" i="8"/>
  <c r="Q28" i="7"/>
  <c r="Q29" i="7"/>
  <c r="L24" i="7"/>
  <c r="L25" i="7"/>
  <c r="L26" i="7"/>
  <c r="L27" i="7"/>
  <c r="L28" i="7"/>
  <c r="L29" i="7"/>
  <c r="M28" i="7"/>
  <c r="M27" i="7"/>
  <c r="M26" i="7"/>
  <c r="M25" i="7"/>
  <c r="M24" i="7"/>
  <c r="W11" i="8"/>
  <c r="W12" i="8"/>
  <c r="Q22" i="7"/>
  <c r="K8" i="8"/>
  <c r="K9" i="8"/>
  <c r="C10" i="7"/>
  <c r="C15" i="7"/>
  <c r="Q15" i="7"/>
  <c r="L22" i="7"/>
  <c r="M22" i="7"/>
  <c r="S11" i="8"/>
  <c r="S12" i="8"/>
  <c r="Q21" i="7"/>
  <c r="L21" i="7"/>
  <c r="M21" i="7"/>
  <c r="O11" i="8"/>
  <c r="O12" i="8"/>
  <c r="Q20" i="7"/>
  <c r="L20" i="7"/>
  <c r="M20" i="7"/>
  <c r="K11" i="8"/>
  <c r="K12" i="8"/>
  <c r="Q19" i="7"/>
  <c r="L19" i="7"/>
  <c r="M19" i="7"/>
  <c r="J8" i="8"/>
  <c r="J9" i="8"/>
  <c r="Q16" i="7"/>
  <c r="I8" i="8"/>
  <c r="I9" i="8"/>
  <c r="Q17" i="7"/>
  <c r="Q18" i="7"/>
  <c r="L15" i="7"/>
  <c r="L16" i="7"/>
  <c r="L17" i="7"/>
  <c r="L18" i="7"/>
  <c r="M17" i="7"/>
  <c r="M16" i="7"/>
  <c r="M15" i="7"/>
  <c r="K6" i="8"/>
  <c r="K7" i="8"/>
  <c r="Q10" i="7"/>
  <c r="J6" i="8"/>
  <c r="J7" i="8"/>
  <c r="Q11" i="7"/>
  <c r="I6" i="8"/>
  <c r="I7" i="8"/>
  <c r="Q12" i="7"/>
  <c r="Q13" i="7"/>
  <c r="L10" i="7"/>
  <c r="L11" i="7"/>
  <c r="L12" i="7"/>
  <c r="L13" i="7"/>
  <c r="M12" i="7"/>
  <c r="M11" i="7"/>
  <c r="M10" i="7"/>
  <c r="K4" i="8"/>
  <c r="K5" i="8"/>
  <c r="Q3" i="7"/>
  <c r="M4" i="8"/>
  <c r="M5" i="8"/>
  <c r="Q4" i="7"/>
  <c r="J4" i="8"/>
  <c r="J5" i="8"/>
  <c r="Q5" i="7"/>
  <c r="L4" i="8"/>
  <c r="L5" i="8"/>
  <c r="Q6" i="7"/>
  <c r="I4" i="8"/>
  <c r="I5" i="8"/>
  <c r="Q7" i="7"/>
  <c r="Q8" i="7"/>
  <c r="L3" i="7"/>
  <c r="L4" i="7"/>
  <c r="L5" i="7"/>
  <c r="L6" i="7"/>
  <c r="L7" i="7"/>
  <c r="L8" i="7"/>
  <c r="M7" i="7"/>
  <c r="M6" i="7"/>
  <c r="M5" i="7"/>
  <c r="M4" i="7"/>
  <c r="M3" i="7"/>
  <c r="C68" i="4"/>
  <c r="CU14" i="4"/>
  <c r="F13" i="4"/>
  <c r="H13" i="4"/>
  <c r="F15" i="4"/>
  <c r="CU13" i="4"/>
  <c r="CW13" i="4"/>
  <c r="CS15" i="4"/>
  <c r="BR13" i="4"/>
  <c r="BT13" i="4"/>
  <c r="BP15" i="4"/>
  <c r="AO13" i="4"/>
  <c r="AM15" i="4"/>
  <c r="D15" i="4"/>
  <c r="BR14" i="4"/>
  <c r="AO14" i="4"/>
  <c r="F14" i="4"/>
  <c r="F12" i="4"/>
  <c r="H12" i="4"/>
  <c r="J12" i="4"/>
  <c r="L12" i="4"/>
  <c r="N12" i="4"/>
  <c r="P12" i="4"/>
  <c r="R12" i="4"/>
  <c r="T12" i="4"/>
  <c r="V12" i="4"/>
  <c r="X12" i="4"/>
  <c r="Z12" i="4"/>
  <c r="AB12" i="4"/>
  <c r="AD12" i="4"/>
  <c r="AF12" i="4"/>
  <c r="AH12" i="4"/>
  <c r="AJ12" i="4"/>
  <c r="AM12" i="4"/>
  <c r="AO12" i="4"/>
  <c r="AQ12" i="4"/>
  <c r="AS12" i="4"/>
  <c r="AU12" i="4"/>
  <c r="AW12" i="4"/>
  <c r="AY12" i="4"/>
  <c r="BA12" i="4"/>
  <c r="BC12" i="4"/>
  <c r="BE12" i="4"/>
  <c r="BG12" i="4"/>
  <c r="BI12" i="4"/>
  <c r="BK12" i="4"/>
  <c r="BM12" i="4"/>
  <c r="BP12" i="4"/>
  <c r="BR12" i="4"/>
  <c r="BT12" i="4"/>
  <c r="BV12" i="4"/>
  <c r="BX12" i="4"/>
  <c r="BZ12" i="4"/>
  <c r="CB12" i="4"/>
  <c r="CD12" i="4"/>
  <c r="CF12" i="4"/>
  <c r="CH12" i="4"/>
  <c r="CJ12" i="4"/>
  <c r="CL12" i="4"/>
  <c r="CN12" i="4"/>
  <c r="CP12" i="4"/>
  <c r="CS12" i="4"/>
  <c r="CU12" i="4"/>
  <c r="CW12" i="4"/>
  <c r="CY12" i="4"/>
  <c r="DA12" i="4"/>
  <c r="DC12" i="4"/>
  <c r="DE12" i="4"/>
  <c r="DG12" i="4"/>
  <c r="DI12" i="4"/>
  <c r="DK12" i="4"/>
  <c r="DM12" i="4"/>
  <c r="DO12" i="4"/>
  <c r="DQ12" i="4"/>
  <c r="DS12" i="4"/>
  <c r="DU12" i="4"/>
  <c r="DW12" i="4"/>
  <c r="DY12" i="4"/>
  <c r="EA12" i="4"/>
  <c r="J10" i="4"/>
  <c r="EB10" i="4"/>
  <c r="AK10" i="4"/>
  <c r="AY10" i="4"/>
  <c r="CY13" i="4"/>
  <c r="CW15" i="4"/>
  <c r="BR15" i="4"/>
  <c r="CU15" i="4"/>
  <c r="DA13" i="4"/>
  <c r="CY15" i="4"/>
  <c r="DC13" i="4"/>
  <c r="DA15" i="4"/>
  <c r="DE13" i="4"/>
  <c r="DC15" i="4"/>
  <c r="DG13" i="4"/>
  <c r="DE15" i="4"/>
  <c r="DK13" i="4"/>
  <c r="DQ13" i="4"/>
  <c r="DG15" i="4"/>
  <c r="DI15" i="4"/>
  <c r="DK15" i="4"/>
  <c r="DO15" i="4"/>
  <c r="BT15" i="4"/>
  <c r="BV13" i="4"/>
  <c r="DU13" i="4"/>
  <c r="DS15" i="4"/>
  <c r="DQ15" i="4"/>
  <c r="R13" i="4"/>
  <c r="H15" i="4"/>
  <c r="J15" i="4"/>
  <c r="DM15" i="4"/>
  <c r="DU15" i="4"/>
  <c r="DW13" i="4"/>
  <c r="BV15" i="4"/>
  <c r="BX13" i="4"/>
  <c r="V15" i="4"/>
  <c r="Z13" i="4"/>
  <c r="T15" i="4"/>
  <c r="X15" i="4"/>
  <c r="R15" i="4"/>
  <c r="Z15" i="4"/>
  <c r="AB13" i="4"/>
  <c r="BZ13" i="4"/>
  <c r="BX15" i="4"/>
  <c r="DW15" i="4"/>
  <c r="DY13" i="4"/>
  <c r="DY15" i="4"/>
  <c r="EA15" i="4"/>
  <c r="CB13" i="4"/>
  <c r="BZ15" i="4"/>
  <c r="AD13" i="4"/>
  <c r="AB15" i="4"/>
  <c r="AF13" i="4"/>
  <c r="AD15" i="4"/>
  <c r="CD13" i="4"/>
  <c r="CB15" i="4"/>
  <c r="AJ13" i="4"/>
  <c r="AJ15" i="4"/>
  <c r="AH15" i="4"/>
  <c r="AF15" i="4"/>
  <c r="CD15" i="4"/>
  <c r="CF13" i="4"/>
  <c r="CH15" i="4"/>
  <c r="CF15" i="4"/>
  <c r="CJ15" i="4"/>
  <c r="AO11" i="4"/>
  <c r="BP11" i="4"/>
  <c r="F11" i="4"/>
  <c r="L11" i="4"/>
  <c r="N11" i="4"/>
  <c r="CD11" i="4"/>
  <c r="CF11" i="4"/>
  <c r="CH11" i="4"/>
  <c r="BC11" i="4"/>
  <c r="V11" i="4"/>
  <c r="CN11" i="4"/>
  <c r="AB11" i="4"/>
  <c r="AH11" i="4"/>
  <c r="BE16" i="4"/>
  <c r="AH16" i="4"/>
  <c r="BT11" i="4"/>
  <c r="CW11" i="4"/>
  <c r="AM11" i="4"/>
  <c r="BX11" i="4"/>
  <c r="BZ11" i="4"/>
  <c r="AW11" i="4"/>
  <c r="R11" i="4"/>
  <c r="BE11" i="4"/>
  <c r="BI11" i="4"/>
  <c r="BK11" i="4"/>
  <c r="AF11" i="4"/>
  <c r="CJ16" i="4"/>
  <c r="X16" i="4"/>
  <c r="CS11" i="4"/>
  <c r="D11" i="4"/>
  <c r="BR11" i="4"/>
  <c r="J11" i="4"/>
  <c r="AS11" i="4"/>
  <c r="CB11" i="4"/>
  <c r="AY11" i="4"/>
  <c r="BA11" i="4"/>
  <c r="T11" i="4"/>
  <c r="CL11" i="4"/>
  <c r="X11" i="4"/>
  <c r="Z11" i="4"/>
  <c r="AD11" i="4"/>
  <c r="AJ11" i="4"/>
  <c r="CH16" i="4"/>
  <c r="BI16" i="4"/>
  <c r="BA16" i="4"/>
  <c r="V16" i="4"/>
  <c r="CU11" i="4"/>
  <c r="BV11" i="4"/>
  <c r="H11" i="4"/>
  <c r="AQ11" i="4"/>
  <c r="AU11" i="4"/>
  <c r="P11" i="4"/>
  <c r="CJ11" i="4"/>
  <c r="BG11" i="4"/>
  <c r="CP11" i="4"/>
  <c r="BM11" i="4"/>
  <c r="T16" i="4"/>
  <c r="CY11" i="4"/>
  <c r="DA11" i="4"/>
  <c r="DC11" i="4"/>
  <c r="DE11" i="4"/>
  <c r="DI11" i="4"/>
  <c r="DM16" i="4"/>
  <c r="DO16" i="4"/>
  <c r="DQ11" i="4"/>
  <c r="DS16" i="4"/>
  <c r="EA11" i="4"/>
  <c r="DG11" i="4"/>
  <c r="DI16" i="4"/>
  <c r="DK11" i="4"/>
  <c r="DM11" i="4"/>
  <c r="DO11" i="4"/>
  <c r="DS11" i="4"/>
  <c r="DU11" i="4"/>
  <c r="DW11" i="4"/>
  <c r="DY11" i="4"/>
  <c r="EA16" i="4"/>
  <c r="AQ13" i="4"/>
  <c r="AO15" i="4"/>
  <c r="CR23" i="4"/>
  <c r="AL23" i="4"/>
  <c r="CR27" i="4"/>
  <c r="CR31" i="4"/>
  <c r="CR39" i="4"/>
  <c r="CR43" i="4"/>
  <c r="AL47" i="4"/>
  <c r="BO47" i="4"/>
  <c r="CR51" i="4"/>
  <c r="BO23" i="4"/>
  <c r="AL27" i="4"/>
  <c r="BO27" i="4"/>
  <c r="BO31" i="4"/>
  <c r="AL31" i="4"/>
  <c r="AL35" i="4"/>
  <c r="CR35" i="4"/>
  <c r="BO35" i="4"/>
  <c r="AL39" i="4"/>
  <c r="BO39" i="4"/>
  <c r="AL43" i="4"/>
  <c r="BO43" i="4"/>
  <c r="CR47" i="4"/>
  <c r="BO51" i="4"/>
  <c r="BO55" i="4"/>
  <c r="CR59" i="4"/>
  <c r="BO63" i="4"/>
  <c r="AL51" i="4"/>
  <c r="CR55" i="4"/>
  <c r="AL55" i="4"/>
  <c r="AL59" i="4"/>
  <c r="BO59" i="4"/>
  <c r="CR63" i="4"/>
  <c r="AL63" i="4"/>
  <c r="BO24" i="4"/>
  <c r="AL28" i="4"/>
  <c r="CR28" i="4"/>
  <c r="AL24" i="4"/>
  <c r="BO28" i="4"/>
  <c r="BO32" i="4"/>
  <c r="CR32" i="4"/>
  <c r="AL36" i="4"/>
  <c r="CR36" i="4"/>
  <c r="AL40" i="4"/>
  <c r="BO40" i="4"/>
  <c r="CR40" i="4"/>
  <c r="CR44" i="4"/>
  <c r="AL48" i="4"/>
  <c r="BO48" i="4"/>
  <c r="BO52" i="4"/>
  <c r="AL52" i="4"/>
  <c r="AL56" i="4"/>
  <c r="CR56" i="4"/>
  <c r="BO60" i="4"/>
  <c r="CR64" i="4"/>
  <c r="BO64" i="4"/>
  <c r="CR21" i="4"/>
  <c r="CR25" i="4"/>
  <c r="AL25" i="4"/>
  <c r="CR29" i="4"/>
  <c r="BO29" i="4"/>
  <c r="CR24" i="4"/>
  <c r="AL32" i="4"/>
  <c r="BO36" i="4"/>
  <c r="AL44" i="4"/>
  <c r="BO44" i="4"/>
  <c r="CR48" i="4"/>
  <c r="CR52" i="4"/>
  <c r="BO56" i="4"/>
  <c r="AL60" i="4"/>
  <c r="CR60" i="4"/>
  <c r="AL64" i="4"/>
  <c r="AL21" i="4"/>
  <c r="BO21" i="4"/>
  <c r="BO25" i="4"/>
  <c r="AL29" i="4"/>
  <c r="AL33" i="4"/>
  <c r="CR37" i="4"/>
  <c r="BO41" i="4"/>
  <c r="CR45" i="4"/>
  <c r="CR49" i="4"/>
  <c r="AL49" i="4"/>
  <c r="AL53" i="4"/>
  <c r="BO53" i="4"/>
  <c r="CR57" i="4"/>
  <c r="AL61" i="4"/>
  <c r="BO61" i="4"/>
  <c r="CR65" i="4"/>
  <c r="AL26" i="4"/>
  <c r="AL34" i="4"/>
  <c r="BO34" i="4"/>
  <c r="CR38" i="4"/>
  <c r="AL42" i="4"/>
  <c r="BO33" i="4"/>
  <c r="CR33" i="4"/>
  <c r="BO37" i="4"/>
  <c r="AL37" i="4"/>
  <c r="CR41" i="4"/>
  <c r="AL41" i="4"/>
  <c r="AL45" i="4"/>
  <c r="BO45" i="4"/>
  <c r="BO49" i="4"/>
  <c r="CR53" i="4"/>
  <c r="AL57" i="4"/>
  <c r="BO57" i="4"/>
  <c r="CR61" i="4"/>
  <c r="AL65" i="4"/>
  <c r="BO65" i="4"/>
  <c r="AL22" i="4"/>
  <c r="BO22" i="4"/>
  <c r="CR22" i="4"/>
  <c r="BO26" i="4"/>
  <c r="CR26" i="4"/>
  <c r="BO30" i="4"/>
  <c r="AL30" i="4"/>
  <c r="CR30" i="4"/>
  <c r="CR34" i="4"/>
  <c r="AL38" i="4"/>
  <c r="BO38" i="4"/>
  <c r="BO46" i="4"/>
  <c r="AL46" i="4"/>
  <c r="AL50" i="4"/>
  <c r="AL54" i="4"/>
  <c r="BO54" i="4"/>
  <c r="BO58" i="4"/>
  <c r="BO62" i="4"/>
  <c r="AL62" i="4"/>
  <c r="CR66" i="4"/>
  <c r="BO66" i="4"/>
  <c r="BO42" i="4"/>
  <c r="CR42" i="4"/>
  <c r="CR46" i="4"/>
  <c r="CR50" i="4"/>
  <c r="BO50" i="4"/>
  <c r="CR54" i="4"/>
  <c r="CR58" i="4"/>
  <c r="AL58" i="4"/>
  <c r="CR62" i="4"/>
  <c r="AL66" i="4"/>
  <c r="AS13" i="4"/>
  <c r="AQ15" i="4"/>
  <c r="EC23" i="4"/>
  <c r="EC31" i="4"/>
  <c r="EC35" i="4"/>
  <c r="EC39" i="4"/>
  <c r="EC43" i="4"/>
  <c r="EC47" i="4"/>
  <c r="EC51" i="4"/>
  <c r="EC59" i="4"/>
  <c r="EC63" i="4"/>
  <c r="EC28" i="4"/>
  <c r="EC24" i="4"/>
  <c r="EC40" i="4"/>
  <c r="EC56" i="4"/>
  <c r="EC25" i="4"/>
  <c r="EC29" i="4"/>
  <c r="EC32" i="4"/>
  <c r="EC60" i="4"/>
  <c r="EC49" i="4"/>
  <c r="EC57" i="4"/>
  <c r="EC61" i="4"/>
  <c r="EC65" i="4"/>
  <c r="EC38" i="4"/>
  <c r="EC42" i="4"/>
  <c r="EC41" i="4"/>
  <c r="EC54" i="4"/>
  <c r="EC66" i="4"/>
  <c r="EC50" i="4"/>
  <c r="EC27" i="4"/>
  <c r="EC55" i="4"/>
  <c r="EC36" i="4"/>
  <c r="EC44" i="4"/>
  <c r="EC48" i="4"/>
  <c r="EC21" i="4"/>
  <c r="EC52" i="4"/>
  <c r="EC64" i="4"/>
  <c r="EC33" i="4"/>
  <c r="EC37" i="4"/>
  <c r="EC45" i="4"/>
  <c r="EC22" i="4"/>
  <c r="EC26" i="4"/>
  <c r="EC30" i="4"/>
  <c r="EC46" i="4"/>
  <c r="EC53" i="4"/>
  <c r="EC34" i="4"/>
  <c r="EC62" i="4"/>
  <c r="AS15" i="4"/>
  <c r="AY13" i="4"/>
  <c r="EC58" i="4"/>
  <c r="BC13" i="4"/>
  <c r="AY15" i="4"/>
  <c r="BA15" i="4"/>
  <c r="BC15" i="4"/>
  <c r="BE15" i="4"/>
  <c r="BG13" i="4"/>
  <c r="BI15" i="4"/>
  <c r="BK13" i="4"/>
  <c r="BG15" i="4"/>
  <c r="BM13" i="4"/>
  <c r="BM15" i="4"/>
  <c r="BK15" i="4"/>
  <c r="Q7" i="17"/>
  <c r="P7" i="17"/>
  <c r="O7" i="17"/>
  <c r="N7" i="17"/>
  <c r="M7" i="17"/>
  <c r="L7" i="17"/>
  <c r="K7" i="17"/>
  <c r="Q8" i="17"/>
  <c r="P8" i="17"/>
  <c r="O8" i="17"/>
  <c r="N8" i="17"/>
  <c r="M8" i="17"/>
  <c r="L8" i="17"/>
  <c r="K8" i="17"/>
  <c r="Q6" i="17"/>
  <c r="P6" i="17"/>
  <c r="O6" i="17"/>
  <c r="N6" i="17"/>
  <c r="M6" i="17"/>
  <c r="L6" i="17"/>
  <c r="K6" i="17"/>
  <c r="C4" i="8"/>
  <c r="D4" i="8"/>
  <c r="B3" i="8"/>
  <c r="T10" i="8"/>
  <c r="I10" i="8"/>
  <c r="P10" i="8"/>
  <c r="L10" i="8"/>
  <c r="C6" i="8"/>
  <c r="D6" i="8"/>
  <c r="B6" i="8"/>
  <c r="B4" i="8"/>
  <c r="D8" i="8"/>
  <c r="B8" i="8"/>
  <c r="C8" i="8"/>
  <c r="U11" i="8"/>
  <c r="V11" i="8"/>
  <c r="Q11" i="8"/>
  <c r="M11" i="8"/>
  <c r="B11" i="8"/>
  <c r="N11" i="8"/>
  <c r="V12" i="8"/>
  <c r="N12" i="8"/>
  <c r="R11" i="8"/>
  <c r="D11" i="8"/>
  <c r="J11" i="8"/>
  <c r="J12" i="8"/>
  <c r="Q12" i="8"/>
  <c r="C11" i="8"/>
  <c r="U12" i="8"/>
  <c r="I11" i="8"/>
  <c r="I12" i="8"/>
  <c r="R12" i="8"/>
  <c r="M12" i="8"/>
  <c r="L12" i="8"/>
  <c r="H12" i="8"/>
  <c r="T12" i="8"/>
  <c r="P12" i="8"/>
  <c r="H7" i="8"/>
  <c r="H9" i="8"/>
  <c r="O2" i="8"/>
  <c r="P2" i="8"/>
  <c r="Q2" i="8"/>
  <c r="R2" i="8"/>
  <c r="S2" i="8"/>
  <c r="T2" i="8"/>
  <c r="U2" i="8"/>
  <c r="V2" i="8"/>
  <c r="W2" i="8"/>
  <c r="X2" i="8"/>
  <c r="Y2" i="8"/>
  <c r="Z2" i="8"/>
  <c r="AA2" i="8"/>
  <c r="B13" i="8"/>
  <c r="M3" i="8"/>
  <c r="I3" i="8"/>
  <c r="C13" i="8"/>
  <c r="D13" i="8"/>
  <c r="H14" i="8"/>
  <c r="H5" i="8"/>
  <c r="C15" i="8"/>
  <c r="D15" i="8"/>
  <c r="B15" i="8"/>
  <c r="J15" i="8"/>
  <c r="J16" i="8"/>
  <c r="I15" i="8"/>
  <c r="I16" i="8"/>
  <c r="H16" i="8"/>
  <c r="B17" i="8"/>
  <c r="C17" i="8"/>
  <c r="J17" i="8"/>
  <c r="J18" i="8"/>
  <c r="I17" i="8"/>
  <c r="I18" i="8"/>
  <c r="D17" i="8"/>
  <c r="H18" i="8"/>
  <c r="B19" i="8"/>
  <c r="D19" i="8"/>
  <c r="C19" i="8"/>
  <c r="I19" i="8"/>
  <c r="J19" i="8"/>
  <c r="I20" i="8"/>
  <c r="J20" i="8"/>
  <c r="H20" i="8"/>
  <c r="B21" i="8"/>
  <c r="C21" i="8"/>
  <c r="D21" i="8"/>
  <c r="H22" i="8"/>
  <c r="C23" i="8"/>
  <c r="B23" i="8"/>
  <c r="D23" i="8"/>
  <c r="H24" i="8"/>
  <c r="B25" i="8"/>
  <c r="D25" i="8"/>
  <c r="C25" i="8"/>
  <c r="H26" i="8"/>
  <c r="C27" i="8"/>
  <c r="D27" i="8"/>
  <c r="B27" i="8"/>
  <c r="H28" i="8"/>
  <c r="I29" i="8"/>
  <c r="D29" i="8"/>
  <c r="I30" i="8"/>
  <c r="C29" i="8"/>
  <c r="B29" i="8"/>
  <c r="H30" i="8"/>
  <c r="C31" i="8"/>
  <c r="D31" i="8"/>
  <c r="B31" i="8"/>
  <c r="H32" i="8"/>
  <c r="C4" i="9"/>
  <c r="B3" i="9"/>
  <c r="D4" i="9"/>
  <c r="B4" i="9"/>
  <c r="C6" i="9"/>
  <c r="B6" i="9"/>
  <c r="D6" i="9"/>
  <c r="M2" i="9"/>
  <c r="N2" i="9"/>
  <c r="O2" i="9"/>
  <c r="P2" i="9"/>
  <c r="Q2" i="9"/>
  <c r="R2" i="9"/>
  <c r="S2" i="9"/>
  <c r="T2" i="9"/>
  <c r="U2" i="9"/>
  <c r="V2" i="9"/>
  <c r="W2" i="9"/>
  <c r="X2" i="9"/>
  <c r="Y2" i="9"/>
  <c r="Z2" i="9"/>
  <c r="D8" i="9"/>
  <c r="C8" i="9"/>
  <c r="B8" i="9"/>
  <c r="L10" i="9"/>
  <c r="D10" i="9"/>
  <c r="I10" i="9"/>
  <c r="O10" i="9"/>
  <c r="O11" i="9"/>
  <c r="E10" i="9"/>
  <c r="I11" i="9"/>
  <c r="G10" i="9"/>
  <c r="C10" i="9"/>
  <c r="D12" i="9"/>
  <c r="B12" i="9"/>
  <c r="B10" i="9"/>
  <c r="P10" i="9"/>
  <c r="P11" i="9"/>
  <c r="F10" i="9"/>
  <c r="M10" i="9"/>
  <c r="M11" i="9"/>
  <c r="L11" i="9"/>
  <c r="J10" i="9"/>
  <c r="J11" i="9"/>
  <c r="H13" i="9"/>
  <c r="F11" i="9"/>
  <c r="G11" i="9"/>
  <c r="E11" i="9"/>
  <c r="H7" i="9"/>
  <c r="H9" i="9"/>
  <c r="H11" i="9"/>
  <c r="M3" i="9"/>
  <c r="I3" i="9"/>
  <c r="J14" i="9"/>
  <c r="B14" i="9"/>
  <c r="J15" i="9"/>
  <c r="C14" i="9"/>
  <c r="C12" i="9"/>
  <c r="D14" i="9"/>
  <c r="I14" i="9"/>
  <c r="I15" i="9"/>
  <c r="M15" i="9"/>
  <c r="H15" i="9"/>
  <c r="H5" i="9"/>
  <c r="C16" i="9"/>
  <c r="B16" i="9"/>
  <c r="D16" i="9"/>
  <c r="H17" i="9"/>
  <c r="C18" i="9"/>
  <c r="D18" i="9"/>
  <c r="I18" i="9"/>
  <c r="I19" i="9"/>
  <c r="B18" i="9"/>
  <c r="H19" i="9"/>
  <c r="B20" i="9"/>
  <c r="D20" i="9"/>
  <c r="C20" i="9"/>
  <c r="H21" i="9"/>
  <c r="B22" i="9"/>
  <c r="I22" i="9"/>
  <c r="C22" i="9"/>
  <c r="I23" i="9"/>
  <c r="D22" i="9"/>
  <c r="H23" i="9"/>
  <c r="C24" i="9"/>
  <c r="B24" i="9"/>
  <c r="D24" i="9"/>
  <c r="H25" i="9"/>
  <c r="B26" i="9"/>
  <c r="D26" i="9"/>
  <c r="C26" i="9"/>
  <c r="H27" i="9"/>
  <c r="W27" i="10"/>
  <c r="S27" i="10"/>
  <c r="O27" i="10"/>
  <c r="K27" i="10"/>
  <c r="B3" i="10"/>
  <c r="B6" i="10"/>
  <c r="C6" i="10"/>
  <c r="C4" i="10"/>
  <c r="D6" i="10"/>
  <c r="D4" i="10"/>
  <c r="B4" i="10"/>
  <c r="U24" i="10"/>
  <c r="I24" i="10"/>
  <c r="M24" i="10"/>
  <c r="Q24" i="10"/>
  <c r="D8" i="10"/>
  <c r="B8" i="10"/>
  <c r="C8" i="10"/>
  <c r="M2" i="10"/>
  <c r="N2" i="10"/>
  <c r="O2" i="10"/>
  <c r="P2" i="10"/>
  <c r="Q2" i="10"/>
  <c r="R2" i="10"/>
  <c r="S2" i="10"/>
  <c r="T2" i="10"/>
  <c r="U2" i="10"/>
  <c r="V2" i="10"/>
  <c r="W2" i="10"/>
  <c r="X2" i="10"/>
  <c r="Y2" i="10"/>
  <c r="Z2" i="10"/>
  <c r="D10" i="10"/>
  <c r="C10" i="10"/>
  <c r="C16" i="10"/>
  <c r="B10" i="10"/>
  <c r="D16" i="10"/>
  <c r="B16" i="10"/>
  <c r="C12" i="10"/>
  <c r="B12" i="10"/>
  <c r="D12" i="10"/>
  <c r="B18" i="10"/>
  <c r="D18" i="10"/>
  <c r="C18" i="10"/>
  <c r="H19" i="10"/>
  <c r="H9" i="10"/>
  <c r="H11" i="10"/>
  <c r="H17" i="10"/>
  <c r="H13" i="10"/>
  <c r="I3" i="10"/>
  <c r="B20" i="10"/>
  <c r="C20" i="10"/>
  <c r="L20" i="10"/>
  <c r="B14" i="10"/>
  <c r="M3" i="10"/>
  <c r="D20" i="10"/>
  <c r="L21" i="10"/>
  <c r="D14" i="10"/>
  <c r="C14" i="10"/>
  <c r="H15" i="10"/>
  <c r="H21" i="10"/>
  <c r="H7" i="10"/>
  <c r="H5" i="10"/>
  <c r="J22" i="10"/>
  <c r="B22" i="10"/>
  <c r="D22" i="10"/>
  <c r="I22" i="10"/>
  <c r="I23" i="10"/>
  <c r="J23" i="10"/>
  <c r="C22" i="10"/>
  <c r="H23" i="10"/>
  <c r="R25" i="10"/>
  <c r="U25" i="10"/>
  <c r="V25" i="10"/>
  <c r="D25" i="10"/>
  <c r="J25" i="10"/>
  <c r="B25" i="10"/>
  <c r="U26" i="10"/>
  <c r="V26" i="10"/>
  <c r="I25" i="10"/>
  <c r="J26" i="10"/>
  <c r="N25" i="10"/>
  <c r="M25" i="10"/>
  <c r="Q25" i="10"/>
  <c r="I26" i="10"/>
  <c r="C25" i="10"/>
  <c r="N26" i="10"/>
  <c r="R26" i="10"/>
  <c r="Q26" i="10"/>
  <c r="M26" i="10"/>
  <c r="L26" i="10"/>
  <c r="P26" i="10"/>
  <c r="H26" i="10"/>
  <c r="T26" i="10"/>
  <c r="B4" i="11"/>
  <c r="C6" i="11"/>
  <c r="D8" i="11"/>
  <c r="C4" i="11"/>
  <c r="B14" i="11"/>
  <c r="D6" i="11"/>
  <c r="D14" i="11"/>
  <c r="B3" i="11"/>
  <c r="B6" i="11"/>
  <c r="D4" i="11"/>
  <c r="C8" i="11"/>
  <c r="C16" i="11"/>
  <c r="D16" i="11"/>
  <c r="C14" i="11"/>
  <c r="B16" i="11"/>
  <c r="B8" i="11"/>
  <c r="D10" i="11"/>
  <c r="C10" i="11"/>
  <c r="B10" i="11"/>
  <c r="O2" i="11"/>
  <c r="P2" i="11"/>
  <c r="Q2" i="11"/>
  <c r="R2" i="11"/>
  <c r="S2" i="11"/>
  <c r="T2" i="11"/>
  <c r="U2" i="11"/>
  <c r="V2" i="11"/>
  <c r="W2" i="11"/>
  <c r="X2" i="11"/>
  <c r="Y2" i="11"/>
  <c r="Z2" i="11"/>
  <c r="D18" i="11"/>
  <c r="B12" i="11"/>
  <c r="D12" i="11"/>
  <c r="C18" i="11"/>
  <c r="B18" i="11"/>
  <c r="C12" i="11"/>
  <c r="H13" i="11"/>
  <c r="H19" i="11"/>
  <c r="H17" i="11"/>
  <c r="H11" i="11"/>
  <c r="M3" i="11"/>
  <c r="C20" i="11"/>
  <c r="J20" i="11"/>
  <c r="B20" i="11"/>
  <c r="I3" i="11"/>
  <c r="J21" i="11"/>
  <c r="D20" i="11"/>
  <c r="H21" i="11"/>
  <c r="H9" i="11"/>
  <c r="H5" i="11"/>
  <c r="H7" i="11"/>
  <c r="H15" i="11"/>
  <c r="B22" i="11"/>
  <c r="D22" i="11"/>
  <c r="C22" i="11"/>
  <c r="H23" i="11"/>
  <c r="B24" i="11"/>
  <c r="C24" i="11"/>
  <c r="K24" i="11"/>
  <c r="D24" i="11"/>
  <c r="K25" i="11"/>
  <c r="H25" i="11"/>
  <c r="C26" i="11"/>
  <c r="I26" i="11"/>
  <c r="I27" i="11"/>
  <c r="D26" i="11"/>
  <c r="B26" i="11"/>
  <c r="H27" i="11"/>
  <c r="C28" i="11"/>
  <c r="D28" i="11"/>
  <c r="B28" i="11"/>
  <c r="H29" i="11"/>
  <c r="C30" i="11"/>
  <c r="D30" i="11"/>
  <c r="I30" i="11"/>
  <c r="I31" i="11"/>
  <c r="B30" i="11"/>
  <c r="H31" i="11"/>
  <c r="C32" i="11"/>
  <c r="B32" i="11"/>
  <c r="D32" i="11"/>
  <c r="H33" i="11"/>
  <c r="D34" i="11"/>
  <c r="B34" i="11"/>
  <c r="C34" i="11"/>
  <c r="H35" i="11"/>
  <c r="B36" i="11"/>
  <c r="C36" i="11"/>
  <c r="D36" i="11"/>
  <c r="H37" i="11"/>
  <c r="B38" i="11"/>
  <c r="D38" i="11"/>
  <c r="C38" i="11"/>
  <c r="B54" i="12"/>
  <c r="AH2" i="12"/>
  <c r="X2" i="12"/>
  <c r="N2" i="12"/>
  <c r="C2" i="12"/>
  <c r="B5" i="12"/>
  <c r="D53" i="12"/>
  <c r="D54" i="12"/>
  <c r="C53" i="12"/>
  <c r="B6" i="12"/>
  <c r="C54" i="12"/>
  <c r="C55" i="12"/>
  <c r="B7" i="12"/>
  <c r="D55" i="12"/>
  <c r="D56" i="12"/>
  <c r="C56" i="12"/>
  <c r="B8" i="12"/>
  <c r="B9" i="12"/>
  <c r="C57" i="12"/>
  <c r="D57" i="12"/>
  <c r="B10" i="12"/>
  <c r="D58" i="12"/>
  <c r="C58" i="12"/>
  <c r="D59" i="12"/>
  <c r="C59" i="12"/>
  <c r="B11" i="12"/>
  <c r="B12" i="12"/>
  <c r="C60" i="12"/>
  <c r="D60" i="12"/>
  <c r="C61" i="12"/>
  <c r="D61" i="12"/>
  <c r="B13" i="12"/>
  <c r="B14" i="12"/>
  <c r="D62" i="12"/>
  <c r="C62" i="12"/>
  <c r="B15" i="12"/>
  <c r="N53" i="12"/>
  <c r="O53" i="12"/>
  <c r="N54" i="12"/>
  <c r="O54" i="12"/>
  <c r="B16" i="12"/>
  <c r="B17" i="12"/>
  <c r="O55" i="12"/>
  <c r="N55" i="12"/>
  <c r="O56" i="12"/>
  <c r="N56" i="12"/>
  <c r="B18" i="12"/>
  <c r="N57" i="12"/>
  <c r="B19" i="12"/>
  <c r="O57" i="12"/>
  <c r="B20" i="12"/>
  <c r="N58" i="12"/>
  <c r="O58" i="12"/>
  <c r="O59" i="12"/>
  <c r="B21" i="12"/>
  <c r="N59" i="12"/>
  <c r="N60" i="12"/>
  <c r="O60" i="12"/>
  <c r="B22" i="12"/>
  <c r="B23" i="12"/>
  <c r="N61" i="12"/>
  <c r="O61" i="12"/>
  <c r="B24" i="12"/>
  <c r="Y53" i="12"/>
  <c r="X53" i="12"/>
  <c r="B25" i="12"/>
  <c r="Y54" i="12"/>
  <c r="X54" i="12"/>
  <c r="X55" i="12"/>
  <c r="Y55" i="12"/>
  <c r="B26" i="12"/>
  <c r="B27" i="12"/>
  <c r="X56" i="12"/>
  <c r="Y56" i="12"/>
  <c r="X57" i="12"/>
  <c r="Y57" i="12"/>
  <c r="B28" i="12"/>
  <c r="Y58" i="12"/>
  <c r="X58" i="12"/>
  <c r="B29" i="12"/>
  <c r="B30" i="12"/>
  <c r="X59" i="12"/>
  <c r="Y59" i="12"/>
  <c r="B31" i="12"/>
  <c r="X60" i="12"/>
  <c r="Y60" i="12"/>
  <c r="X61" i="12"/>
  <c r="B32" i="12"/>
  <c r="Y61" i="12"/>
  <c r="B33" i="12"/>
  <c r="AH53" i="12"/>
  <c r="AI53" i="12"/>
  <c r="AI54" i="12"/>
  <c r="B34" i="12"/>
  <c r="AH54" i="12"/>
  <c r="AH55" i="12"/>
  <c r="AI55" i="12"/>
  <c r="B35" i="12"/>
  <c r="AH56" i="12"/>
  <c r="AI56" i="12"/>
  <c r="B36" i="12"/>
  <c r="B37" i="12"/>
  <c r="AI57" i="12"/>
  <c r="AH57" i="12"/>
  <c r="B38" i="12"/>
  <c r="AI58" i="12"/>
  <c r="AH58" i="12"/>
  <c r="B39" i="12"/>
  <c r="AI59" i="12"/>
  <c r="AH59" i="12"/>
  <c r="B40" i="12"/>
  <c r="AI60" i="12"/>
  <c r="AH60" i="12"/>
  <c r="AH61" i="12"/>
  <c r="AI61" i="12"/>
  <c r="B41" i="12"/>
  <c r="AH62" i="12"/>
  <c r="AI62" i="12"/>
  <c r="B42" i="12"/>
  <c r="B43" i="12"/>
  <c r="AH63" i="12"/>
  <c r="AI63" i="12"/>
  <c r="AH64" i="12"/>
  <c r="AI64" i="12"/>
  <c r="B44" i="12"/>
  <c r="B45" i="12"/>
  <c r="AI65" i="12"/>
  <c r="AH65" i="12"/>
  <c r="B46" i="12"/>
  <c r="B47" i="12"/>
  <c r="B48" i="12"/>
  <c r="B49" i="12"/>
  <c r="B50" i="12"/>
  <c r="M51" i="12"/>
  <c r="W51" i="12"/>
  <c r="W52" i="12"/>
  <c r="AG52" i="12"/>
  <c r="AG51" i="12"/>
  <c r="AU52" i="12"/>
  <c r="AU51" i="12"/>
  <c r="H110" i="13"/>
  <c r="H109" i="13"/>
  <c r="H108" i="13"/>
  <c r="H107" i="13"/>
  <c r="H106" i="13"/>
  <c r="H105" i="13"/>
  <c r="H104" i="13"/>
  <c r="H103" i="13"/>
  <c r="H102" i="13"/>
  <c r="H101" i="13"/>
  <c r="H100" i="13"/>
  <c r="H99" i="13"/>
  <c r="H98" i="13"/>
  <c r="H97" i="13"/>
  <c r="H96" i="13"/>
  <c r="H95" i="13"/>
  <c r="H94" i="13"/>
  <c r="H93" i="13"/>
  <c r="H92" i="13"/>
  <c r="H91" i="13"/>
  <c r="H90" i="13"/>
  <c r="H89" i="13"/>
  <c r="H88" i="13"/>
  <c r="H87" i="13"/>
  <c r="H86" i="13"/>
  <c r="H85" i="13"/>
  <c r="H84" i="13"/>
  <c r="H83" i="13"/>
  <c r="H82" i="13"/>
  <c r="H81" i="13"/>
  <c r="H80" i="13"/>
  <c r="H79" i="13"/>
  <c r="H78" i="13"/>
  <c r="H77" i="13"/>
  <c r="H76" i="13"/>
  <c r="H75" i="13"/>
  <c r="H74" i="13"/>
  <c r="H73" i="13"/>
  <c r="H72" i="13"/>
  <c r="H71" i="13"/>
  <c r="H70" i="13"/>
  <c r="H69" i="13"/>
  <c r="N36" i="13"/>
  <c r="N35" i="13"/>
  <c r="N34" i="13"/>
  <c r="N32" i="13"/>
  <c r="N31" i="13"/>
  <c r="N30" i="13"/>
  <c r="N28" i="13"/>
  <c r="N16" i="13"/>
  <c r="N15" i="13"/>
  <c r="N14" i="13"/>
  <c r="N12" i="13"/>
  <c r="N11" i="13"/>
  <c r="N10" i="13"/>
  <c r="N9" i="13"/>
  <c r="N7" i="13"/>
  <c r="N6" i="13"/>
  <c r="N5" i="13"/>
  <c r="N4" i="13"/>
  <c r="AS45" i="13"/>
  <c r="AA45" i="13"/>
  <c r="V45" i="13"/>
  <c r="N45" i="13"/>
  <c r="AS44" i="13"/>
  <c r="AA44" i="13"/>
  <c r="V44" i="13"/>
  <c r="N44" i="13"/>
  <c r="AS43" i="13"/>
  <c r="AA43" i="13"/>
  <c r="V43" i="13"/>
  <c r="N43" i="13"/>
  <c r="AS42" i="13"/>
  <c r="AA42" i="13"/>
  <c r="V42" i="13"/>
  <c r="N42" i="13"/>
  <c r="AS41" i="13"/>
  <c r="AA41" i="13"/>
  <c r="V41" i="13"/>
  <c r="N41" i="13"/>
  <c r="AS40" i="13"/>
  <c r="AA40" i="13"/>
  <c r="V40" i="13"/>
  <c r="N40" i="13"/>
  <c r="AS39" i="13"/>
  <c r="AA39" i="13"/>
  <c r="V39" i="13"/>
  <c r="N39" i="13"/>
  <c r="AS38" i="13"/>
  <c r="AA38" i="13"/>
  <c r="V38" i="13"/>
  <c r="N38" i="13"/>
  <c r="AS37" i="13"/>
  <c r="AA37" i="13"/>
  <c r="V37" i="13"/>
  <c r="N37" i="13"/>
  <c r="AS36" i="13"/>
  <c r="AA36" i="13"/>
  <c r="V36" i="13"/>
  <c r="AS35" i="13"/>
  <c r="AA35" i="13"/>
  <c r="V35" i="13"/>
  <c r="AS34" i="13"/>
  <c r="AA34" i="13"/>
  <c r="V34" i="13"/>
  <c r="AS32" i="13"/>
  <c r="AA32" i="13"/>
  <c r="V32" i="13"/>
  <c r="AS31" i="13"/>
  <c r="AA31" i="13"/>
  <c r="V31" i="13"/>
  <c r="AS30" i="13"/>
  <c r="AA30" i="13"/>
  <c r="V30" i="13"/>
  <c r="AS28" i="13"/>
  <c r="AA28" i="13"/>
  <c r="V28" i="13"/>
  <c r="AS16" i="13"/>
  <c r="AA16" i="13"/>
  <c r="V16" i="13"/>
  <c r="AS15" i="13"/>
  <c r="AA15" i="13"/>
  <c r="V15" i="13"/>
  <c r="AS14" i="13"/>
  <c r="AA14" i="13"/>
  <c r="V14" i="13"/>
  <c r="AS12" i="13"/>
  <c r="AA12" i="13"/>
  <c r="V12" i="13"/>
  <c r="AS11" i="13"/>
  <c r="AA11" i="13"/>
  <c r="V11" i="13"/>
  <c r="AS10" i="13"/>
  <c r="AA10" i="13"/>
  <c r="V10" i="13"/>
  <c r="AS9" i="13"/>
  <c r="AA9" i="13"/>
  <c r="V9" i="13"/>
  <c r="AS7" i="13"/>
  <c r="AA7" i="13"/>
  <c r="V7" i="13"/>
  <c r="AS6" i="13"/>
  <c r="AA6" i="13"/>
  <c r="V6" i="13"/>
  <c r="AS5" i="13"/>
  <c r="AS4" i="13"/>
  <c r="AS8" i="13"/>
  <c r="AS13" i="13"/>
  <c r="AS17" i="13"/>
  <c r="AS18" i="13"/>
  <c r="AS19" i="13"/>
  <c r="AS20" i="13"/>
  <c r="AS21" i="13"/>
  <c r="AS22" i="13"/>
  <c r="AS23" i="13"/>
  <c r="AS24" i="13"/>
  <c r="AS25" i="13"/>
  <c r="AS26" i="13"/>
  <c r="AS27" i="13"/>
  <c r="AS29" i="13"/>
  <c r="AS33" i="13"/>
  <c r="AS47" i="13"/>
  <c r="AA5" i="13"/>
  <c r="V5" i="13"/>
  <c r="AA4" i="13"/>
  <c r="AA8" i="13"/>
  <c r="AA13" i="13"/>
  <c r="AA17" i="13"/>
  <c r="AA18" i="13"/>
  <c r="AA19" i="13"/>
  <c r="AA20" i="13"/>
  <c r="AA21" i="13"/>
  <c r="AA22" i="13"/>
  <c r="AA23" i="13"/>
  <c r="AA24" i="13"/>
  <c r="AA25" i="13"/>
  <c r="AA26" i="13"/>
  <c r="AA27" i="13"/>
  <c r="AA29" i="13"/>
  <c r="AA33" i="13"/>
  <c r="AA47" i="13"/>
  <c r="V4" i="13"/>
  <c r="V33" i="13"/>
  <c r="V29" i="13"/>
  <c r="V27" i="13"/>
  <c r="V26" i="13"/>
  <c r="V25" i="13"/>
  <c r="V24" i="13"/>
  <c r="V23" i="13"/>
  <c r="V22" i="13"/>
  <c r="V21" i="13"/>
  <c r="V20" i="13"/>
  <c r="V19" i="13"/>
  <c r="V18" i="13"/>
  <c r="V17" i="13"/>
  <c r="V13" i="13"/>
  <c r="V8" i="13"/>
  <c r="N33" i="13"/>
  <c r="N29" i="13"/>
  <c r="N27" i="13"/>
  <c r="N26" i="13"/>
  <c r="N25" i="13"/>
  <c r="N24" i="13"/>
  <c r="N23" i="13"/>
  <c r="N22" i="13"/>
  <c r="N21" i="13"/>
  <c r="N20" i="13"/>
  <c r="N19" i="13"/>
  <c r="N18" i="13"/>
  <c r="N17" i="13"/>
  <c r="N13" i="13"/>
  <c r="N8" i="13"/>
  <c r="N47" i="13"/>
  <c r="B47" i="13"/>
  <c r="O47" i="13"/>
  <c r="W47" i="13"/>
  <c r="AB47" i="13"/>
  <c r="AS46" i="13"/>
  <c r="AT46" i="13"/>
  <c r="IV46" i="13"/>
  <c r="V47" i="13"/>
  <c r="H124" i="14"/>
  <c r="H123" i="14"/>
  <c r="H122" i="14"/>
  <c r="H121" i="14"/>
  <c r="H120" i="14"/>
  <c r="H119" i="14"/>
  <c r="H118" i="14"/>
  <c r="H117" i="14"/>
  <c r="H116" i="14"/>
  <c r="H115" i="14"/>
  <c r="H114" i="14"/>
  <c r="H113" i="14"/>
  <c r="H112" i="14"/>
  <c r="H111" i="14"/>
  <c r="H110" i="14"/>
  <c r="H109" i="14"/>
  <c r="H108" i="14"/>
  <c r="H107" i="14"/>
  <c r="H106" i="14"/>
  <c r="H105" i="14"/>
  <c r="H104" i="14"/>
  <c r="H103" i="14"/>
  <c r="H102" i="14"/>
  <c r="H101" i="14"/>
  <c r="H100" i="14"/>
  <c r="H99" i="14"/>
  <c r="H98" i="14"/>
  <c r="H97" i="14"/>
  <c r="H96" i="14"/>
  <c r="H95" i="14"/>
  <c r="H94" i="14"/>
  <c r="H93" i="14"/>
  <c r="H92" i="14"/>
  <c r="H91" i="14"/>
  <c r="H90" i="14"/>
  <c r="H89" i="14"/>
  <c r="H88" i="14"/>
  <c r="H87" i="14"/>
  <c r="H86" i="14"/>
  <c r="H85" i="14"/>
  <c r="H84" i="14"/>
  <c r="H83" i="14"/>
  <c r="H82" i="14"/>
  <c r="H81" i="14"/>
  <c r="H80" i="14"/>
  <c r="H79" i="14"/>
  <c r="H78" i="14"/>
  <c r="H77" i="14"/>
  <c r="H76" i="14"/>
  <c r="Y67" i="18"/>
  <c r="Z67" i="18"/>
  <c r="AA67" i="18"/>
  <c r="AB67" i="18"/>
  <c r="AC67" i="18"/>
  <c r="AD67" i="18"/>
  <c r="AE67" i="18"/>
  <c r="AF67" i="18"/>
  <c r="O67" i="18"/>
  <c r="P67" i="18"/>
  <c r="Q67" i="18"/>
  <c r="R67" i="18"/>
  <c r="S67" i="18"/>
  <c r="T67" i="18"/>
  <c r="U67" i="18"/>
  <c r="V67" i="18"/>
  <c r="AH67" i="18"/>
  <c r="X67" i="18"/>
  <c r="N67" i="18"/>
  <c r="D67" i="18"/>
  <c r="E67" i="18"/>
  <c r="F67" i="18"/>
  <c r="G67" i="18"/>
  <c r="H67" i="18"/>
  <c r="I67" i="18"/>
  <c r="J67" i="18"/>
  <c r="K67" i="18"/>
  <c r="L67" i="18"/>
  <c r="C67" i="18"/>
  <c r="W67" i="18"/>
  <c r="AG67" i="18"/>
  <c r="AI67" i="18"/>
  <c r="AJ67" i="18"/>
  <c r="AK67" i="18"/>
  <c r="AL67" i="18"/>
  <c r="AM67" i="18"/>
  <c r="AN67" i="18"/>
  <c r="AO67" i="18"/>
  <c r="AP67" i="18"/>
  <c r="AQ67" i="18"/>
  <c r="AR67" i="18"/>
  <c r="AS67" i="18"/>
  <c r="AT67" i="18"/>
  <c r="AU67" i="18"/>
  <c r="M67" i="18"/>
  <c r="I147" i="18"/>
  <c r="I146" i="18"/>
  <c r="I145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8" i="18"/>
  <c r="I127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10" i="18"/>
  <c r="I109" i="18"/>
  <c r="I108" i="18"/>
  <c r="I107" i="18"/>
  <c r="I106" i="18"/>
  <c r="I105" i="18"/>
  <c r="I104" i="18"/>
  <c r="I103" i="18"/>
  <c r="I102" i="18"/>
  <c r="I101" i="18"/>
  <c r="I100" i="18"/>
  <c r="I99" i="18"/>
  <c r="I98" i="18"/>
  <c r="I97" i="18"/>
  <c r="I96" i="18"/>
  <c r="I95" i="18"/>
  <c r="I94" i="18"/>
  <c r="I93" i="18"/>
  <c r="I92" i="18"/>
  <c r="I91" i="18"/>
  <c r="I90" i="18"/>
  <c r="I89" i="18"/>
  <c r="I88" i="18"/>
  <c r="I87" i="18"/>
  <c r="B10" i="7"/>
  <c r="B15" i="7"/>
  <c r="B19" i="7"/>
  <c r="B20" i="7"/>
  <c r="B21" i="7"/>
  <c r="B22" i="7"/>
  <c r="B24" i="7"/>
  <c r="B30" i="7"/>
  <c r="B31" i="7"/>
  <c r="B32" i="7"/>
  <c r="B34" i="7"/>
  <c r="B35" i="7"/>
  <c r="B36" i="7"/>
  <c r="B37" i="7"/>
  <c r="B38" i="7"/>
  <c r="B39" i="7"/>
  <c r="B42" i="7"/>
  <c r="B47" i="7"/>
  <c r="B53" i="7"/>
  <c r="B57" i="7"/>
  <c r="B62" i="7"/>
  <c r="B69" i="7"/>
  <c r="B70" i="7"/>
  <c r="B71" i="7"/>
  <c r="B74" i="7"/>
  <c r="B75" i="7"/>
  <c r="B76" i="7"/>
  <c r="B79" i="7"/>
  <c r="B80" i="7"/>
  <c r="B81" i="7"/>
  <c r="B84" i="7"/>
  <c r="B85" i="7"/>
  <c r="B86" i="7"/>
  <c r="B88" i="7"/>
  <c r="B89" i="7"/>
  <c r="B90" i="7"/>
  <c r="B92" i="7"/>
  <c r="B93" i="7"/>
  <c r="B94" i="7"/>
  <c r="B95" i="7"/>
  <c r="B98" i="7"/>
  <c r="B99" i="7"/>
  <c r="B100" i="7"/>
  <c r="B102" i="7"/>
  <c r="B103" i="7"/>
  <c r="B104" i="7"/>
  <c r="B107" i="7"/>
  <c r="B108" i="7"/>
  <c r="B109" i="7"/>
  <c r="B111" i="7"/>
  <c r="B112" i="7"/>
  <c r="B113" i="7"/>
  <c r="B116" i="7"/>
  <c r="B117" i="7"/>
  <c r="B118" i="7"/>
  <c r="B121" i="7"/>
  <c r="B124" i="7"/>
  <c r="B129" i="7"/>
  <c r="B130" i="7"/>
  <c r="B131" i="7"/>
  <c r="B134" i="7"/>
  <c r="B135" i="7"/>
  <c r="B136" i="7"/>
  <c r="B137" i="7"/>
  <c r="B140" i="7"/>
  <c r="B141" i="7"/>
  <c r="B142" i="7"/>
  <c r="B143" i="7"/>
  <c r="B146" i="7"/>
  <c r="B147" i="7"/>
  <c r="B148" i="7"/>
  <c r="B151" i="7"/>
  <c r="B152" i="7"/>
  <c r="B156" i="7"/>
  <c r="B157" i="7"/>
  <c r="B161" i="7"/>
  <c r="B162" i="7"/>
  <c r="B163" i="7"/>
  <c r="B166" i="7"/>
  <c r="B167" i="7"/>
  <c r="B171" i="7"/>
  <c r="B173" i="7"/>
  <c r="B175" i="7"/>
  <c r="B176" i="7"/>
  <c r="B177" i="7"/>
  <c r="B178" i="7"/>
  <c r="B179" i="7"/>
  <c r="B180" i="7"/>
  <c r="B184" i="7"/>
  <c r="B186" i="7"/>
  <c r="B189" i="7"/>
  <c r="B191" i="7"/>
  <c r="B194" i="7"/>
  <c r="B195" i="7"/>
  <c r="B197" i="7"/>
  <c r="B200" i="7"/>
  <c r="B202" i="7"/>
  <c r="B205" i="7"/>
  <c r="B207" i="7"/>
  <c r="B210" i="7"/>
  <c r="B212" i="7"/>
  <c r="B215" i="7"/>
  <c r="B217" i="7"/>
  <c r="B220" i="7"/>
  <c r="B222" i="7"/>
  <c r="B224" i="7"/>
  <c r="B226" i="7"/>
  <c r="B229" i="7"/>
  <c r="B230" i="7"/>
  <c r="B231" i="7"/>
  <c r="B234" i="7"/>
  <c r="B235" i="7"/>
  <c r="B238" i="7"/>
  <c r="B239" i="7"/>
  <c r="B243" i="7"/>
  <c r="K243" i="7"/>
  <c r="D177" i="7"/>
  <c r="D171" i="7"/>
  <c r="D166" i="7"/>
  <c r="D161" i="7"/>
  <c r="D156" i="7"/>
  <c r="D151" i="7"/>
  <c r="D146" i="7"/>
  <c r="D140" i="7"/>
  <c r="D134" i="7"/>
  <c r="D129" i="7"/>
  <c r="D121" i="7"/>
  <c r="D116" i="7"/>
  <c r="D111" i="7"/>
  <c r="D107" i="7"/>
  <c r="D102" i="7"/>
  <c r="D103" i="7"/>
  <c r="D98" i="7"/>
  <c r="D92" i="7"/>
  <c r="D93" i="7"/>
  <c r="D88" i="7"/>
  <c r="D86" i="7"/>
  <c r="D85" i="7"/>
  <c r="D84" i="7"/>
  <c r="D79" i="7"/>
  <c r="D74" i="7"/>
  <c r="D69" i="7"/>
  <c r="D62" i="7"/>
  <c r="D57" i="7"/>
  <c r="D53" i="7"/>
  <c r="D47" i="7"/>
  <c r="D42" i="7"/>
  <c r="D34" i="7"/>
  <c r="D32" i="7"/>
  <c r="D31" i="7"/>
  <c r="D30" i="7"/>
  <c r="D24" i="7"/>
  <c r="D19" i="7"/>
  <c r="D15" i="7"/>
  <c r="D10" i="7"/>
  <c r="D3" i="7"/>
  <c r="J183" i="7"/>
  <c r="J128" i="7"/>
  <c r="J68" i="7"/>
  <c r="J2" i="7"/>
  <c r="K17" i="7"/>
  <c r="K11" i="7"/>
  <c r="K3" i="7"/>
  <c r="K5" i="7"/>
  <c r="K7" i="7"/>
  <c r="J12" i="7"/>
  <c r="E3" i="7"/>
  <c r="D189" i="7"/>
  <c r="U129" i="7"/>
  <c r="J6" i="7"/>
  <c r="J7" i="7"/>
  <c r="J11" i="7"/>
  <c r="J17" i="7"/>
  <c r="J16" i="7"/>
  <c r="J15" i="7"/>
  <c r="U3" i="7"/>
  <c r="K15" i="7"/>
  <c r="K16" i="7"/>
  <c r="K10" i="7"/>
  <c r="K12" i="7"/>
  <c r="K4" i="7"/>
  <c r="K6" i="7"/>
  <c r="E69" i="7"/>
  <c r="D184" i="7"/>
  <c r="U189" i="7"/>
  <c r="U184" i="7"/>
  <c r="J10" i="7"/>
  <c r="J4" i="7"/>
  <c r="J5" i="7"/>
  <c r="E129" i="7"/>
  <c r="E184" i="7"/>
  <c r="E189" i="7"/>
  <c r="U69" i="7"/>
  <c r="K19" i="7"/>
  <c r="E19" i="7"/>
  <c r="E10" i="7"/>
  <c r="U10" i="7"/>
  <c r="J19" i="7"/>
  <c r="U15" i="7"/>
  <c r="E194" i="7"/>
  <c r="U194" i="7"/>
  <c r="J20" i="7"/>
  <c r="K20" i="7"/>
  <c r="E134" i="7"/>
  <c r="U134" i="7"/>
  <c r="U74" i="7"/>
  <c r="E15" i="7"/>
  <c r="D194" i="7"/>
  <c r="E74" i="7"/>
  <c r="J21" i="7"/>
  <c r="K21" i="7"/>
  <c r="U19" i="7"/>
  <c r="K22" i="7"/>
  <c r="J22" i="7"/>
  <c r="E24" i="7"/>
  <c r="U24" i="7"/>
  <c r="K25" i="7"/>
  <c r="J28" i="7"/>
  <c r="J27" i="7"/>
  <c r="K26" i="7"/>
  <c r="J24" i="7"/>
  <c r="U79" i="7"/>
  <c r="E30" i="7"/>
  <c r="U30" i="7"/>
  <c r="U200" i="7"/>
  <c r="D200" i="7"/>
  <c r="K27" i="7"/>
  <c r="J26" i="7"/>
  <c r="K24" i="7"/>
  <c r="K28" i="7"/>
  <c r="J25" i="7"/>
  <c r="E79" i="7"/>
  <c r="E200" i="7"/>
  <c r="K30" i="7"/>
  <c r="E140" i="7"/>
  <c r="E31" i="7"/>
  <c r="U140" i="7"/>
  <c r="U31" i="7"/>
  <c r="K31" i="7"/>
  <c r="U32" i="7"/>
  <c r="U205" i="7"/>
  <c r="E32" i="7"/>
  <c r="D205" i="7"/>
  <c r="E205" i="7"/>
  <c r="K32" i="7"/>
  <c r="E34" i="7"/>
  <c r="U84" i="7"/>
  <c r="E84" i="7"/>
  <c r="U34" i="7"/>
  <c r="E42" i="7"/>
  <c r="J34" i="7"/>
  <c r="U210" i="7"/>
  <c r="U42" i="7"/>
  <c r="K34" i="7"/>
  <c r="E210" i="7"/>
  <c r="D210" i="7"/>
  <c r="Q45" i="7"/>
  <c r="J35" i="7"/>
  <c r="U47" i="7"/>
  <c r="E146" i="7"/>
  <c r="U146" i="7"/>
  <c r="E47" i="7"/>
  <c r="E53" i="7"/>
  <c r="U53" i="7"/>
  <c r="J36" i="7"/>
  <c r="D215" i="7"/>
  <c r="E215" i="7"/>
  <c r="E88" i="7"/>
  <c r="U215" i="7"/>
  <c r="U88" i="7"/>
  <c r="U57" i="7"/>
  <c r="J37" i="7"/>
  <c r="E57" i="7"/>
  <c r="E151" i="7"/>
  <c r="D220" i="7"/>
  <c r="E62" i="7"/>
  <c r="J38" i="7"/>
  <c r="U151" i="7"/>
  <c r="E220" i="7"/>
  <c r="U220" i="7"/>
  <c r="U62" i="7"/>
  <c r="Q91" i="7"/>
  <c r="Q60" i="7"/>
  <c r="J39" i="7"/>
  <c r="E92" i="7"/>
  <c r="U92" i="7"/>
  <c r="U156" i="7"/>
  <c r="E224" i="7"/>
  <c r="K43" i="7"/>
  <c r="J44" i="7"/>
  <c r="J43" i="7"/>
  <c r="E156" i="7"/>
  <c r="U224" i="7"/>
  <c r="D224" i="7"/>
  <c r="K42" i="7"/>
  <c r="J42" i="7"/>
  <c r="K44" i="7"/>
  <c r="K49" i="7"/>
  <c r="J50" i="7"/>
  <c r="K48" i="7"/>
  <c r="J47" i="7"/>
  <c r="K47" i="7"/>
  <c r="J48" i="7"/>
  <c r="K50" i="7"/>
  <c r="J49" i="7"/>
  <c r="D94" i="7"/>
  <c r="Q96" i="7"/>
  <c r="U161" i="7"/>
  <c r="K54" i="7"/>
  <c r="J55" i="7"/>
  <c r="K55" i="7"/>
  <c r="E229" i="7"/>
  <c r="E161" i="7"/>
  <c r="J53" i="7"/>
  <c r="K53" i="7"/>
  <c r="J54" i="7"/>
  <c r="D229" i="7"/>
  <c r="U229" i="7"/>
  <c r="D95" i="7"/>
  <c r="K57" i="7"/>
  <c r="J58" i="7"/>
  <c r="K59" i="7"/>
  <c r="J59" i="7"/>
  <c r="U98" i="7"/>
  <c r="E98" i="7"/>
  <c r="K58" i="7"/>
  <c r="J57" i="7"/>
  <c r="J63" i="7"/>
  <c r="K64" i="7"/>
  <c r="J62" i="7"/>
  <c r="K63" i="7"/>
  <c r="K62" i="7"/>
  <c r="J64" i="7"/>
  <c r="Q233" i="7"/>
  <c r="U234" i="7"/>
  <c r="E166" i="7"/>
  <c r="U166" i="7"/>
  <c r="D234" i="7"/>
  <c r="E234" i="7"/>
  <c r="K69" i="7"/>
  <c r="J69" i="7"/>
  <c r="K70" i="7"/>
  <c r="U102" i="7"/>
  <c r="J70" i="7"/>
  <c r="E102" i="7"/>
  <c r="E238" i="7"/>
  <c r="D238" i="7"/>
  <c r="U171" i="7"/>
  <c r="U238" i="7"/>
  <c r="E171" i="7"/>
  <c r="K71" i="7"/>
  <c r="J71" i="7"/>
  <c r="Q105" i="7"/>
  <c r="C240" i="7"/>
  <c r="Q237" i="7"/>
  <c r="K74" i="7"/>
  <c r="J74" i="7"/>
  <c r="D104" i="7"/>
  <c r="Q241" i="7"/>
  <c r="K75" i="7"/>
  <c r="E107" i="7"/>
  <c r="U107" i="7"/>
  <c r="U243" i="7"/>
  <c r="E175" i="7"/>
  <c r="D175" i="7"/>
  <c r="J75" i="7"/>
  <c r="E243" i="7"/>
  <c r="D243" i="7"/>
  <c r="U175" i="7"/>
  <c r="J76" i="7"/>
  <c r="K76" i="7"/>
  <c r="Q110" i="7"/>
  <c r="D247" i="7"/>
  <c r="U247" i="7"/>
  <c r="U177" i="7"/>
  <c r="E111" i="7"/>
  <c r="U111" i="7"/>
  <c r="E247" i="7"/>
  <c r="K79" i="7"/>
  <c r="E177" i="7"/>
  <c r="J79" i="7"/>
  <c r="J80" i="7"/>
  <c r="K80" i="7"/>
  <c r="J81" i="7"/>
  <c r="K81" i="7"/>
  <c r="U116" i="7"/>
  <c r="E116" i="7"/>
  <c r="Q251" i="7"/>
  <c r="Q114" i="7"/>
  <c r="E253" i="7"/>
  <c r="J84" i="7"/>
  <c r="D253" i="7"/>
  <c r="U253" i="7"/>
  <c r="K84" i="7"/>
  <c r="K85" i="7"/>
  <c r="J85" i="7"/>
  <c r="J86" i="7"/>
  <c r="K86" i="7"/>
  <c r="E121" i="7"/>
  <c r="U121" i="7"/>
  <c r="K88" i="7"/>
  <c r="J88" i="7"/>
  <c r="J89" i="7"/>
  <c r="E261" i="7"/>
  <c r="U261" i="7"/>
  <c r="K89" i="7"/>
  <c r="D261" i="7"/>
  <c r="K90" i="7"/>
  <c r="J90" i="7"/>
  <c r="Q264" i="7"/>
  <c r="K92" i="7"/>
  <c r="U266" i="7"/>
  <c r="D266" i="7"/>
  <c r="J92" i="7"/>
  <c r="E266" i="7"/>
  <c r="K93" i="7"/>
  <c r="J93" i="7"/>
  <c r="Q269" i="7"/>
  <c r="D270" i="7"/>
  <c r="U270" i="7"/>
  <c r="K94" i="7"/>
  <c r="E270" i="7"/>
  <c r="J94" i="7"/>
  <c r="K95" i="7"/>
  <c r="J95" i="7"/>
  <c r="J98" i="7"/>
  <c r="K98" i="7"/>
  <c r="K99" i="7"/>
  <c r="J99" i="7"/>
  <c r="Q275" i="7"/>
  <c r="K100" i="7"/>
  <c r="J100" i="7"/>
  <c r="L275" i="7"/>
  <c r="K102" i="7"/>
  <c r="J102" i="7"/>
  <c r="J103" i="7"/>
  <c r="K103" i="7"/>
  <c r="K104" i="7"/>
  <c r="J104" i="7"/>
  <c r="K107" i="7"/>
  <c r="J107" i="7"/>
  <c r="K108" i="7"/>
  <c r="J108" i="7"/>
  <c r="K109" i="7"/>
  <c r="J109" i="7"/>
  <c r="K111" i="7"/>
  <c r="J111" i="7"/>
  <c r="K112" i="7"/>
  <c r="J112" i="7"/>
  <c r="J113" i="7"/>
  <c r="K113" i="7"/>
  <c r="K116" i="7"/>
  <c r="J116" i="7"/>
  <c r="K117" i="7"/>
  <c r="J117" i="7"/>
  <c r="K118" i="7"/>
  <c r="J118" i="7"/>
  <c r="B122" i="7"/>
  <c r="K121" i="7"/>
  <c r="J121" i="7"/>
  <c r="B123" i="7"/>
  <c r="J124" i="7"/>
  <c r="K122" i="7"/>
  <c r="J122" i="7"/>
  <c r="K124" i="7"/>
  <c r="K123" i="7"/>
  <c r="J129" i="7"/>
  <c r="J123" i="7"/>
  <c r="K129" i="7"/>
  <c r="J130" i="7"/>
  <c r="K130" i="7"/>
  <c r="K131" i="7"/>
  <c r="J131" i="7"/>
  <c r="J134" i="7"/>
  <c r="K134" i="7"/>
  <c r="K135" i="7"/>
  <c r="J135" i="7"/>
  <c r="K136" i="7"/>
  <c r="J136" i="7"/>
  <c r="K137" i="7"/>
  <c r="J137" i="7"/>
  <c r="J140" i="7"/>
  <c r="K140" i="7"/>
  <c r="J141" i="7"/>
  <c r="K141" i="7"/>
  <c r="J142" i="7"/>
  <c r="K142" i="7"/>
  <c r="K143" i="7"/>
  <c r="J143" i="7"/>
  <c r="J146" i="7"/>
  <c r="K146" i="7"/>
  <c r="J147" i="7"/>
  <c r="K147" i="7"/>
  <c r="J148" i="7"/>
  <c r="K148" i="7"/>
  <c r="K151" i="7"/>
  <c r="J151" i="7"/>
  <c r="B153" i="7"/>
  <c r="K152" i="7"/>
  <c r="J152" i="7"/>
  <c r="K156" i="7"/>
  <c r="K153" i="7"/>
  <c r="J156" i="7"/>
  <c r="J153" i="7"/>
  <c r="B158" i="7"/>
  <c r="K157" i="7"/>
  <c r="J157" i="7"/>
  <c r="J158" i="7"/>
  <c r="J161" i="7"/>
  <c r="K158" i="7"/>
  <c r="K161" i="7"/>
  <c r="J162" i="7"/>
  <c r="K162" i="7"/>
  <c r="J163" i="7"/>
  <c r="K163" i="7"/>
  <c r="K166" i="7"/>
  <c r="J166" i="7"/>
  <c r="B168" i="7"/>
  <c r="J167" i="7"/>
  <c r="K167" i="7"/>
  <c r="B172" i="7"/>
  <c r="K168" i="7"/>
  <c r="J171" i="7"/>
  <c r="J168" i="7"/>
  <c r="K171" i="7"/>
  <c r="J172" i="7"/>
  <c r="J224" i="7"/>
  <c r="J173" i="7"/>
  <c r="K173" i="7"/>
  <c r="K172" i="7"/>
  <c r="J175" i="7"/>
  <c r="K175" i="7"/>
  <c r="K176" i="7"/>
  <c r="J176" i="7"/>
  <c r="K177" i="7"/>
  <c r="J177" i="7"/>
  <c r="K178" i="7"/>
  <c r="J178" i="7"/>
  <c r="K179" i="7"/>
  <c r="J179" i="7"/>
  <c r="K180" i="7"/>
  <c r="J180" i="7"/>
  <c r="B185" i="7"/>
  <c r="J184" i="7"/>
  <c r="K184" i="7"/>
  <c r="J185" i="7"/>
  <c r="K185" i="7"/>
  <c r="K186" i="7"/>
  <c r="J186" i="7"/>
  <c r="B190" i="7"/>
  <c r="J189" i="7"/>
  <c r="K189" i="7"/>
  <c r="J190" i="7"/>
  <c r="K191" i="7"/>
  <c r="K190" i="7"/>
  <c r="J191" i="7"/>
  <c r="B196" i="7"/>
  <c r="K194" i="7"/>
  <c r="J194" i="7"/>
  <c r="K196" i="7"/>
  <c r="J196" i="7"/>
  <c r="J195" i="7"/>
  <c r="K195" i="7"/>
  <c r="K197" i="7"/>
  <c r="J197" i="7"/>
  <c r="B201" i="7"/>
  <c r="J200" i="7"/>
  <c r="K200" i="7"/>
  <c r="K202" i="7"/>
  <c r="K201" i="7"/>
  <c r="J202" i="7"/>
  <c r="J201" i="7"/>
  <c r="B206" i="7"/>
  <c r="J205" i="7"/>
  <c r="K205" i="7"/>
  <c r="J206" i="7"/>
  <c r="K207" i="7"/>
  <c r="K206" i="7"/>
  <c r="J207" i="7"/>
  <c r="B211" i="7"/>
  <c r="K210" i="7"/>
  <c r="J210" i="7"/>
  <c r="J211" i="7"/>
  <c r="J212" i="7"/>
  <c r="K211" i="7"/>
  <c r="K212" i="7"/>
  <c r="B216" i="7"/>
  <c r="K215" i="7"/>
  <c r="J215" i="7"/>
  <c r="K217" i="7"/>
  <c r="J216" i="7"/>
  <c r="J217" i="7"/>
  <c r="K216" i="7"/>
  <c r="B221" i="7"/>
  <c r="K220" i="7"/>
  <c r="J220" i="7"/>
  <c r="K222" i="7"/>
  <c r="K221" i="7"/>
  <c r="J222" i="7"/>
  <c r="J221" i="7"/>
  <c r="B225" i="7"/>
  <c r="K224" i="7"/>
  <c r="J226" i="7"/>
  <c r="K225" i="7"/>
  <c r="K226" i="7"/>
  <c r="J225" i="7"/>
  <c r="K229" i="7"/>
  <c r="J229" i="7"/>
  <c r="B232" i="7"/>
  <c r="K230" i="7"/>
  <c r="J230" i="7"/>
  <c r="K231" i="7"/>
  <c r="J232" i="7"/>
  <c r="J231" i="7"/>
  <c r="K232" i="7"/>
  <c r="K234" i="7"/>
  <c r="J234" i="7"/>
  <c r="B236" i="7"/>
  <c r="J235" i="7"/>
  <c r="K235" i="7"/>
  <c r="J236" i="7"/>
  <c r="K238" i="7"/>
  <c r="K236" i="7"/>
  <c r="J238" i="7"/>
  <c r="B240" i="7"/>
  <c r="J239" i="7"/>
  <c r="K239" i="7"/>
  <c r="B244" i="7"/>
  <c r="B245" i="7"/>
  <c r="J240" i="7"/>
  <c r="J243" i="7"/>
  <c r="K240" i="7"/>
  <c r="B247" i="7"/>
  <c r="J245" i="7"/>
  <c r="K245" i="7"/>
  <c r="K244" i="7"/>
  <c r="J244" i="7"/>
  <c r="B248" i="7"/>
  <c r="K247" i="7"/>
  <c r="J247" i="7"/>
  <c r="B250" i="7"/>
  <c r="B249" i="7"/>
  <c r="K248" i="7"/>
  <c r="J248" i="7"/>
  <c r="B253" i="7"/>
  <c r="J249" i="7"/>
  <c r="J250" i="7"/>
  <c r="K249" i="7"/>
  <c r="K250" i="7"/>
  <c r="B256" i="7"/>
  <c r="B257" i="7"/>
  <c r="B254" i="7"/>
  <c r="J253" i="7"/>
  <c r="K253" i="7"/>
  <c r="B258" i="7"/>
  <c r="B255" i="7"/>
  <c r="K256" i="7"/>
  <c r="J254" i="7"/>
  <c r="K257" i="7"/>
  <c r="J256" i="7"/>
  <c r="K254" i="7"/>
  <c r="J257" i="7"/>
  <c r="B261" i="7"/>
  <c r="J258" i="7"/>
  <c r="K255" i="7"/>
  <c r="K258" i="7"/>
  <c r="J255" i="7"/>
  <c r="B263" i="7"/>
  <c r="B262" i="7"/>
  <c r="K261" i="7"/>
  <c r="J261" i="7"/>
  <c r="B266" i="7"/>
  <c r="J262" i="7"/>
  <c r="K262" i="7"/>
  <c r="K263" i="7"/>
  <c r="J263" i="7"/>
  <c r="B267" i="7"/>
  <c r="B268" i="7"/>
  <c r="J266" i="7"/>
  <c r="K266" i="7"/>
  <c r="B270" i="7"/>
  <c r="J267" i="7"/>
  <c r="K268" i="7"/>
  <c r="K267" i="7"/>
  <c r="J268" i="7"/>
  <c r="B273" i="7"/>
  <c r="B271" i="7"/>
  <c r="J270" i="7"/>
  <c r="K270" i="7"/>
  <c r="B272" i="7"/>
  <c r="B274" i="7"/>
  <c r="J271" i="7"/>
  <c r="J273" i="7"/>
  <c r="K271" i="7"/>
  <c r="K273" i="7"/>
  <c r="J272" i="7"/>
  <c r="K274" i="7"/>
  <c r="K272" i="7"/>
  <c r="J274" i="7"/>
  <c r="M98" i="3"/>
  <c r="M99" i="3"/>
  <c r="M100" i="3"/>
  <c r="M101" i="3"/>
  <c r="M102" i="3"/>
  <c r="B22" i="3"/>
  <c r="P29" i="3"/>
  <c r="B21" i="3"/>
  <c r="M29" i="3"/>
  <c r="B20" i="3"/>
  <c r="J29" i="3"/>
  <c r="B19" i="3"/>
  <c r="G29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A155" i="3"/>
  <c r="N229" i="3"/>
  <c r="N236" i="3"/>
  <c r="H541" i="3"/>
  <c r="B541" i="3"/>
  <c r="H540" i="3"/>
  <c r="B540" i="3"/>
  <c r="H539" i="3"/>
  <c r="B539" i="3"/>
  <c r="H538" i="3"/>
  <c r="B538" i="3"/>
  <c r="H534" i="3"/>
  <c r="B534" i="3"/>
  <c r="H533" i="3"/>
  <c r="B533" i="3"/>
  <c r="H532" i="3"/>
  <c r="B532" i="3"/>
  <c r="H531" i="3"/>
  <c r="B531" i="3"/>
  <c r="H527" i="3"/>
  <c r="B527" i="3"/>
  <c r="H526" i="3"/>
  <c r="B526" i="3"/>
  <c r="H525" i="3"/>
  <c r="B525" i="3"/>
  <c r="H524" i="3"/>
  <c r="B524" i="3"/>
  <c r="H520" i="3"/>
  <c r="B520" i="3"/>
  <c r="H519" i="3"/>
  <c r="B519" i="3"/>
  <c r="H518" i="3"/>
  <c r="B518" i="3"/>
  <c r="H517" i="3"/>
  <c r="B517" i="3"/>
  <c r="H513" i="3"/>
  <c r="B513" i="3"/>
  <c r="H512" i="3"/>
  <c r="B512" i="3"/>
  <c r="H511" i="3"/>
  <c r="B511" i="3"/>
  <c r="H510" i="3"/>
  <c r="B510" i="3"/>
  <c r="H506" i="3"/>
  <c r="B506" i="3"/>
  <c r="H505" i="3"/>
  <c r="B505" i="3"/>
  <c r="H504" i="3"/>
  <c r="B504" i="3"/>
  <c r="H503" i="3"/>
  <c r="B503" i="3"/>
  <c r="H499" i="3"/>
  <c r="B499" i="3"/>
  <c r="H498" i="3"/>
  <c r="B498" i="3"/>
  <c r="H497" i="3"/>
  <c r="B497" i="3"/>
  <c r="H496" i="3"/>
  <c r="B496" i="3"/>
  <c r="H492" i="3"/>
  <c r="B492" i="3"/>
  <c r="H491" i="3"/>
  <c r="B491" i="3"/>
  <c r="H490" i="3"/>
  <c r="B490" i="3"/>
  <c r="H489" i="3"/>
  <c r="B489" i="3"/>
  <c r="H485" i="3"/>
  <c r="B485" i="3"/>
  <c r="H484" i="3"/>
  <c r="B484" i="3"/>
  <c r="H483" i="3"/>
  <c r="B483" i="3"/>
  <c r="H482" i="3"/>
  <c r="B482" i="3"/>
  <c r="H478" i="3"/>
  <c r="B478" i="3"/>
  <c r="H477" i="3"/>
  <c r="B477" i="3"/>
  <c r="H476" i="3"/>
  <c r="B476" i="3"/>
  <c r="H475" i="3"/>
  <c r="B475" i="3"/>
  <c r="H471" i="3"/>
  <c r="B471" i="3"/>
  <c r="H470" i="3"/>
  <c r="B470" i="3"/>
  <c r="H469" i="3"/>
  <c r="B469" i="3"/>
  <c r="H468" i="3"/>
  <c r="B468" i="3"/>
  <c r="H464" i="3"/>
  <c r="B464" i="3"/>
  <c r="H463" i="3"/>
  <c r="B463" i="3"/>
  <c r="H462" i="3"/>
  <c r="B462" i="3"/>
  <c r="H461" i="3"/>
  <c r="B461" i="3"/>
  <c r="H457" i="3"/>
  <c r="B457" i="3"/>
  <c r="H456" i="3"/>
  <c r="B456" i="3"/>
  <c r="H455" i="3"/>
  <c r="B455" i="3"/>
  <c r="H454" i="3"/>
  <c r="B454" i="3"/>
  <c r="H450" i="3"/>
  <c r="B450" i="3"/>
  <c r="H449" i="3"/>
  <c r="B449" i="3"/>
  <c r="H448" i="3"/>
  <c r="B448" i="3"/>
  <c r="H447" i="3"/>
  <c r="B447" i="3"/>
  <c r="H443" i="3"/>
  <c r="B443" i="3"/>
  <c r="H442" i="3"/>
  <c r="B442" i="3"/>
  <c r="H441" i="3"/>
  <c r="B441" i="3"/>
  <c r="H440" i="3"/>
  <c r="B440" i="3"/>
  <c r="H436" i="3"/>
  <c r="B436" i="3"/>
  <c r="H435" i="3"/>
  <c r="B435" i="3"/>
  <c r="H434" i="3"/>
  <c r="B434" i="3"/>
  <c r="H433" i="3"/>
  <c r="B433" i="3"/>
  <c r="H429" i="3"/>
  <c r="B429" i="3"/>
  <c r="H428" i="3"/>
  <c r="B428" i="3"/>
  <c r="H427" i="3"/>
  <c r="B427" i="3"/>
  <c r="H426" i="3"/>
  <c r="B426" i="3"/>
  <c r="H422" i="3"/>
  <c r="B422" i="3"/>
  <c r="H421" i="3"/>
  <c r="B421" i="3"/>
  <c r="H420" i="3"/>
  <c r="B420" i="3"/>
  <c r="H419" i="3"/>
  <c r="B419" i="3"/>
  <c r="H415" i="3"/>
  <c r="B415" i="3"/>
  <c r="H414" i="3"/>
  <c r="B414" i="3"/>
  <c r="H413" i="3"/>
  <c r="B413" i="3"/>
  <c r="H412" i="3"/>
  <c r="B412" i="3"/>
  <c r="H408" i="3"/>
  <c r="B408" i="3"/>
  <c r="H407" i="3"/>
  <c r="B407" i="3"/>
  <c r="H406" i="3"/>
  <c r="B406" i="3"/>
  <c r="H405" i="3"/>
  <c r="B405" i="3"/>
  <c r="H401" i="3"/>
  <c r="B401" i="3"/>
  <c r="H400" i="3"/>
  <c r="B400" i="3"/>
  <c r="H399" i="3"/>
  <c r="B399" i="3"/>
  <c r="H398" i="3"/>
  <c r="B398" i="3"/>
  <c r="H394" i="3"/>
  <c r="B394" i="3"/>
  <c r="H393" i="3"/>
  <c r="B393" i="3"/>
  <c r="H392" i="3"/>
  <c r="B392" i="3"/>
  <c r="H391" i="3"/>
  <c r="B391" i="3"/>
  <c r="H387" i="3"/>
  <c r="B387" i="3"/>
  <c r="H386" i="3"/>
  <c r="B386" i="3"/>
  <c r="H385" i="3"/>
  <c r="B385" i="3"/>
  <c r="H384" i="3"/>
  <c r="B384" i="3"/>
  <c r="H380" i="3"/>
  <c r="B380" i="3"/>
  <c r="H379" i="3"/>
  <c r="B379" i="3"/>
  <c r="H378" i="3"/>
  <c r="B378" i="3"/>
  <c r="H377" i="3"/>
  <c r="B377" i="3"/>
  <c r="H373" i="3"/>
  <c r="B373" i="3"/>
  <c r="H372" i="3"/>
  <c r="B372" i="3"/>
  <c r="H371" i="3"/>
  <c r="B371" i="3"/>
  <c r="H370" i="3"/>
  <c r="B370" i="3"/>
  <c r="H366" i="3"/>
  <c r="B366" i="3"/>
  <c r="H365" i="3"/>
  <c r="B365" i="3"/>
  <c r="H364" i="3"/>
  <c r="B364" i="3"/>
  <c r="H363" i="3"/>
  <c r="B363" i="3"/>
  <c r="H359" i="3"/>
  <c r="B359" i="3"/>
  <c r="H358" i="3"/>
  <c r="B358" i="3"/>
  <c r="H357" i="3"/>
  <c r="B357" i="3"/>
  <c r="H356" i="3"/>
  <c r="B356" i="3"/>
  <c r="H352" i="3"/>
  <c r="B352" i="3"/>
  <c r="H351" i="3"/>
  <c r="B351" i="3"/>
  <c r="H350" i="3"/>
  <c r="B350" i="3"/>
  <c r="H349" i="3"/>
  <c r="B349" i="3"/>
  <c r="H345" i="3"/>
  <c r="B345" i="3"/>
  <c r="H344" i="3"/>
  <c r="B344" i="3"/>
  <c r="H343" i="3"/>
  <c r="B343" i="3"/>
  <c r="H342" i="3"/>
  <c r="B342" i="3"/>
  <c r="H338" i="3"/>
  <c r="B338" i="3"/>
  <c r="H337" i="3"/>
  <c r="B337" i="3"/>
  <c r="H336" i="3"/>
  <c r="B336" i="3"/>
  <c r="H335" i="3"/>
  <c r="B335" i="3"/>
  <c r="H331" i="3"/>
  <c r="B331" i="3"/>
  <c r="H330" i="3"/>
  <c r="B330" i="3"/>
  <c r="H329" i="3"/>
  <c r="B329" i="3"/>
  <c r="H328" i="3"/>
  <c r="B328" i="3"/>
  <c r="H324" i="3"/>
  <c r="B324" i="3"/>
  <c r="H323" i="3"/>
  <c r="B323" i="3"/>
  <c r="H322" i="3"/>
  <c r="B322" i="3"/>
  <c r="H321" i="3"/>
  <c r="B321" i="3"/>
  <c r="H317" i="3"/>
  <c r="B317" i="3"/>
  <c r="H316" i="3"/>
  <c r="B316" i="3"/>
  <c r="H315" i="3"/>
  <c r="B315" i="3"/>
  <c r="H314" i="3"/>
  <c r="B314" i="3"/>
  <c r="H310" i="3"/>
  <c r="B310" i="3"/>
  <c r="H309" i="3"/>
  <c r="B309" i="3"/>
  <c r="H308" i="3"/>
  <c r="B308" i="3"/>
  <c r="H307" i="3"/>
  <c r="B307" i="3"/>
  <c r="H303" i="3"/>
  <c r="B303" i="3"/>
  <c r="H302" i="3"/>
  <c r="B302" i="3"/>
  <c r="H301" i="3"/>
  <c r="B301" i="3"/>
  <c r="H300" i="3"/>
  <c r="B300" i="3"/>
  <c r="H296" i="3"/>
  <c r="B296" i="3"/>
  <c r="H295" i="3"/>
  <c r="B295" i="3"/>
  <c r="H294" i="3"/>
  <c r="B294" i="3"/>
  <c r="H293" i="3"/>
  <c r="B293" i="3"/>
  <c r="H289" i="3"/>
  <c r="B289" i="3"/>
  <c r="H288" i="3"/>
  <c r="B288" i="3"/>
  <c r="H287" i="3"/>
  <c r="B287" i="3"/>
  <c r="H286" i="3"/>
  <c r="B286" i="3"/>
  <c r="H282" i="3"/>
  <c r="B282" i="3"/>
  <c r="H281" i="3"/>
  <c r="B281" i="3"/>
  <c r="H280" i="3"/>
  <c r="B280" i="3"/>
  <c r="H279" i="3"/>
  <c r="B279" i="3"/>
  <c r="H275" i="3"/>
  <c r="B275" i="3"/>
  <c r="H274" i="3"/>
  <c r="B274" i="3"/>
  <c r="H273" i="3"/>
  <c r="B273" i="3"/>
  <c r="H272" i="3"/>
  <c r="B272" i="3"/>
  <c r="H268" i="3"/>
  <c r="B268" i="3"/>
  <c r="H267" i="3"/>
  <c r="B267" i="3"/>
  <c r="H266" i="3"/>
  <c r="B266" i="3"/>
  <c r="H265" i="3"/>
  <c r="B265" i="3"/>
  <c r="H261" i="3"/>
  <c r="B261" i="3"/>
  <c r="H260" i="3"/>
  <c r="B260" i="3"/>
  <c r="H259" i="3"/>
  <c r="B259" i="3"/>
  <c r="H258" i="3"/>
  <c r="B258" i="3"/>
  <c r="H254" i="3"/>
  <c r="B254" i="3"/>
  <c r="H253" i="3"/>
  <c r="B253" i="3"/>
  <c r="H252" i="3"/>
  <c r="B252" i="3"/>
  <c r="H251" i="3"/>
  <c r="B251" i="3"/>
  <c r="H247" i="3"/>
  <c r="B247" i="3"/>
  <c r="H246" i="3"/>
  <c r="B246" i="3"/>
  <c r="H245" i="3"/>
  <c r="B245" i="3"/>
  <c r="H244" i="3"/>
  <c r="B244" i="3"/>
  <c r="H240" i="3"/>
  <c r="B240" i="3"/>
  <c r="H239" i="3"/>
  <c r="B239" i="3"/>
  <c r="H238" i="3"/>
  <c r="B238" i="3"/>
  <c r="H237" i="3"/>
  <c r="B237" i="3"/>
  <c r="H233" i="3"/>
  <c r="B233" i="3"/>
  <c r="H232" i="3"/>
  <c r="B232" i="3"/>
  <c r="H231" i="3"/>
  <c r="B231" i="3"/>
  <c r="H230" i="3"/>
  <c r="B230" i="3"/>
  <c r="H226" i="3"/>
  <c r="H225" i="3"/>
  <c r="H224" i="3"/>
  <c r="H223" i="3"/>
  <c r="B226" i="3"/>
  <c r="B225" i="3"/>
  <c r="B224" i="3"/>
  <c r="B223" i="3"/>
  <c r="A22" i="3"/>
  <c r="A21" i="3"/>
  <c r="A20" i="3"/>
  <c r="A19" i="3"/>
  <c r="AN80" i="3"/>
  <c r="I232" i="3"/>
  <c r="I230" i="3"/>
  <c r="J232" i="3"/>
  <c r="J230" i="3"/>
  <c r="K230" i="3"/>
  <c r="K223" i="3"/>
  <c r="I233" i="3"/>
  <c r="J233" i="3"/>
  <c r="K233" i="3"/>
  <c r="K240" i="3"/>
  <c r="I226" i="3"/>
  <c r="I225" i="3"/>
  <c r="J226" i="3"/>
  <c r="J223" i="3"/>
  <c r="J225" i="3"/>
  <c r="K225" i="3"/>
  <c r="K239" i="3"/>
  <c r="K232" i="3"/>
  <c r="K226" i="3"/>
  <c r="I223" i="3"/>
  <c r="D226" i="3"/>
  <c r="D232" i="3"/>
  <c r="D225" i="3"/>
  <c r="C225" i="3"/>
  <c r="C223" i="3"/>
  <c r="C226" i="3"/>
  <c r="D233" i="3"/>
  <c r="C233" i="3"/>
  <c r="D223" i="3"/>
  <c r="D230" i="3"/>
  <c r="C230" i="3"/>
  <c r="C232" i="3"/>
  <c r="D83" i="3"/>
  <c r="C83" i="3"/>
  <c r="AN82" i="3"/>
  <c r="N243" i="3"/>
  <c r="AN81" i="3"/>
  <c r="AN83" i="3"/>
  <c r="J239" i="3"/>
  <c r="J240" i="3"/>
  <c r="I237" i="3"/>
  <c r="J237" i="3"/>
  <c r="I240" i="3"/>
  <c r="K237" i="3"/>
  <c r="I239" i="3"/>
  <c r="D237" i="3"/>
  <c r="E83" i="3"/>
  <c r="C237" i="3"/>
  <c r="C240" i="3"/>
  <c r="D240" i="3"/>
  <c r="C239" i="3"/>
  <c r="D239" i="3"/>
  <c r="A142" i="3"/>
  <c r="A104" i="3"/>
  <c r="A113" i="3"/>
  <c r="A99" i="3"/>
  <c r="N250" i="3"/>
  <c r="A139" i="3"/>
  <c r="A130" i="3"/>
  <c r="A110" i="3"/>
  <c r="A133" i="3"/>
  <c r="A134" i="3"/>
  <c r="A117" i="3"/>
  <c r="A98" i="3"/>
  <c r="A137" i="3"/>
  <c r="A115" i="3"/>
  <c r="A129" i="3"/>
  <c r="A124" i="3"/>
  <c r="A127" i="3"/>
  <c r="A100" i="3"/>
  <c r="A135" i="3"/>
  <c r="A102" i="3"/>
  <c r="A122" i="3"/>
  <c r="A105" i="3"/>
  <c r="A101" i="3"/>
  <c r="A106" i="3"/>
  <c r="A108" i="3"/>
  <c r="A109" i="3"/>
  <c r="A125" i="3"/>
  <c r="A103" i="3"/>
  <c r="A143" i="3"/>
  <c r="A116" i="3"/>
  <c r="A120" i="3"/>
  <c r="A118" i="3"/>
  <c r="A121" i="3"/>
  <c r="A107" i="3"/>
  <c r="A123" i="3"/>
  <c r="A128" i="3"/>
  <c r="A136" i="3"/>
  <c r="A138" i="3"/>
  <c r="A141" i="3"/>
  <c r="A140" i="3"/>
  <c r="A126" i="3"/>
  <c r="A112" i="3"/>
  <c r="A111" i="3"/>
  <c r="A119" i="3"/>
  <c r="A132" i="3"/>
  <c r="A131" i="3"/>
  <c r="A114" i="3"/>
  <c r="I244" i="3"/>
  <c r="I247" i="3"/>
  <c r="J244" i="3"/>
  <c r="J247" i="3"/>
  <c r="J246" i="3"/>
  <c r="K246" i="3"/>
  <c r="I246" i="3"/>
  <c r="A244" i="3"/>
  <c r="K244" i="3"/>
  <c r="K247" i="3"/>
  <c r="A230" i="3"/>
  <c r="A223" i="3"/>
  <c r="A237" i="3"/>
  <c r="D247" i="3"/>
  <c r="D244" i="3"/>
  <c r="F83" i="3"/>
  <c r="D246" i="3"/>
  <c r="C246" i="3"/>
  <c r="C247" i="3"/>
  <c r="C244" i="3"/>
  <c r="N257" i="3"/>
  <c r="V24" i="3"/>
  <c r="J251" i="3"/>
  <c r="K251" i="3"/>
  <c r="J253" i="3"/>
  <c r="J254" i="3"/>
  <c r="I251" i="3"/>
  <c r="K254" i="3"/>
  <c r="I253" i="3"/>
  <c r="I254" i="3"/>
  <c r="A251" i="3"/>
  <c r="K253" i="3"/>
  <c r="D253" i="3"/>
  <c r="G83" i="3"/>
  <c r="D254" i="3"/>
  <c r="C254" i="3"/>
  <c r="C253" i="3"/>
  <c r="D251" i="3"/>
  <c r="C251" i="3"/>
  <c r="N264" i="3"/>
  <c r="X24" i="3"/>
  <c r="AA24" i="3"/>
  <c r="Z24" i="3"/>
  <c r="Y24" i="3"/>
  <c r="W24" i="3"/>
  <c r="J261" i="3"/>
  <c r="J260" i="3"/>
  <c r="I260" i="3"/>
  <c r="I259" i="3"/>
  <c r="J259" i="3"/>
  <c r="K260" i="3"/>
  <c r="K261" i="3"/>
  <c r="I261" i="3"/>
  <c r="I258" i="3"/>
  <c r="A258" i="3"/>
  <c r="J258" i="3"/>
  <c r="K258" i="3"/>
  <c r="K259" i="3"/>
  <c r="H83" i="3"/>
  <c r="D259" i="3"/>
  <c r="D258" i="3"/>
  <c r="C258" i="3"/>
  <c r="D261" i="3"/>
  <c r="D260" i="3"/>
  <c r="C259" i="3"/>
  <c r="C260" i="3"/>
  <c r="C261" i="3"/>
  <c r="N271" i="3"/>
  <c r="J265" i="3"/>
  <c r="A265" i="3"/>
  <c r="I268" i="3"/>
  <c r="J266" i="3"/>
  <c r="J267" i="3"/>
  <c r="K267" i="3"/>
  <c r="J268" i="3"/>
  <c r="I265" i="3"/>
  <c r="K266" i="3"/>
  <c r="I266" i="3"/>
  <c r="I267" i="3"/>
  <c r="K265" i="3"/>
  <c r="K268" i="3"/>
  <c r="D268" i="3"/>
  <c r="D265" i="3"/>
  <c r="D266" i="3"/>
  <c r="C268" i="3"/>
  <c r="D267" i="3"/>
  <c r="C267" i="3"/>
  <c r="C266" i="3"/>
  <c r="C265" i="3"/>
  <c r="I83" i="3"/>
  <c r="N278" i="3"/>
  <c r="I275" i="3"/>
  <c r="I274" i="3"/>
  <c r="I272" i="3"/>
  <c r="I273" i="3"/>
  <c r="J273" i="3"/>
  <c r="K274" i="3"/>
  <c r="J275" i="3"/>
  <c r="J274" i="3"/>
  <c r="K272" i="3"/>
  <c r="A272" i="3"/>
  <c r="J272" i="3"/>
  <c r="K273" i="3"/>
  <c r="K275" i="3"/>
  <c r="D275" i="3"/>
  <c r="D273" i="3"/>
  <c r="C272" i="3"/>
  <c r="D272" i="3"/>
  <c r="C274" i="3"/>
  <c r="C275" i="3"/>
  <c r="J83" i="3"/>
  <c r="D274" i="3"/>
  <c r="C273" i="3"/>
  <c r="N285" i="3"/>
  <c r="I280" i="3"/>
  <c r="I282" i="3"/>
  <c r="K279" i="3"/>
  <c r="J279" i="3"/>
  <c r="J280" i="3"/>
  <c r="J281" i="3"/>
  <c r="J282" i="3"/>
  <c r="I279" i="3"/>
  <c r="K281" i="3"/>
  <c r="K282" i="3"/>
  <c r="I281" i="3"/>
  <c r="A279" i="3"/>
  <c r="K280" i="3"/>
  <c r="D280" i="3"/>
  <c r="D282" i="3"/>
  <c r="D281" i="3"/>
  <c r="C282" i="3"/>
  <c r="C281" i="3"/>
  <c r="C280" i="3"/>
  <c r="C279" i="3"/>
  <c r="K83" i="3"/>
  <c r="D279" i="3"/>
  <c r="N292" i="3"/>
  <c r="J289" i="3"/>
  <c r="I287" i="3"/>
  <c r="K287" i="3"/>
  <c r="I286" i="3"/>
  <c r="I289" i="3"/>
  <c r="K286" i="3"/>
  <c r="K288" i="3"/>
  <c r="I288" i="3"/>
  <c r="A286" i="3"/>
  <c r="J286" i="3"/>
  <c r="J287" i="3"/>
  <c r="J288" i="3"/>
  <c r="K289" i="3"/>
  <c r="L83" i="3"/>
  <c r="D289" i="3"/>
  <c r="C288" i="3"/>
  <c r="C287" i="3"/>
  <c r="C286" i="3"/>
  <c r="D288" i="3"/>
  <c r="D286" i="3"/>
  <c r="D287" i="3"/>
  <c r="C289" i="3"/>
  <c r="N299" i="3"/>
  <c r="J293" i="3"/>
  <c r="J294" i="3"/>
  <c r="J295" i="3"/>
  <c r="J296" i="3"/>
  <c r="I293" i="3"/>
  <c r="K294" i="3"/>
  <c r="K295" i="3"/>
  <c r="I294" i="3"/>
  <c r="I295" i="3"/>
  <c r="I296" i="3"/>
  <c r="A293" i="3"/>
  <c r="K293" i="3"/>
  <c r="K296" i="3"/>
  <c r="D296" i="3"/>
  <c r="D293" i="3"/>
  <c r="C85" i="3"/>
  <c r="D295" i="3"/>
  <c r="D294" i="3"/>
  <c r="C296" i="3"/>
  <c r="C295" i="3"/>
  <c r="C294" i="3"/>
  <c r="C293" i="3"/>
  <c r="O169" i="3"/>
  <c r="N306" i="3"/>
  <c r="J301" i="3"/>
  <c r="J300" i="3"/>
  <c r="K301" i="3"/>
  <c r="J303" i="3"/>
  <c r="J302" i="3"/>
  <c r="K300" i="3"/>
  <c r="K303" i="3"/>
  <c r="I302" i="3"/>
  <c r="I301" i="3"/>
  <c r="A300" i="3"/>
  <c r="I303" i="3"/>
  <c r="I300" i="3"/>
  <c r="K302" i="3"/>
  <c r="D302" i="3"/>
  <c r="D303" i="3"/>
  <c r="D300" i="3"/>
  <c r="C302" i="3"/>
  <c r="C303" i="3"/>
  <c r="D301" i="3"/>
  <c r="C300" i="3"/>
  <c r="C301" i="3"/>
  <c r="D85" i="3"/>
  <c r="O165" i="3"/>
  <c r="O166" i="3"/>
  <c r="O168" i="3"/>
  <c r="N313" i="3"/>
  <c r="O162" i="3"/>
  <c r="O161" i="3"/>
  <c r="O164" i="3"/>
  <c r="O170" i="3"/>
  <c r="O167" i="3"/>
  <c r="O163" i="3"/>
  <c r="I310" i="3"/>
  <c r="A307" i="3"/>
  <c r="K307" i="3"/>
  <c r="I308" i="3"/>
  <c r="I309" i="3"/>
  <c r="K309" i="3"/>
  <c r="J309" i="3"/>
  <c r="J310" i="3"/>
  <c r="I307" i="3"/>
  <c r="K308" i="3"/>
  <c r="J307" i="3"/>
  <c r="J308" i="3"/>
  <c r="K310" i="3"/>
  <c r="D310" i="3"/>
  <c r="C308" i="3"/>
  <c r="C307" i="3"/>
  <c r="D308" i="3"/>
  <c r="C310" i="3"/>
  <c r="C309" i="3"/>
  <c r="E85" i="3"/>
  <c r="D309" i="3"/>
  <c r="D307" i="3"/>
  <c r="O171" i="3"/>
  <c r="N320" i="3"/>
  <c r="J314" i="3"/>
  <c r="J317" i="3"/>
  <c r="K314" i="3"/>
  <c r="J316" i="3"/>
  <c r="J315" i="3"/>
  <c r="K316" i="3"/>
  <c r="I315" i="3"/>
  <c r="I316" i="3"/>
  <c r="A314" i="3"/>
  <c r="I317" i="3"/>
  <c r="I314" i="3"/>
  <c r="K315" i="3"/>
  <c r="K317" i="3"/>
  <c r="D317" i="3"/>
  <c r="D315" i="3"/>
  <c r="D316" i="3"/>
  <c r="C315" i="3"/>
  <c r="C316" i="3"/>
  <c r="D314" i="3"/>
  <c r="C317" i="3"/>
  <c r="C314" i="3"/>
  <c r="F85" i="3"/>
  <c r="N327" i="3"/>
  <c r="O172" i="3"/>
  <c r="I322" i="3"/>
  <c r="A321" i="3"/>
  <c r="K321" i="3"/>
  <c r="J323" i="3"/>
  <c r="J322" i="3"/>
  <c r="K323" i="3"/>
  <c r="J321" i="3"/>
  <c r="J324" i="3"/>
  <c r="I321" i="3"/>
  <c r="K322" i="3"/>
  <c r="I324" i="3"/>
  <c r="I323" i="3"/>
  <c r="K324" i="3"/>
  <c r="D324" i="3"/>
  <c r="D322" i="3"/>
  <c r="C324" i="3"/>
  <c r="C321" i="3"/>
  <c r="G85" i="3"/>
  <c r="D323" i="3"/>
  <c r="C322" i="3"/>
  <c r="C323" i="3"/>
  <c r="D321" i="3"/>
  <c r="N334" i="3"/>
  <c r="O173" i="3"/>
  <c r="I328" i="3"/>
  <c r="I331" i="3"/>
  <c r="J331" i="3"/>
  <c r="I329" i="3"/>
  <c r="K328" i="3"/>
  <c r="K330" i="3"/>
  <c r="J329" i="3"/>
  <c r="J330" i="3"/>
  <c r="I330" i="3"/>
  <c r="A328" i="3"/>
  <c r="J328" i="3"/>
  <c r="K329" i="3"/>
  <c r="K331" i="3"/>
  <c r="H85" i="3"/>
  <c r="D331" i="3"/>
  <c r="D329" i="3"/>
  <c r="C328" i="3"/>
  <c r="C330" i="3"/>
  <c r="C329" i="3"/>
  <c r="D330" i="3"/>
  <c r="D328" i="3"/>
  <c r="C331" i="3"/>
  <c r="O174" i="3"/>
  <c r="N341" i="3"/>
  <c r="I338" i="3"/>
  <c r="I337" i="3"/>
  <c r="J335" i="3"/>
  <c r="J338" i="3"/>
  <c r="I335" i="3"/>
  <c r="K337" i="3"/>
  <c r="J337" i="3"/>
  <c r="J336" i="3"/>
  <c r="K336" i="3"/>
  <c r="I336" i="3"/>
  <c r="A335" i="3"/>
  <c r="K335" i="3"/>
  <c r="K338" i="3"/>
  <c r="D338" i="3"/>
  <c r="D335" i="3"/>
  <c r="D336" i="3"/>
  <c r="C336" i="3"/>
  <c r="C337" i="3"/>
  <c r="D337" i="3"/>
  <c r="C338" i="3"/>
  <c r="C335" i="3"/>
  <c r="I85" i="3"/>
  <c r="N348" i="3"/>
  <c r="O175" i="3"/>
  <c r="I343" i="3"/>
  <c r="I342" i="3"/>
  <c r="K343" i="3"/>
  <c r="I345" i="3"/>
  <c r="I344" i="3"/>
  <c r="A342" i="3"/>
  <c r="K345" i="3"/>
  <c r="J342" i="3"/>
  <c r="J343" i="3"/>
  <c r="J344" i="3"/>
  <c r="J345" i="3"/>
  <c r="K342" i="3"/>
  <c r="K344" i="3"/>
  <c r="D344" i="3"/>
  <c r="D342" i="3"/>
  <c r="C345" i="3"/>
  <c r="C344" i="3"/>
  <c r="C343" i="3"/>
  <c r="C342" i="3"/>
  <c r="J85" i="3"/>
  <c r="D345" i="3"/>
  <c r="D343" i="3"/>
  <c r="O176" i="3"/>
  <c r="N355" i="3"/>
  <c r="I350" i="3"/>
  <c r="A349" i="3"/>
  <c r="J351" i="3"/>
  <c r="J350" i="3"/>
  <c r="K349" i="3"/>
  <c r="K352" i="3"/>
  <c r="J349" i="3"/>
  <c r="J352" i="3"/>
  <c r="I349" i="3"/>
  <c r="I352" i="3"/>
  <c r="I351" i="3"/>
  <c r="K350" i="3"/>
  <c r="K351" i="3"/>
  <c r="K85" i="3"/>
  <c r="D351" i="3"/>
  <c r="D350" i="3"/>
  <c r="C352" i="3"/>
  <c r="C349" i="3"/>
  <c r="D352" i="3"/>
  <c r="D349" i="3"/>
  <c r="C350" i="3"/>
  <c r="C351" i="3"/>
  <c r="O177" i="3"/>
  <c r="N362" i="3"/>
  <c r="J356" i="3"/>
  <c r="J359" i="3"/>
  <c r="J358" i="3"/>
  <c r="J357" i="3"/>
  <c r="K359" i="3"/>
  <c r="I357" i="3"/>
  <c r="I358" i="3"/>
  <c r="A356" i="3"/>
  <c r="I359" i="3"/>
  <c r="I356" i="3"/>
  <c r="K358" i="3"/>
  <c r="K357" i="3"/>
  <c r="K356" i="3"/>
  <c r="D356" i="3"/>
  <c r="D357" i="3"/>
  <c r="D358" i="3"/>
  <c r="C87" i="3"/>
  <c r="D359" i="3"/>
  <c r="C357" i="3"/>
  <c r="C358" i="3"/>
  <c r="C359" i="3"/>
  <c r="C356" i="3"/>
  <c r="U178" i="3"/>
  <c r="N369" i="3"/>
  <c r="O178" i="3"/>
  <c r="A363" i="3"/>
  <c r="J363" i="3"/>
  <c r="J364" i="3"/>
  <c r="J365" i="3"/>
  <c r="K363" i="3"/>
  <c r="K364" i="3"/>
  <c r="J366" i="3"/>
  <c r="I363" i="3"/>
  <c r="I364" i="3"/>
  <c r="I365" i="3"/>
  <c r="I366" i="3"/>
  <c r="K366" i="3"/>
  <c r="K365" i="3"/>
  <c r="D87" i="3"/>
  <c r="D365" i="3"/>
  <c r="D366" i="3"/>
  <c r="C366" i="3"/>
  <c r="D364" i="3"/>
  <c r="D363" i="3"/>
  <c r="C365" i="3"/>
  <c r="C364" i="3"/>
  <c r="C363" i="3"/>
  <c r="U172" i="3"/>
  <c r="U168" i="3"/>
  <c r="U164" i="3"/>
  <c r="U175" i="3"/>
  <c r="U171" i="3"/>
  <c r="U167" i="3"/>
  <c r="U163" i="3"/>
  <c r="U177" i="3"/>
  <c r="U174" i="3"/>
  <c r="U170" i="3"/>
  <c r="U166" i="3"/>
  <c r="U173" i="3"/>
  <c r="U169" i="3"/>
  <c r="U165" i="3"/>
  <c r="U162" i="3"/>
  <c r="U176" i="3"/>
  <c r="U179" i="3"/>
  <c r="O179" i="3"/>
  <c r="N376" i="3"/>
  <c r="U161" i="3"/>
  <c r="U180" i="3"/>
  <c r="J373" i="3"/>
  <c r="J371" i="3"/>
  <c r="J372" i="3"/>
  <c r="K372" i="3"/>
  <c r="J370" i="3"/>
  <c r="K373" i="3"/>
  <c r="I372" i="3"/>
  <c r="A370" i="3"/>
  <c r="I370" i="3"/>
  <c r="I373" i="3"/>
  <c r="K371" i="3"/>
  <c r="I371" i="3"/>
  <c r="K370" i="3"/>
  <c r="D370" i="3"/>
  <c r="D371" i="3"/>
  <c r="E87" i="3"/>
  <c r="D373" i="3"/>
  <c r="C370" i="3"/>
  <c r="D372" i="3"/>
  <c r="C372" i="3"/>
  <c r="C371" i="3"/>
  <c r="C373" i="3"/>
  <c r="O180" i="3"/>
  <c r="N383" i="3"/>
  <c r="J380" i="3"/>
  <c r="I377" i="3"/>
  <c r="I380" i="3"/>
  <c r="K379" i="3"/>
  <c r="I379" i="3"/>
  <c r="I378" i="3"/>
  <c r="K380" i="3"/>
  <c r="A377" i="3"/>
  <c r="J379" i="3"/>
  <c r="K377" i="3"/>
  <c r="J378" i="3"/>
  <c r="J377" i="3"/>
  <c r="K378" i="3"/>
  <c r="D378" i="3"/>
  <c r="C377" i="3"/>
  <c r="C378" i="3"/>
  <c r="D377" i="3"/>
  <c r="C379" i="3"/>
  <c r="F87" i="3"/>
  <c r="D380" i="3"/>
  <c r="D379" i="3"/>
  <c r="C380" i="3"/>
  <c r="N390" i="3"/>
  <c r="U181" i="3"/>
  <c r="O181" i="3"/>
  <c r="U182" i="3"/>
  <c r="I385" i="3"/>
  <c r="I384" i="3"/>
  <c r="K385" i="3"/>
  <c r="I387" i="3"/>
  <c r="I386" i="3"/>
  <c r="A384" i="3"/>
  <c r="K386" i="3"/>
  <c r="J384" i="3"/>
  <c r="J385" i="3"/>
  <c r="J386" i="3"/>
  <c r="J387" i="3"/>
  <c r="K384" i="3"/>
  <c r="K387" i="3"/>
  <c r="D387" i="3"/>
  <c r="D384" i="3"/>
  <c r="C387" i="3"/>
  <c r="C386" i="3"/>
  <c r="C385" i="3"/>
  <c r="C384" i="3"/>
  <c r="G87" i="3"/>
  <c r="D386" i="3"/>
  <c r="D385" i="3"/>
  <c r="N397" i="3"/>
  <c r="O182" i="3"/>
  <c r="I392" i="3"/>
  <c r="A391" i="3"/>
  <c r="I394" i="3"/>
  <c r="K393" i="3"/>
  <c r="J392" i="3"/>
  <c r="J393" i="3"/>
  <c r="K394" i="3"/>
  <c r="J394" i="3"/>
  <c r="I391" i="3"/>
  <c r="K391" i="3"/>
  <c r="J391" i="3"/>
  <c r="I393" i="3"/>
  <c r="K392" i="3"/>
  <c r="D392" i="3"/>
  <c r="C391" i="3"/>
  <c r="D391" i="3"/>
  <c r="C394" i="3"/>
  <c r="H87" i="3"/>
  <c r="D394" i="3"/>
  <c r="C393" i="3"/>
  <c r="C392" i="3"/>
  <c r="D393" i="3"/>
  <c r="O183" i="3"/>
  <c r="N404" i="3"/>
  <c r="U184" i="3"/>
  <c r="U183" i="3"/>
  <c r="I398" i="3"/>
  <c r="I399" i="3"/>
  <c r="K399" i="3"/>
  <c r="K400" i="3"/>
  <c r="I400" i="3"/>
  <c r="A398" i="3"/>
  <c r="J400" i="3"/>
  <c r="J399" i="3"/>
  <c r="J398" i="3"/>
  <c r="K398" i="3"/>
  <c r="K401" i="3"/>
  <c r="J401" i="3"/>
  <c r="I401" i="3"/>
  <c r="C401" i="3"/>
  <c r="D401" i="3"/>
  <c r="D398" i="3"/>
  <c r="C398" i="3"/>
  <c r="C399" i="3"/>
  <c r="C400" i="3"/>
  <c r="D400" i="3"/>
  <c r="D399" i="3"/>
  <c r="I87" i="3"/>
  <c r="O184" i="3"/>
  <c r="N411" i="3"/>
  <c r="A405" i="3"/>
  <c r="J405" i="3"/>
  <c r="K407" i="3"/>
  <c r="K408" i="3"/>
  <c r="J406" i="3"/>
  <c r="J407" i="3"/>
  <c r="K406" i="3"/>
  <c r="J408" i="3"/>
  <c r="I405" i="3"/>
  <c r="I406" i="3"/>
  <c r="K405" i="3"/>
  <c r="I407" i="3"/>
  <c r="I408" i="3"/>
  <c r="D405" i="3"/>
  <c r="C408" i="3"/>
  <c r="J87" i="3"/>
  <c r="D406" i="3"/>
  <c r="C407" i="3"/>
  <c r="C406" i="3"/>
  <c r="D408" i="3"/>
  <c r="D407" i="3"/>
  <c r="C405" i="3"/>
  <c r="O185" i="3"/>
  <c r="N418" i="3"/>
  <c r="U186" i="3"/>
  <c r="U185" i="3"/>
  <c r="J413" i="3"/>
  <c r="J414" i="3"/>
  <c r="K412" i="3"/>
  <c r="I414" i="3"/>
  <c r="A412" i="3"/>
  <c r="J412" i="3"/>
  <c r="I412" i="3"/>
  <c r="I415" i="3"/>
  <c r="K413" i="3"/>
  <c r="K415" i="3"/>
  <c r="J415" i="3"/>
  <c r="I413" i="3"/>
  <c r="K414" i="3"/>
  <c r="D414" i="3"/>
  <c r="C415" i="3"/>
  <c r="D415" i="3"/>
  <c r="D413" i="3"/>
  <c r="C412" i="3"/>
  <c r="D412" i="3"/>
  <c r="C414" i="3"/>
  <c r="C413" i="3"/>
  <c r="K87" i="3"/>
  <c r="O186" i="3"/>
  <c r="N425" i="3"/>
  <c r="J419" i="3"/>
  <c r="J420" i="3"/>
  <c r="K421" i="3"/>
  <c r="J421" i="3"/>
  <c r="J422" i="3"/>
  <c r="I419" i="3"/>
  <c r="K419" i="3"/>
  <c r="I420" i="3"/>
  <c r="I421" i="3"/>
  <c r="K422" i="3"/>
  <c r="I422" i="3"/>
  <c r="A419" i="3"/>
  <c r="K420" i="3"/>
  <c r="D420" i="3"/>
  <c r="D422" i="3"/>
  <c r="D419" i="3"/>
  <c r="C422" i="3"/>
  <c r="C421" i="3"/>
  <c r="D421" i="3"/>
  <c r="C420" i="3"/>
  <c r="C419" i="3"/>
  <c r="C89" i="3"/>
  <c r="AA183" i="3"/>
  <c r="AA179" i="3"/>
  <c r="AA175" i="3"/>
  <c r="AA171" i="3"/>
  <c r="AA167" i="3"/>
  <c r="AA163" i="3"/>
  <c r="AA184" i="3"/>
  <c r="AA180" i="3"/>
  <c r="AA176" i="3"/>
  <c r="AA172" i="3"/>
  <c r="AA168" i="3"/>
  <c r="AA164" i="3"/>
  <c r="N432" i="3"/>
  <c r="AA187" i="3"/>
  <c r="AA161" i="3"/>
  <c r="O187" i="3"/>
  <c r="U187" i="3"/>
  <c r="U188" i="3"/>
  <c r="AA186" i="3"/>
  <c r="AA185" i="3"/>
  <c r="AA181" i="3"/>
  <c r="AA177" i="3"/>
  <c r="AA173" i="3"/>
  <c r="AA169" i="3"/>
  <c r="AA165" i="3"/>
  <c r="AA162" i="3"/>
  <c r="AA182" i="3"/>
  <c r="AA178" i="3"/>
  <c r="AA174" i="3"/>
  <c r="AA170" i="3"/>
  <c r="AA166" i="3"/>
  <c r="J427" i="3"/>
  <c r="J428" i="3"/>
  <c r="K428" i="3"/>
  <c r="I428" i="3"/>
  <c r="A426" i="3"/>
  <c r="J426" i="3"/>
  <c r="I426" i="3"/>
  <c r="I429" i="3"/>
  <c r="K427" i="3"/>
  <c r="K426" i="3"/>
  <c r="J429" i="3"/>
  <c r="I427" i="3"/>
  <c r="K429" i="3"/>
  <c r="D429" i="3"/>
  <c r="C429" i="3"/>
  <c r="D426" i="3"/>
  <c r="D427" i="3"/>
  <c r="D89" i="3"/>
  <c r="C426" i="3"/>
  <c r="D428" i="3"/>
  <c r="C428" i="3"/>
  <c r="C427" i="3"/>
  <c r="AA188" i="3"/>
  <c r="U189" i="3"/>
  <c r="O188" i="3"/>
  <c r="N439" i="3"/>
  <c r="J433" i="3"/>
  <c r="J434" i="3"/>
  <c r="K433" i="3"/>
  <c r="I436" i="3"/>
  <c r="A433" i="3"/>
  <c r="K434" i="3"/>
  <c r="K436" i="3"/>
  <c r="I434" i="3"/>
  <c r="I435" i="3"/>
  <c r="J435" i="3"/>
  <c r="J436" i="3"/>
  <c r="I433" i="3"/>
  <c r="K435" i="3"/>
  <c r="D435" i="3"/>
  <c r="C436" i="3"/>
  <c r="C435" i="3"/>
  <c r="E89" i="3"/>
  <c r="D436" i="3"/>
  <c r="D434" i="3"/>
  <c r="D433" i="3"/>
  <c r="C434" i="3"/>
  <c r="C433" i="3"/>
  <c r="N446" i="3"/>
  <c r="AA189" i="3"/>
  <c r="U190" i="3"/>
  <c r="AA190" i="3"/>
  <c r="O189" i="3"/>
  <c r="I441" i="3"/>
  <c r="J443" i="3"/>
  <c r="K441" i="3"/>
  <c r="J442" i="3"/>
  <c r="A440" i="3"/>
  <c r="K440" i="3"/>
  <c r="K443" i="3"/>
  <c r="J440" i="3"/>
  <c r="I442" i="3"/>
  <c r="I443" i="3"/>
  <c r="I440" i="3"/>
  <c r="J441" i="3"/>
  <c r="K442" i="3"/>
  <c r="D442" i="3"/>
  <c r="C441" i="3"/>
  <c r="C440" i="3"/>
  <c r="F89" i="3"/>
  <c r="D443" i="3"/>
  <c r="D440" i="3"/>
  <c r="C442" i="3"/>
  <c r="D441" i="3"/>
  <c r="C443" i="3"/>
  <c r="O190" i="3"/>
  <c r="N453" i="3"/>
  <c r="U191" i="3"/>
  <c r="A447" i="3"/>
  <c r="J447" i="3"/>
  <c r="K448" i="3"/>
  <c r="J448" i="3"/>
  <c r="J449" i="3"/>
  <c r="K449" i="3"/>
  <c r="J450" i="3"/>
  <c r="I447" i="3"/>
  <c r="I448" i="3"/>
  <c r="K447" i="3"/>
  <c r="I449" i="3"/>
  <c r="I450" i="3"/>
  <c r="K450" i="3"/>
  <c r="D450" i="3"/>
  <c r="D447" i="3"/>
  <c r="C450" i="3"/>
  <c r="G89" i="3"/>
  <c r="D449" i="3"/>
  <c r="C449" i="3"/>
  <c r="C448" i="3"/>
  <c r="D448" i="3"/>
  <c r="C447" i="3"/>
  <c r="O191" i="3"/>
  <c r="U192" i="3"/>
  <c r="AA191" i="3"/>
  <c r="N460" i="3"/>
  <c r="AA192" i="3"/>
  <c r="J455" i="3"/>
  <c r="J454" i="3"/>
  <c r="K454" i="3"/>
  <c r="I456" i="3"/>
  <c r="A454" i="3"/>
  <c r="J456" i="3"/>
  <c r="K457" i="3"/>
  <c r="I454" i="3"/>
  <c r="I455" i="3"/>
  <c r="K455" i="3"/>
  <c r="J457" i="3"/>
  <c r="I457" i="3"/>
  <c r="K456" i="3"/>
  <c r="D456" i="3"/>
  <c r="C457" i="3"/>
  <c r="D455" i="3"/>
  <c r="H89" i="3"/>
  <c r="D457" i="3"/>
  <c r="C456" i="3"/>
  <c r="D454" i="3"/>
  <c r="C454" i="3"/>
  <c r="C455" i="3"/>
  <c r="N467" i="3"/>
  <c r="U193" i="3"/>
  <c r="O192" i="3"/>
  <c r="A461" i="3"/>
  <c r="J463" i="3"/>
  <c r="K463" i="3"/>
  <c r="K464" i="3"/>
  <c r="J462" i="3"/>
  <c r="J461" i="3"/>
  <c r="K462" i="3"/>
  <c r="J464" i="3"/>
  <c r="I461" i="3"/>
  <c r="I464" i="3"/>
  <c r="K461" i="3"/>
  <c r="I463" i="3"/>
  <c r="I462" i="3"/>
  <c r="I89" i="3"/>
  <c r="D461" i="3"/>
  <c r="C464" i="3"/>
  <c r="D462" i="3"/>
  <c r="C461" i="3"/>
  <c r="C462" i="3"/>
  <c r="D464" i="3"/>
  <c r="D463" i="3"/>
  <c r="C463" i="3"/>
  <c r="O193" i="3"/>
  <c r="N474" i="3"/>
  <c r="AA193" i="3"/>
  <c r="U194" i="3"/>
  <c r="AA194" i="3"/>
  <c r="I468" i="3"/>
  <c r="I469" i="3"/>
  <c r="K469" i="3"/>
  <c r="K471" i="3"/>
  <c r="J471" i="3"/>
  <c r="I471" i="3"/>
  <c r="K470" i="3"/>
  <c r="J469" i="3"/>
  <c r="J468" i="3"/>
  <c r="K468" i="3"/>
  <c r="I470" i="3"/>
  <c r="A468" i="3"/>
  <c r="J470" i="3"/>
  <c r="C470" i="3"/>
  <c r="D468" i="3"/>
  <c r="C468" i="3"/>
  <c r="C469" i="3"/>
  <c r="J89" i="3"/>
  <c r="D470" i="3"/>
  <c r="C471" i="3"/>
  <c r="D471" i="3"/>
  <c r="D469" i="3"/>
  <c r="O194" i="3"/>
  <c r="N481" i="3"/>
  <c r="U195" i="3"/>
  <c r="J478" i="3"/>
  <c r="I475" i="3"/>
  <c r="I476" i="3"/>
  <c r="K478" i="3"/>
  <c r="J476" i="3"/>
  <c r="J477" i="3"/>
  <c r="K477" i="3"/>
  <c r="A475" i="3"/>
  <c r="J475" i="3"/>
  <c r="K476" i="3"/>
  <c r="I477" i="3"/>
  <c r="I478" i="3"/>
  <c r="K475" i="3"/>
  <c r="D475" i="3"/>
  <c r="D476" i="3"/>
  <c r="C475" i="3"/>
  <c r="K89" i="3"/>
  <c r="D477" i="3"/>
  <c r="C477" i="3"/>
  <c r="C476" i="3"/>
  <c r="D478" i="3"/>
  <c r="C478" i="3"/>
  <c r="O195" i="3"/>
  <c r="N488" i="3"/>
  <c r="U196" i="3"/>
  <c r="AA195" i="3"/>
  <c r="AA196" i="3"/>
  <c r="J484" i="3"/>
  <c r="J483" i="3"/>
  <c r="K482" i="3"/>
  <c r="I483" i="3"/>
  <c r="J485" i="3"/>
  <c r="I482" i="3"/>
  <c r="K485" i="3"/>
  <c r="I485" i="3"/>
  <c r="I484" i="3"/>
  <c r="K483" i="3"/>
  <c r="J482" i="3"/>
  <c r="A482" i="3"/>
  <c r="K484" i="3"/>
  <c r="L89" i="3"/>
  <c r="D484" i="3"/>
  <c r="C482" i="3"/>
  <c r="D483" i="3"/>
  <c r="D485" i="3"/>
  <c r="C485" i="3"/>
  <c r="D482" i="3"/>
  <c r="C483" i="3"/>
  <c r="C484" i="3"/>
  <c r="N495" i="3"/>
  <c r="U197" i="3"/>
  <c r="O196" i="3"/>
  <c r="AA197" i="3"/>
  <c r="J490" i="3"/>
  <c r="J489" i="3"/>
  <c r="K491" i="3"/>
  <c r="A489" i="3"/>
  <c r="J491" i="3"/>
  <c r="K490" i="3"/>
  <c r="I491" i="3"/>
  <c r="I492" i="3"/>
  <c r="K489" i="3"/>
  <c r="J492" i="3"/>
  <c r="I489" i="3"/>
  <c r="I490" i="3"/>
  <c r="K492" i="3"/>
  <c r="D492" i="3"/>
  <c r="C492" i="3"/>
  <c r="D489" i="3"/>
  <c r="D490" i="3"/>
  <c r="C491" i="3"/>
  <c r="D491" i="3"/>
  <c r="C489" i="3"/>
  <c r="C490" i="3"/>
  <c r="M89" i="3"/>
  <c r="U198" i="3"/>
  <c r="O197" i="3"/>
  <c r="N502" i="3"/>
  <c r="AA198" i="3"/>
  <c r="J498" i="3"/>
  <c r="J499" i="3"/>
  <c r="K499" i="3"/>
  <c r="I497" i="3"/>
  <c r="I496" i="3"/>
  <c r="K497" i="3"/>
  <c r="K496" i="3"/>
  <c r="I499" i="3"/>
  <c r="I498" i="3"/>
  <c r="A496" i="3"/>
  <c r="J496" i="3"/>
  <c r="J497" i="3"/>
  <c r="K498" i="3"/>
  <c r="D498" i="3"/>
  <c r="C497" i="3"/>
  <c r="C496" i="3"/>
  <c r="D496" i="3"/>
  <c r="D497" i="3"/>
  <c r="D499" i="3"/>
  <c r="C499" i="3"/>
  <c r="C498" i="3"/>
  <c r="N89" i="3"/>
  <c r="O198" i="3"/>
  <c r="N509" i="3"/>
  <c r="U199" i="3"/>
  <c r="AA199" i="3"/>
  <c r="A503" i="3"/>
  <c r="I504" i="3"/>
  <c r="K505" i="3"/>
  <c r="J506" i="3"/>
  <c r="J505" i="3"/>
  <c r="J504" i="3"/>
  <c r="K506" i="3"/>
  <c r="J503" i="3"/>
  <c r="I505" i="3"/>
  <c r="I503" i="3"/>
  <c r="I506" i="3"/>
  <c r="K504" i="3"/>
  <c r="K503" i="3"/>
  <c r="D503" i="3"/>
  <c r="D504" i="3"/>
  <c r="C503" i="3"/>
  <c r="O89" i="3"/>
  <c r="D506" i="3"/>
  <c r="C504" i="3"/>
  <c r="C505" i="3"/>
  <c r="C506" i="3"/>
  <c r="D505" i="3"/>
  <c r="D19" i="3"/>
  <c r="N516" i="3"/>
  <c r="AA200" i="3"/>
  <c r="O199" i="3"/>
  <c r="U200" i="3"/>
  <c r="I512" i="3"/>
  <c r="A510" i="3"/>
  <c r="J512" i="3"/>
  <c r="K510" i="3"/>
  <c r="J511" i="3"/>
  <c r="J510" i="3"/>
  <c r="K513" i="3"/>
  <c r="J513" i="3"/>
  <c r="I513" i="3"/>
  <c r="K512" i="3"/>
  <c r="I510" i="3"/>
  <c r="I511" i="3"/>
  <c r="K511" i="3"/>
  <c r="D511" i="3"/>
  <c r="D512" i="3"/>
  <c r="C513" i="3"/>
  <c r="D513" i="3"/>
  <c r="C510" i="3"/>
  <c r="C511" i="3"/>
  <c r="D510" i="3"/>
  <c r="C512" i="3"/>
  <c r="AG200" i="3"/>
  <c r="R71" i="3"/>
  <c r="O200" i="3"/>
  <c r="AG196" i="3"/>
  <c r="R67" i="3"/>
  <c r="AG192" i="3"/>
  <c r="R63" i="3"/>
  <c r="AG188" i="3"/>
  <c r="R59" i="3"/>
  <c r="AG184" i="3"/>
  <c r="R55" i="3"/>
  <c r="AG180" i="3"/>
  <c r="R51" i="3"/>
  <c r="AG176" i="3"/>
  <c r="R47" i="3"/>
  <c r="AG172" i="3"/>
  <c r="R43" i="3"/>
  <c r="AG168" i="3"/>
  <c r="R39" i="3"/>
  <c r="AG164" i="3"/>
  <c r="R35" i="3"/>
  <c r="AG191" i="3"/>
  <c r="R62" i="3"/>
  <c r="AG171" i="3"/>
  <c r="R42" i="3"/>
  <c r="AG161" i="3"/>
  <c r="R32" i="3"/>
  <c r="AG198" i="3"/>
  <c r="R69" i="3"/>
  <c r="AG194" i="3"/>
  <c r="R65" i="3"/>
  <c r="AG190" i="3"/>
  <c r="R61" i="3"/>
  <c r="AG186" i="3"/>
  <c r="R57" i="3"/>
  <c r="AG182" i="3"/>
  <c r="R53" i="3"/>
  <c r="AG178" i="3"/>
  <c r="R49" i="3"/>
  <c r="AG174" i="3"/>
  <c r="R45" i="3"/>
  <c r="AG170" i="3"/>
  <c r="R41" i="3"/>
  <c r="AG166" i="3"/>
  <c r="R37" i="3"/>
  <c r="AG197" i="3"/>
  <c r="R68" i="3"/>
  <c r="AG193" i="3"/>
  <c r="R64" i="3"/>
  <c r="AG189" i="3"/>
  <c r="R60" i="3"/>
  <c r="AG185" i="3"/>
  <c r="R56" i="3"/>
  <c r="AG181" i="3"/>
  <c r="R52" i="3"/>
  <c r="AG177" i="3"/>
  <c r="R48" i="3"/>
  <c r="AG173" i="3"/>
  <c r="R44" i="3"/>
  <c r="AG169" i="3"/>
  <c r="R40" i="3"/>
  <c r="AG165" i="3"/>
  <c r="R36" i="3"/>
  <c r="AG163" i="3"/>
  <c r="R34" i="3"/>
  <c r="N523" i="3"/>
  <c r="AA201" i="3"/>
  <c r="AG195" i="3"/>
  <c r="R66" i="3"/>
  <c r="AG187" i="3"/>
  <c r="R58" i="3"/>
  <c r="AG183" i="3"/>
  <c r="R54" i="3"/>
  <c r="AG179" i="3"/>
  <c r="R50" i="3"/>
  <c r="AG175" i="3"/>
  <c r="R46" i="3"/>
  <c r="AG167" i="3"/>
  <c r="R38" i="3"/>
  <c r="AG162" i="3"/>
  <c r="R33" i="3"/>
  <c r="AG199" i="3"/>
  <c r="R70" i="3"/>
  <c r="U201" i="3"/>
  <c r="A517" i="3"/>
  <c r="J517" i="3"/>
  <c r="K519" i="3"/>
  <c r="K517" i="3"/>
  <c r="I519" i="3"/>
  <c r="I520" i="3"/>
  <c r="J520" i="3"/>
  <c r="I517" i="3"/>
  <c r="I518" i="3"/>
  <c r="K518" i="3"/>
  <c r="J518" i="3"/>
  <c r="J519" i="3"/>
  <c r="K520" i="3"/>
  <c r="D520" i="3"/>
  <c r="C519" i="3"/>
  <c r="C518" i="3"/>
  <c r="D518" i="3"/>
  <c r="C520" i="3"/>
  <c r="D517" i="3"/>
  <c r="D519" i="3"/>
  <c r="C517" i="3"/>
  <c r="AG201" i="3"/>
  <c r="R72" i="3"/>
  <c r="AA202" i="3"/>
  <c r="O201" i="3"/>
  <c r="N530" i="3"/>
  <c r="U202" i="3"/>
  <c r="I526" i="3"/>
  <c r="A524" i="3"/>
  <c r="J526" i="3"/>
  <c r="I524" i="3"/>
  <c r="I525" i="3"/>
  <c r="K525" i="3"/>
  <c r="K527" i="3"/>
  <c r="J527" i="3"/>
  <c r="I527" i="3"/>
  <c r="K524" i="3"/>
  <c r="J525" i="3"/>
  <c r="J524" i="3"/>
  <c r="K526" i="3"/>
  <c r="D526" i="3"/>
  <c r="C524" i="3"/>
  <c r="C525" i="3"/>
  <c r="D524" i="3"/>
  <c r="C527" i="3"/>
  <c r="D527" i="3"/>
  <c r="D525" i="3"/>
  <c r="C526" i="3"/>
  <c r="AG202" i="3"/>
  <c r="R73" i="3"/>
  <c r="O202" i="3"/>
  <c r="N537" i="3"/>
  <c r="AG203" i="3"/>
  <c r="R74" i="3"/>
  <c r="AA203" i="3"/>
  <c r="U203" i="3"/>
  <c r="J532" i="3"/>
  <c r="J531" i="3"/>
  <c r="K532" i="3"/>
  <c r="A531" i="3"/>
  <c r="J533" i="3"/>
  <c r="K533" i="3"/>
  <c r="K531" i="3"/>
  <c r="I533" i="3"/>
  <c r="I532" i="3"/>
  <c r="J534" i="3"/>
  <c r="I531" i="3"/>
  <c r="I534" i="3"/>
  <c r="K534" i="3"/>
  <c r="D534" i="3"/>
  <c r="C534" i="3"/>
  <c r="D531" i="3"/>
  <c r="D533" i="3"/>
  <c r="C533" i="3"/>
  <c r="D532" i="3"/>
  <c r="C531" i="3"/>
  <c r="C532" i="3"/>
  <c r="AA204" i="3"/>
  <c r="O203" i="3"/>
  <c r="U204" i="3"/>
  <c r="I541" i="3"/>
  <c r="I540" i="3"/>
  <c r="A538" i="3"/>
  <c r="K538" i="3"/>
  <c r="I539" i="3"/>
  <c r="I538" i="3"/>
  <c r="K539" i="3"/>
  <c r="J540" i="3"/>
  <c r="J541" i="3"/>
  <c r="K540" i="3"/>
  <c r="J538" i="3"/>
  <c r="J539" i="3"/>
  <c r="K541" i="3"/>
  <c r="D541" i="3"/>
  <c r="C539" i="3"/>
  <c r="C538" i="3"/>
  <c r="D540" i="3"/>
  <c r="C541" i="3"/>
  <c r="C540" i="3"/>
  <c r="D539" i="3"/>
  <c r="D538" i="3"/>
  <c r="AA205" i="3"/>
  <c r="AG205" i="3"/>
  <c r="R76" i="3"/>
  <c r="O204" i="3"/>
  <c r="AG204" i="3"/>
  <c r="R75" i="3"/>
  <c r="U205" i="3"/>
  <c r="O205" i="3"/>
  <c r="AA206" i="3"/>
  <c r="U206" i="3"/>
  <c r="AG206" i="3"/>
  <c r="R77" i="3"/>
  <c r="O206" i="3"/>
  <c r="J224" i="3"/>
  <c r="K224" i="3"/>
  <c r="I224" i="3"/>
  <c r="C224" i="3"/>
  <c r="D224" i="3"/>
  <c r="J161" i="3"/>
  <c r="J162" i="3"/>
  <c r="J163" i="3"/>
  <c r="J164" i="3"/>
  <c r="J165" i="3"/>
  <c r="J166" i="3"/>
  <c r="J167" i="3"/>
  <c r="J168" i="3"/>
  <c r="Q101" i="3"/>
  <c r="P101" i="3"/>
  <c r="F161" i="3"/>
  <c r="F162" i="3"/>
  <c r="F163" i="3"/>
  <c r="F164" i="3"/>
  <c r="F165" i="3"/>
  <c r="F166" i="3"/>
  <c r="F167" i="3"/>
  <c r="F168" i="3"/>
  <c r="O101" i="3"/>
  <c r="J245" i="3"/>
  <c r="E161" i="3"/>
  <c r="E162" i="3"/>
  <c r="E163" i="3"/>
  <c r="E164" i="3"/>
  <c r="E165" i="3"/>
  <c r="E166" i="3"/>
  <c r="E167" i="3"/>
  <c r="E168" i="3"/>
  <c r="D161" i="3"/>
  <c r="D162" i="3"/>
  <c r="D163" i="3"/>
  <c r="D164" i="3"/>
  <c r="D165" i="3"/>
  <c r="D166" i="3"/>
  <c r="D167" i="3"/>
  <c r="D168" i="3"/>
  <c r="K245" i="3"/>
  <c r="I245" i="3"/>
  <c r="C245" i="3"/>
  <c r="D245" i="3"/>
  <c r="J231" i="3"/>
  <c r="M78" i="3"/>
  <c r="P78" i="3"/>
  <c r="G78" i="3"/>
  <c r="D78" i="3"/>
  <c r="J78" i="3"/>
  <c r="D25" i="3"/>
  <c r="E24" i="3"/>
  <c r="D24" i="3"/>
  <c r="E25" i="3"/>
  <c r="D27" i="3"/>
  <c r="E26" i="3"/>
  <c r="E27" i="3"/>
  <c r="D26" i="3"/>
  <c r="J27" i="3"/>
  <c r="J26" i="3"/>
  <c r="J25" i="3"/>
  <c r="K24" i="3"/>
  <c r="J24" i="3"/>
  <c r="K25" i="3"/>
  <c r="K26" i="3"/>
  <c r="K27" i="3"/>
  <c r="N24" i="3"/>
  <c r="M26" i="3"/>
  <c r="N25" i="3"/>
  <c r="M27" i="3"/>
  <c r="N27" i="3"/>
  <c r="N26" i="3"/>
  <c r="M24" i="3"/>
  <c r="M25" i="3"/>
  <c r="G25" i="3"/>
  <c r="H24" i="3"/>
  <c r="G24" i="3"/>
  <c r="H25" i="3"/>
  <c r="G27" i="3"/>
  <c r="H26" i="3"/>
  <c r="H27" i="3"/>
  <c r="G26" i="3"/>
  <c r="P27" i="3"/>
  <c r="P26" i="3"/>
  <c r="P25" i="3"/>
  <c r="Q24" i="3"/>
  <c r="P24" i="3"/>
  <c r="Q25" i="3"/>
  <c r="Q26" i="3"/>
  <c r="Q27" i="3"/>
  <c r="I231" i="3"/>
  <c r="K231" i="3"/>
  <c r="D231" i="3"/>
  <c r="C231" i="3"/>
  <c r="R27" i="3"/>
  <c r="AR83" i="3"/>
  <c r="AQ83" i="3"/>
  <c r="R26" i="3"/>
  <c r="R25" i="3"/>
  <c r="AP83" i="3"/>
  <c r="AO83" i="3"/>
  <c r="R28" i="3"/>
  <c r="R24" i="3"/>
  <c r="Q71" i="3"/>
  <c r="Q67" i="3"/>
  <c r="Q63" i="3"/>
  <c r="Q59" i="3"/>
  <c r="Q55" i="3"/>
  <c r="Q51" i="3"/>
  <c r="Q47" i="3"/>
  <c r="Q43" i="3"/>
  <c r="Q39" i="3"/>
  <c r="Q35" i="3"/>
  <c r="Q42" i="3"/>
  <c r="Q32" i="3"/>
  <c r="Q69" i="3"/>
  <c r="Q65" i="3"/>
  <c r="Q61" i="3"/>
  <c r="Q53" i="3"/>
  <c r="Q45" i="3"/>
  <c r="Q37" i="3"/>
  <c r="Q64" i="3"/>
  <c r="Q56" i="3"/>
  <c r="Q48" i="3"/>
  <c r="Q40" i="3"/>
  <c r="Q54" i="3"/>
  <c r="Q46" i="3"/>
  <c r="Q38" i="3"/>
  <c r="Q70" i="3"/>
  <c r="Q62" i="3"/>
  <c r="Q57" i="3"/>
  <c r="Q49" i="3"/>
  <c r="Q41" i="3"/>
  <c r="Q68" i="3"/>
  <c r="Q60" i="3"/>
  <c r="Q52" i="3"/>
  <c r="Q44" i="3"/>
  <c r="Q36" i="3"/>
  <c r="Q34" i="3"/>
  <c r="Q66" i="3"/>
  <c r="Q58" i="3"/>
  <c r="Q50" i="3"/>
  <c r="Q33" i="3"/>
  <c r="Q72" i="3"/>
  <c r="Q73" i="3"/>
  <c r="Q74" i="3"/>
  <c r="Q76" i="3"/>
  <c r="Q75" i="3"/>
  <c r="Q77" i="3"/>
  <c r="H40" i="3"/>
  <c r="H39" i="3"/>
  <c r="H36" i="3"/>
  <c r="H37" i="3"/>
  <c r="H33" i="3"/>
  <c r="H32" i="3"/>
  <c r="H35" i="3"/>
  <c r="H41" i="3"/>
  <c r="H38" i="3"/>
  <c r="H34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AR80" i="3"/>
  <c r="I27" i="3"/>
  <c r="AQ80" i="3"/>
  <c r="I26" i="3"/>
  <c r="I25" i="3"/>
  <c r="AP80" i="3"/>
  <c r="AO80" i="3"/>
  <c r="I28" i="3"/>
  <c r="I24" i="3"/>
  <c r="AQ82" i="3"/>
  <c r="O26" i="3"/>
  <c r="AR82" i="3"/>
  <c r="O27" i="3"/>
  <c r="AP82" i="3"/>
  <c r="O25" i="3"/>
  <c r="N50" i="3"/>
  <c r="N34" i="3"/>
  <c r="N55" i="3"/>
  <c r="N47" i="3"/>
  <c r="N39" i="3"/>
  <c r="N32" i="3"/>
  <c r="N57" i="3"/>
  <c r="N56" i="3"/>
  <c r="N52" i="3"/>
  <c r="N48" i="3"/>
  <c r="N44" i="3"/>
  <c r="N40" i="3"/>
  <c r="N36" i="3"/>
  <c r="N53" i="3"/>
  <c r="N49" i="3"/>
  <c r="N45" i="3"/>
  <c r="N41" i="3"/>
  <c r="N37" i="3"/>
  <c r="N54" i="3"/>
  <c r="N46" i="3"/>
  <c r="N42" i="3"/>
  <c r="N38" i="3"/>
  <c r="N51" i="3"/>
  <c r="N43" i="3"/>
  <c r="N35" i="3"/>
  <c r="N58" i="3"/>
  <c r="N33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O28" i="3"/>
  <c r="AO82" i="3"/>
  <c r="O24" i="3"/>
  <c r="L27" i="3"/>
  <c r="AR81" i="3"/>
  <c r="AQ81" i="3"/>
  <c r="L26" i="3"/>
  <c r="AP81" i="3"/>
  <c r="L25" i="3"/>
  <c r="L28" i="3"/>
  <c r="AO81" i="3"/>
  <c r="L24" i="3"/>
  <c r="K49" i="3"/>
  <c r="K32" i="3"/>
  <c r="K43" i="3"/>
  <c r="K39" i="3"/>
  <c r="K35" i="3"/>
  <c r="K46" i="3"/>
  <c r="K42" i="3"/>
  <c r="K38" i="3"/>
  <c r="K34" i="3"/>
  <c r="K48" i="3"/>
  <c r="K45" i="3"/>
  <c r="K41" i="3"/>
  <c r="K37" i="3"/>
  <c r="K44" i="3"/>
  <c r="K40" i="3"/>
  <c r="K36" i="3"/>
  <c r="K33" i="3"/>
  <c r="K47" i="3"/>
  <c r="K50" i="3"/>
  <c r="K51" i="3"/>
  <c r="K52" i="3"/>
  <c r="K53" i="3"/>
  <c r="K55" i="3"/>
  <c r="K54" i="3"/>
  <c r="K57" i="3"/>
  <c r="K56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E71" i="3"/>
  <c r="E67" i="3"/>
  <c r="E63" i="3"/>
  <c r="E59" i="3"/>
  <c r="E51" i="3"/>
  <c r="E47" i="3"/>
  <c r="E43" i="3"/>
  <c r="E39" i="3"/>
  <c r="E35" i="3"/>
  <c r="E32" i="3"/>
  <c r="E62" i="3"/>
  <c r="E58" i="3"/>
  <c r="E54" i="3"/>
  <c r="E50" i="3"/>
  <c r="E46" i="3"/>
  <c r="E42" i="3"/>
  <c r="E38" i="3"/>
  <c r="E33" i="3"/>
  <c r="E70" i="3"/>
  <c r="E69" i="3"/>
  <c r="E64" i="3"/>
  <c r="E56" i="3"/>
  <c r="E48" i="3"/>
  <c r="E40" i="3"/>
  <c r="E34" i="3"/>
  <c r="E49" i="3"/>
  <c r="E37" i="3"/>
  <c r="E60" i="3"/>
  <c r="E36" i="3"/>
  <c r="E55" i="3"/>
  <c r="E66" i="3"/>
  <c r="E65" i="3"/>
  <c r="E61" i="3"/>
  <c r="E57" i="3"/>
  <c r="E53" i="3"/>
  <c r="E45" i="3"/>
  <c r="E41" i="3"/>
  <c r="E68" i="3"/>
  <c r="E52" i="3"/>
  <c r="E44" i="3"/>
  <c r="E72" i="3"/>
  <c r="E73" i="3"/>
  <c r="E74" i="3"/>
  <c r="E75" i="3"/>
  <c r="E76" i="3"/>
  <c r="E77" i="3"/>
  <c r="F27" i="3"/>
  <c r="F26" i="3"/>
  <c r="F25" i="3"/>
  <c r="F24" i="3"/>
  <c r="F28" i="3"/>
  <c r="P80" i="3"/>
  <c r="Q78" i="3"/>
  <c r="P79" i="3"/>
  <c r="G79" i="3"/>
  <c r="H78" i="3"/>
  <c r="G80" i="3"/>
  <c r="M80" i="3"/>
  <c r="M79" i="3"/>
  <c r="N78" i="3"/>
  <c r="J80" i="3"/>
  <c r="J79" i="3"/>
  <c r="K78" i="3"/>
  <c r="E78" i="3"/>
  <c r="K238" i="3"/>
  <c r="J238" i="3"/>
  <c r="I238" i="3"/>
  <c r="C238" i="3"/>
  <c r="D238" i="3"/>
  <c r="R102" i="3"/>
  <c r="E532" i="3"/>
  <c r="E504" i="3"/>
  <c r="E476" i="3"/>
  <c r="E448" i="3"/>
  <c r="E420" i="3"/>
  <c r="E392" i="3"/>
  <c r="E364" i="3"/>
  <c r="E336" i="3"/>
  <c r="E308" i="3"/>
  <c r="E280" i="3"/>
  <c r="E252" i="3"/>
  <c r="E224" i="3"/>
  <c r="E539" i="3"/>
  <c r="E511" i="3"/>
  <c r="E483" i="3"/>
  <c r="E455" i="3"/>
  <c r="E427" i="3"/>
  <c r="E399" i="3"/>
  <c r="E371" i="3"/>
  <c r="E343" i="3"/>
  <c r="E315" i="3"/>
  <c r="E287" i="3"/>
  <c r="E259" i="3"/>
  <c r="E231" i="3"/>
  <c r="E518" i="3"/>
  <c r="E490" i="3"/>
  <c r="E462" i="3"/>
  <c r="E434" i="3"/>
  <c r="E406" i="3"/>
  <c r="E378" i="3"/>
  <c r="E350" i="3"/>
  <c r="E322" i="3"/>
  <c r="E294" i="3"/>
  <c r="E266" i="3"/>
  <c r="E238" i="3"/>
  <c r="E525" i="3"/>
  <c r="E497" i="3"/>
  <c r="E469" i="3"/>
  <c r="E441" i="3"/>
  <c r="E413" i="3"/>
  <c r="E385" i="3"/>
  <c r="E357" i="3"/>
  <c r="E329" i="3"/>
  <c r="E301" i="3"/>
  <c r="E273" i="3"/>
  <c r="E245" i="3"/>
  <c r="L533" i="3"/>
  <c r="M533" i="3"/>
  <c r="G533" i="3"/>
  <c r="L505" i="3"/>
  <c r="M505" i="3"/>
  <c r="G505" i="3"/>
  <c r="L477" i="3"/>
  <c r="M477" i="3"/>
  <c r="G477" i="3"/>
  <c r="L449" i="3"/>
  <c r="M449" i="3"/>
  <c r="G449" i="3"/>
  <c r="L421" i="3"/>
  <c r="M421" i="3"/>
  <c r="G421" i="3"/>
  <c r="L393" i="3"/>
  <c r="M393" i="3"/>
  <c r="G393" i="3"/>
  <c r="L365" i="3"/>
  <c r="M365" i="3"/>
  <c r="G365" i="3"/>
  <c r="L337" i="3"/>
  <c r="M337" i="3"/>
  <c r="G337" i="3"/>
  <c r="L309" i="3"/>
  <c r="M309" i="3"/>
  <c r="G309" i="3"/>
  <c r="L281" i="3"/>
  <c r="M281" i="3"/>
  <c r="G281" i="3"/>
  <c r="L253" i="3"/>
  <c r="M253" i="3"/>
  <c r="G253" i="3"/>
  <c r="L225" i="3"/>
  <c r="M225" i="3"/>
  <c r="G225" i="3"/>
  <c r="L526" i="3"/>
  <c r="M526" i="3"/>
  <c r="G526" i="3"/>
  <c r="L498" i="3"/>
  <c r="M498" i="3"/>
  <c r="G498" i="3"/>
  <c r="L470" i="3"/>
  <c r="M470" i="3"/>
  <c r="G470" i="3"/>
  <c r="L442" i="3"/>
  <c r="M442" i="3"/>
  <c r="G442" i="3"/>
  <c r="L414" i="3"/>
  <c r="M414" i="3"/>
  <c r="G414" i="3"/>
  <c r="L386" i="3"/>
  <c r="M386" i="3"/>
  <c r="G386" i="3"/>
  <c r="L358" i="3"/>
  <c r="M358" i="3"/>
  <c r="G358" i="3"/>
  <c r="L330" i="3"/>
  <c r="M330" i="3"/>
  <c r="G330" i="3"/>
  <c r="L302" i="3"/>
  <c r="M302" i="3"/>
  <c r="G302" i="3"/>
  <c r="L274" i="3"/>
  <c r="M274" i="3"/>
  <c r="G274" i="3"/>
  <c r="L246" i="3"/>
  <c r="M246" i="3"/>
  <c r="G246" i="3"/>
  <c r="L519" i="3"/>
  <c r="M519" i="3"/>
  <c r="G519" i="3"/>
  <c r="L491" i="3"/>
  <c r="M491" i="3"/>
  <c r="G491" i="3"/>
  <c r="L463" i="3"/>
  <c r="M463" i="3"/>
  <c r="G463" i="3"/>
  <c r="L435" i="3"/>
  <c r="M435" i="3"/>
  <c r="G435" i="3"/>
  <c r="L407" i="3"/>
  <c r="M407" i="3"/>
  <c r="G407" i="3"/>
  <c r="L379" i="3"/>
  <c r="M379" i="3"/>
  <c r="G379" i="3"/>
  <c r="L351" i="3"/>
  <c r="M351" i="3"/>
  <c r="G351" i="3"/>
  <c r="L323" i="3"/>
  <c r="M323" i="3"/>
  <c r="G323" i="3"/>
  <c r="L295" i="3"/>
  <c r="M295" i="3"/>
  <c r="G295" i="3"/>
  <c r="L267" i="3"/>
  <c r="M267" i="3"/>
  <c r="G267" i="3"/>
  <c r="L239" i="3"/>
  <c r="M239" i="3"/>
  <c r="G239" i="3"/>
  <c r="L540" i="3"/>
  <c r="M540" i="3"/>
  <c r="G540" i="3"/>
  <c r="L512" i="3"/>
  <c r="M512" i="3"/>
  <c r="G512" i="3"/>
  <c r="L484" i="3"/>
  <c r="M484" i="3"/>
  <c r="G484" i="3"/>
  <c r="L456" i="3"/>
  <c r="M456" i="3"/>
  <c r="G456" i="3"/>
  <c r="L428" i="3"/>
  <c r="M428" i="3"/>
  <c r="G428" i="3"/>
  <c r="L400" i="3"/>
  <c r="M400" i="3"/>
  <c r="G400" i="3"/>
  <c r="L372" i="3"/>
  <c r="M372" i="3"/>
  <c r="G372" i="3"/>
  <c r="L344" i="3"/>
  <c r="M344" i="3"/>
  <c r="G344" i="3"/>
  <c r="L316" i="3"/>
  <c r="M316" i="3"/>
  <c r="G316" i="3"/>
  <c r="L288" i="3"/>
  <c r="M288" i="3"/>
  <c r="G288" i="3"/>
  <c r="L260" i="3"/>
  <c r="M260" i="3"/>
  <c r="G260" i="3"/>
  <c r="L232" i="3"/>
  <c r="M232" i="3"/>
  <c r="G232" i="3"/>
  <c r="F526" i="3"/>
  <c r="F498" i="3"/>
  <c r="F470" i="3"/>
  <c r="F442" i="3"/>
  <c r="F414" i="3"/>
  <c r="F386" i="3"/>
  <c r="F358" i="3"/>
  <c r="F330" i="3"/>
  <c r="F302" i="3"/>
  <c r="F274" i="3"/>
  <c r="F246" i="3"/>
  <c r="F533" i="3"/>
  <c r="F505" i="3"/>
  <c r="F477" i="3"/>
  <c r="F449" i="3"/>
  <c r="F421" i="3"/>
  <c r="F393" i="3"/>
  <c r="F365" i="3"/>
  <c r="F337" i="3"/>
  <c r="F309" i="3"/>
  <c r="F281" i="3"/>
  <c r="F253" i="3"/>
  <c r="F225" i="3"/>
  <c r="F540" i="3"/>
  <c r="F512" i="3"/>
  <c r="F484" i="3"/>
  <c r="F456" i="3"/>
  <c r="F428" i="3"/>
  <c r="F400" i="3"/>
  <c r="F372" i="3"/>
  <c r="F344" i="3"/>
  <c r="F316" i="3"/>
  <c r="F288" i="3"/>
  <c r="F260" i="3"/>
  <c r="F232" i="3"/>
  <c r="F519" i="3"/>
  <c r="F491" i="3"/>
  <c r="F463" i="3"/>
  <c r="F435" i="3"/>
  <c r="F407" i="3"/>
  <c r="F379" i="3"/>
  <c r="F351" i="3"/>
  <c r="F323" i="3"/>
  <c r="F295" i="3"/>
  <c r="F267" i="3"/>
  <c r="F239" i="3"/>
  <c r="L538" i="3"/>
  <c r="M538" i="3"/>
  <c r="G538" i="3"/>
  <c r="L510" i="3"/>
  <c r="M510" i="3"/>
  <c r="G510" i="3"/>
  <c r="L482" i="3"/>
  <c r="M482" i="3"/>
  <c r="G482" i="3"/>
  <c r="L454" i="3"/>
  <c r="M454" i="3"/>
  <c r="G454" i="3"/>
  <c r="L426" i="3"/>
  <c r="M426" i="3"/>
  <c r="G426" i="3"/>
  <c r="L398" i="3"/>
  <c r="M398" i="3"/>
  <c r="G398" i="3"/>
  <c r="L370" i="3"/>
  <c r="M370" i="3"/>
  <c r="G370" i="3"/>
  <c r="L342" i="3"/>
  <c r="M342" i="3"/>
  <c r="G342" i="3"/>
  <c r="L314" i="3"/>
  <c r="M314" i="3"/>
  <c r="G314" i="3"/>
  <c r="L286" i="3"/>
  <c r="M286" i="3"/>
  <c r="G286" i="3"/>
  <c r="L258" i="3"/>
  <c r="M258" i="3"/>
  <c r="G258" i="3"/>
  <c r="L230" i="3"/>
  <c r="M230" i="3"/>
  <c r="G230" i="3"/>
  <c r="L531" i="3"/>
  <c r="M531" i="3"/>
  <c r="G531" i="3"/>
  <c r="L503" i="3"/>
  <c r="M503" i="3"/>
  <c r="G503" i="3"/>
  <c r="L475" i="3"/>
  <c r="M475" i="3"/>
  <c r="G475" i="3"/>
  <c r="L447" i="3"/>
  <c r="M447" i="3"/>
  <c r="G447" i="3"/>
  <c r="L419" i="3"/>
  <c r="M419" i="3"/>
  <c r="G419" i="3"/>
  <c r="L391" i="3"/>
  <c r="M391" i="3"/>
  <c r="G391" i="3"/>
  <c r="L363" i="3"/>
  <c r="M363" i="3"/>
  <c r="G363" i="3"/>
  <c r="L335" i="3"/>
  <c r="M335" i="3"/>
  <c r="G335" i="3"/>
  <c r="L307" i="3"/>
  <c r="M307" i="3"/>
  <c r="G307" i="3"/>
  <c r="L279" i="3"/>
  <c r="M279" i="3"/>
  <c r="G279" i="3"/>
  <c r="L251" i="3"/>
  <c r="M251" i="3"/>
  <c r="G251" i="3"/>
  <c r="L223" i="3"/>
  <c r="M223" i="3"/>
  <c r="G223" i="3"/>
  <c r="L524" i="3"/>
  <c r="M524" i="3"/>
  <c r="G524" i="3"/>
  <c r="L496" i="3"/>
  <c r="M496" i="3"/>
  <c r="G496" i="3"/>
  <c r="L468" i="3"/>
  <c r="M468" i="3"/>
  <c r="G468" i="3"/>
  <c r="L440" i="3"/>
  <c r="M440" i="3"/>
  <c r="G440" i="3"/>
  <c r="L412" i="3"/>
  <c r="M412" i="3"/>
  <c r="G412" i="3"/>
  <c r="L384" i="3"/>
  <c r="M384" i="3"/>
  <c r="G384" i="3"/>
  <c r="L356" i="3"/>
  <c r="M356" i="3"/>
  <c r="G356" i="3"/>
  <c r="L328" i="3"/>
  <c r="M328" i="3"/>
  <c r="G328" i="3"/>
  <c r="L300" i="3"/>
  <c r="M300" i="3"/>
  <c r="G300" i="3"/>
  <c r="L272" i="3"/>
  <c r="M272" i="3"/>
  <c r="G272" i="3"/>
  <c r="L244" i="3"/>
  <c r="M244" i="3"/>
  <c r="G244" i="3"/>
  <c r="L517" i="3"/>
  <c r="M517" i="3"/>
  <c r="G517" i="3"/>
  <c r="L489" i="3"/>
  <c r="M489" i="3"/>
  <c r="G489" i="3"/>
  <c r="L461" i="3"/>
  <c r="M461" i="3"/>
  <c r="G461" i="3"/>
  <c r="L433" i="3"/>
  <c r="M433" i="3"/>
  <c r="G433" i="3"/>
  <c r="L405" i="3"/>
  <c r="M405" i="3"/>
  <c r="G405" i="3"/>
  <c r="L377" i="3"/>
  <c r="M377" i="3"/>
  <c r="G377" i="3"/>
  <c r="L349" i="3"/>
  <c r="M349" i="3"/>
  <c r="G349" i="3"/>
  <c r="L321" i="3"/>
  <c r="M321" i="3"/>
  <c r="G321" i="3"/>
  <c r="L293" i="3"/>
  <c r="M293" i="3"/>
  <c r="G293" i="3"/>
  <c r="L265" i="3"/>
  <c r="M265" i="3"/>
  <c r="G265" i="3"/>
  <c r="L237" i="3"/>
  <c r="M237" i="3"/>
  <c r="G237" i="3"/>
  <c r="L534" i="3"/>
  <c r="M534" i="3"/>
  <c r="G534" i="3"/>
  <c r="L506" i="3"/>
  <c r="M506" i="3"/>
  <c r="G506" i="3"/>
  <c r="L478" i="3"/>
  <c r="M478" i="3"/>
  <c r="G478" i="3"/>
  <c r="L450" i="3"/>
  <c r="M450" i="3"/>
  <c r="G450" i="3"/>
  <c r="L422" i="3"/>
  <c r="M422" i="3"/>
  <c r="G422" i="3"/>
  <c r="L394" i="3"/>
  <c r="M394" i="3"/>
  <c r="G394" i="3"/>
  <c r="L366" i="3"/>
  <c r="M366" i="3"/>
  <c r="G366" i="3"/>
  <c r="L338" i="3"/>
  <c r="M338" i="3"/>
  <c r="G338" i="3"/>
  <c r="L310" i="3"/>
  <c r="M310" i="3"/>
  <c r="G310" i="3"/>
  <c r="L282" i="3"/>
  <c r="M282" i="3"/>
  <c r="G282" i="3"/>
  <c r="L254" i="3"/>
  <c r="M254" i="3"/>
  <c r="G254" i="3"/>
  <c r="L226" i="3"/>
  <c r="M226" i="3"/>
  <c r="G226" i="3"/>
  <c r="L527" i="3"/>
  <c r="M527" i="3"/>
  <c r="G527" i="3"/>
  <c r="L499" i="3"/>
  <c r="M499" i="3"/>
  <c r="G499" i="3"/>
  <c r="L471" i="3"/>
  <c r="M471" i="3"/>
  <c r="G471" i="3"/>
  <c r="L443" i="3"/>
  <c r="M443" i="3"/>
  <c r="G443" i="3"/>
  <c r="L415" i="3"/>
  <c r="M415" i="3"/>
  <c r="G415" i="3"/>
  <c r="L387" i="3"/>
  <c r="M387" i="3"/>
  <c r="G387" i="3"/>
  <c r="L359" i="3"/>
  <c r="M359" i="3"/>
  <c r="G359" i="3"/>
  <c r="L331" i="3"/>
  <c r="M331" i="3"/>
  <c r="G331" i="3"/>
  <c r="L303" i="3"/>
  <c r="M303" i="3"/>
  <c r="G303" i="3"/>
  <c r="L275" i="3"/>
  <c r="M275" i="3"/>
  <c r="G275" i="3"/>
  <c r="L247" i="3"/>
  <c r="M247" i="3"/>
  <c r="G247" i="3"/>
  <c r="L520" i="3"/>
  <c r="M520" i="3"/>
  <c r="G520" i="3"/>
  <c r="L492" i="3"/>
  <c r="M492" i="3"/>
  <c r="G492" i="3"/>
  <c r="L464" i="3"/>
  <c r="M464" i="3"/>
  <c r="G464" i="3"/>
  <c r="L436" i="3"/>
  <c r="M436" i="3"/>
  <c r="G436" i="3"/>
  <c r="L408" i="3"/>
  <c r="M408" i="3"/>
  <c r="G408" i="3"/>
  <c r="L380" i="3"/>
  <c r="M380" i="3"/>
  <c r="G380" i="3"/>
  <c r="L352" i="3"/>
  <c r="M352" i="3"/>
  <c r="G352" i="3"/>
  <c r="L324" i="3"/>
  <c r="M324" i="3"/>
  <c r="G324" i="3"/>
  <c r="L296" i="3"/>
  <c r="M296" i="3"/>
  <c r="G296" i="3"/>
  <c r="L268" i="3"/>
  <c r="M268" i="3"/>
  <c r="G268" i="3"/>
  <c r="L240" i="3"/>
  <c r="M240" i="3"/>
  <c r="G240" i="3"/>
  <c r="L541" i="3"/>
  <c r="M541" i="3"/>
  <c r="G541" i="3"/>
  <c r="L513" i="3"/>
  <c r="M513" i="3"/>
  <c r="G513" i="3"/>
  <c r="L485" i="3"/>
  <c r="M485" i="3"/>
  <c r="G485" i="3"/>
  <c r="L457" i="3"/>
  <c r="M457" i="3"/>
  <c r="G457" i="3"/>
  <c r="L429" i="3"/>
  <c r="M429" i="3"/>
  <c r="G429" i="3"/>
  <c r="L401" i="3"/>
  <c r="M401" i="3"/>
  <c r="G401" i="3"/>
  <c r="L373" i="3"/>
  <c r="M373" i="3"/>
  <c r="G373" i="3"/>
  <c r="L345" i="3"/>
  <c r="M345" i="3"/>
  <c r="G345" i="3"/>
  <c r="L317" i="3"/>
  <c r="M317" i="3"/>
  <c r="G317" i="3"/>
  <c r="L289" i="3"/>
  <c r="M289" i="3"/>
  <c r="G289" i="3"/>
  <c r="L261" i="3"/>
  <c r="M261" i="3"/>
  <c r="G261" i="3"/>
  <c r="L233" i="3"/>
  <c r="M233" i="3"/>
  <c r="G233" i="3"/>
  <c r="L532" i="3"/>
  <c r="M532" i="3"/>
  <c r="G532" i="3"/>
  <c r="L504" i="3"/>
  <c r="M504" i="3"/>
  <c r="G504" i="3"/>
  <c r="L476" i="3"/>
  <c r="M476" i="3"/>
  <c r="G476" i="3"/>
  <c r="L448" i="3"/>
  <c r="M448" i="3"/>
  <c r="G448" i="3"/>
  <c r="L420" i="3"/>
  <c r="M420" i="3"/>
  <c r="G420" i="3"/>
  <c r="L392" i="3"/>
  <c r="M392" i="3"/>
  <c r="G392" i="3"/>
  <c r="L364" i="3"/>
  <c r="M364" i="3"/>
  <c r="G364" i="3"/>
  <c r="L336" i="3"/>
  <c r="M336" i="3"/>
  <c r="G336" i="3"/>
  <c r="L308" i="3"/>
  <c r="M308" i="3"/>
  <c r="G308" i="3"/>
  <c r="L280" i="3"/>
  <c r="M280" i="3"/>
  <c r="G280" i="3"/>
  <c r="L252" i="3"/>
  <c r="G252" i="3"/>
  <c r="L224" i="3"/>
  <c r="M224" i="3"/>
  <c r="G224" i="3"/>
  <c r="L525" i="3"/>
  <c r="M525" i="3"/>
  <c r="G525" i="3"/>
  <c r="L497" i="3"/>
  <c r="M497" i="3"/>
  <c r="G497" i="3"/>
  <c r="L469" i="3"/>
  <c r="M469" i="3"/>
  <c r="G469" i="3"/>
  <c r="L441" i="3"/>
  <c r="M441" i="3"/>
  <c r="G441" i="3"/>
  <c r="L413" i="3"/>
  <c r="M413" i="3"/>
  <c r="G413" i="3"/>
  <c r="L385" i="3"/>
  <c r="M385" i="3"/>
  <c r="G385" i="3"/>
  <c r="L357" i="3"/>
  <c r="M357" i="3"/>
  <c r="G357" i="3"/>
  <c r="L329" i="3"/>
  <c r="M329" i="3"/>
  <c r="G329" i="3"/>
  <c r="L301" i="3"/>
  <c r="M301" i="3"/>
  <c r="G301" i="3"/>
  <c r="L273" i="3"/>
  <c r="M273" i="3"/>
  <c r="G273" i="3"/>
  <c r="L245" i="3"/>
  <c r="M245" i="3"/>
  <c r="G245" i="3"/>
  <c r="L518" i="3"/>
  <c r="M518" i="3"/>
  <c r="G518" i="3"/>
  <c r="L490" i="3"/>
  <c r="M490" i="3"/>
  <c r="G490" i="3"/>
  <c r="L462" i="3"/>
  <c r="M462" i="3"/>
  <c r="G462" i="3"/>
  <c r="L434" i="3"/>
  <c r="M434" i="3"/>
  <c r="G434" i="3"/>
  <c r="L406" i="3"/>
  <c r="M406" i="3"/>
  <c r="G406" i="3"/>
  <c r="L378" i="3"/>
  <c r="M378" i="3"/>
  <c r="G378" i="3"/>
  <c r="L350" i="3"/>
  <c r="M350" i="3"/>
  <c r="G350" i="3"/>
  <c r="L322" i="3"/>
  <c r="M322" i="3"/>
  <c r="G322" i="3"/>
  <c r="L294" i="3"/>
  <c r="M294" i="3"/>
  <c r="G294" i="3"/>
  <c r="L266" i="3"/>
  <c r="M266" i="3"/>
  <c r="G266" i="3"/>
  <c r="L238" i="3"/>
  <c r="M238" i="3"/>
  <c r="G238" i="3"/>
  <c r="L539" i="3"/>
  <c r="M539" i="3"/>
  <c r="G539" i="3"/>
  <c r="L511" i="3"/>
  <c r="M511" i="3"/>
  <c r="G511" i="3"/>
  <c r="L483" i="3"/>
  <c r="M483" i="3"/>
  <c r="G483" i="3"/>
  <c r="L455" i="3"/>
  <c r="M455" i="3"/>
  <c r="G455" i="3"/>
  <c r="L427" i="3"/>
  <c r="M427" i="3"/>
  <c r="G427" i="3"/>
  <c r="L399" i="3"/>
  <c r="M399" i="3"/>
  <c r="G399" i="3"/>
  <c r="L371" i="3"/>
  <c r="M371" i="3"/>
  <c r="G371" i="3"/>
  <c r="L343" i="3"/>
  <c r="M343" i="3"/>
  <c r="G343" i="3"/>
  <c r="L315" i="3"/>
  <c r="M315" i="3"/>
  <c r="G315" i="3"/>
  <c r="L287" i="3"/>
  <c r="M287" i="3"/>
  <c r="G287" i="3"/>
  <c r="L259" i="3"/>
  <c r="M259" i="3"/>
  <c r="G259" i="3"/>
  <c r="L231" i="3"/>
  <c r="M231" i="3"/>
  <c r="G231" i="3"/>
  <c r="F525" i="3"/>
  <c r="F497" i="3"/>
  <c r="F469" i="3"/>
  <c r="F441" i="3"/>
  <c r="F413" i="3"/>
  <c r="F385" i="3"/>
  <c r="F357" i="3"/>
  <c r="F329" i="3"/>
  <c r="F301" i="3"/>
  <c r="F273" i="3"/>
  <c r="F245" i="3"/>
  <c r="F532" i="3"/>
  <c r="F504" i="3"/>
  <c r="F476" i="3"/>
  <c r="F448" i="3"/>
  <c r="F420" i="3"/>
  <c r="F392" i="3"/>
  <c r="F364" i="3"/>
  <c r="F336" i="3"/>
  <c r="F308" i="3"/>
  <c r="F280" i="3"/>
  <c r="F252" i="3"/>
  <c r="F224" i="3"/>
  <c r="F539" i="3"/>
  <c r="F511" i="3"/>
  <c r="F483" i="3"/>
  <c r="F455" i="3"/>
  <c r="F427" i="3"/>
  <c r="F399" i="3"/>
  <c r="F371" i="3"/>
  <c r="F343" i="3"/>
  <c r="F315" i="3"/>
  <c r="F287" i="3"/>
  <c r="F259" i="3"/>
  <c r="F231" i="3"/>
  <c r="F518" i="3"/>
  <c r="F490" i="3"/>
  <c r="F462" i="3"/>
  <c r="F434" i="3"/>
  <c r="F406" i="3"/>
  <c r="F378" i="3"/>
  <c r="F350" i="3"/>
  <c r="F322" i="3"/>
  <c r="F294" i="3"/>
  <c r="F266" i="3"/>
  <c r="F238" i="3"/>
  <c r="E533" i="3"/>
  <c r="E505" i="3"/>
  <c r="E477" i="3"/>
  <c r="E449" i="3"/>
  <c r="E421" i="3"/>
  <c r="E393" i="3"/>
  <c r="E365" i="3"/>
  <c r="E337" i="3"/>
  <c r="E309" i="3"/>
  <c r="E281" i="3"/>
  <c r="E253" i="3"/>
  <c r="E225" i="3"/>
  <c r="E540" i="3"/>
  <c r="E512" i="3"/>
  <c r="E484" i="3"/>
  <c r="E456" i="3"/>
  <c r="E428" i="3"/>
  <c r="E400" i="3"/>
  <c r="E372" i="3"/>
  <c r="E344" i="3"/>
  <c r="E316" i="3"/>
  <c r="E288" i="3"/>
  <c r="E260" i="3"/>
  <c r="E232" i="3"/>
  <c r="E519" i="3"/>
  <c r="E491" i="3"/>
  <c r="E463" i="3"/>
  <c r="E435" i="3"/>
  <c r="E407" i="3"/>
  <c r="E379" i="3"/>
  <c r="E351" i="3"/>
  <c r="E323" i="3"/>
  <c r="E295" i="3"/>
  <c r="E267" i="3"/>
  <c r="E239" i="3"/>
  <c r="E526" i="3"/>
  <c r="E498" i="3"/>
  <c r="E470" i="3"/>
  <c r="E442" i="3"/>
  <c r="E414" i="3"/>
  <c r="E386" i="3"/>
  <c r="E358" i="3"/>
  <c r="E330" i="3"/>
  <c r="E302" i="3"/>
  <c r="E274" i="3"/>
  <c r="E246" i="3"/>
  <c r="F531" i="3"/>
  <c r="F503" i="3"/>
  <c r="F475" i="3"/>
  <c r="F447" i="3"/>
  <c r="F419" i="3"/>
  <c r="F391" i="3"/>
  <c r="F363" i="3"/>
  <c r="F335" i="3"/>
  <c r="F307" i="3"/>
  <c r="F279" i="3"/>
  <c r="F251" i="3"/>
  <c r="F223" i="3"/>
  <c r="F538" i="3"/>
  <c r="F510" i="3"/>
  <c r="F482" i="3"/>
  <c r="F454" i="3"/>
  <c r="F426" i="3"/>
  <c r="F398" i="3"/>
  <c r="F370" i="3"/>
  <c r="F342" i="3"/>
  <c r="F314" i="3"/>
  <c r="F286" i="3"/>
  <c r="F258" i="3"/>
  <c r="F230" i="3"/>
  <c r="F517" i="3"/>
  <c r="F489" i="3"/>
  <c r="F461" i="3"/>
  <c r="F433" i="3"/>
  <c r="F405" i="3"/>
  <c r="F377" i="3"/>
  <c r="F349" i="3"/>
  <c r="F321" i="3"/>
  <c r="F293" i="3"/>
  <c r="F265" i="3"/>
  <c r="F237" i="3"/>
  <c r="F524" i="3"/>
  <c r="F496" i="3"/>
  <c r="F468" i="3"/>
  <c r="F440" i="3"/>
  <c r="F412" i="3"/>
  <c r="F384" i="3"/>
  <c r="F356" i="3"/>
  <c r="F328" i="3"/>
  <c r="F300" i="3"/>
  <c r="F272" i="3"/>
  <c r="F244" i="3"/>
  <c r="E538" i="3"/>
  <c r="E510" i="3"/>
  <c r="E482" i="3"/>
  <c r="E454" i="3"/>
  <c r="E426" i="3"/>
  <c r="E398" i="3"/>
  <c r="E370" i="3"/>
  <c r="E342" i="3"/>
  <c r="E314" i="3"/>
  <c r="E286" i="3"/>
  <c r="E258" i="3"/>
  <c r="E230" i="3"/>
  <c r="E517" i="3"/>
  <c r="E489" i="3"/>
  <c r="E461" i="3"/>
  <c r="E433" i="3"/>
  <c r="E405" i="3"/>
  <c r="E377" i="3"/>
  <c r="E349" i="3"/>
  <c r="E321" i="3"/>
  <c r="E293" i="3"/>
  <c r="E265" i="3"/>
  <c r="E237" i="3"/>
  <c r="E524" i="3"/>
  <c r="E496" i="3"/>
  <c r="E468" i="3"/>
  <c r="E440" i="3"/>
  <c r="E412" i="3"/>
  <c r="E384" i="3"/>
  <c r="E356" i="3"/>
  <c r="E328" i="3"/>
  <c r="E300" i="3"/>
  <c r="E272" i="3"/>
  <c r="E244" i="3"/>
  <c r="E531" i="3"/>
  <c r="E503" i="3"/>
  <c r="E475" i="3"/>
  <c r="E447" i="3"/>
  <c r="E419" i="3"/>
  <c r="E391" i="3"/>
  <c r="E363" i="3"/>
  <c r="E335" i="3"/>
  <c r="E307" i="3"/>
  <c r="E279" i="3"/>
  <c r="E251" i="3"/>
  <c r="E223" i="3"/>
  <c r="E520" i="3"/>
  <c r="E492" i="3"/>
  <c r="E464" i="3"/>
  <c r="E436" i="3"/>
  <c r="E408" i="3"/>
  <c r="E380" i="3"/>
  <c r="E352" i="3"/>
  <c r="E324" i="3"/>
  <c r="E296" i="3"/>
  <c r="E268" i="3"/>
  <c r="E240" i="3"/>
  <c r="E527" i="3"/>
  <c r="E499" i="3"/>
  <c r="E471" i="3"/>
  <c r="E443" i="3"/>
  <c r="E415" i="3"/>
  <c r="E387" i="3"/>
  <c r="E359" i="3"/>
  <c r="E331" i="3"/>
  <c r="E303" i="3"/>
  <c r="E275" i="3"/>
  <c r="E247" i="3"/>
  <c r="E534" i="3"/>
  <c r="E506" i="3"/>
  <c r="E478" i="3"/>
  <c r="E450" i="3"/>
  <c r="E422" i="3"/>
  <c r="E394" i="3"/>
  <c r="E366" i="3"/>
  <c r="E338" i="3"/>
  <c r="E310" i="3"/>
  <c r="E282" i="3"/>
  <c r="E254" i="3"/>
  <c r="E226" i="3"/>
  <c r="E541" i="3"/>
  <c r="E513" i="3"/>
  <c r="E485" i="3"/>
  <c r="E457" i="3"/>
  <c r="E429" i="3"/>
  <c r="E401" i="3"/>
  <c r="E373" i="3"/>
  <c r="E345" i="3"/>
  <c r="E317" i="3"/>
  <c r="E289" i="3"/>
  <c r="E261" i="3"/>
  <c r="E233" i="3"/>
  <c r="F541" i="3"/>
  <c r="F513" i="3"/>
  <c r="F485" i="3"/>
  <c r="F457" i="3"/>
  <c r="F429" i="3"/>
  <c r="F401" i="3"/>
  <c r="F373" i="3"/>
  <c r="F345" i="3"/>
  <c r="F317" i="3"/>
  <c r="F289" i="3"/>
  <c r="F261" i="3"/>
  <c r="F233" i="3"/>
  <c r="F520" i="3"/>
  <c r="F492" i="3"/>
  <c r="F464" i="3"/>
  <c r="F436" i="3"/>
  <c r="F408" i="3"/>
  <c r="F380" i="3"/>
  <c r="F352" i="3"/>
  <c r="F324" i="3"/>
  <c r="F296" i="3"/>
  <c r="F268" i="3"/>
  <c r="F240" i="3"/>
  <c r="F527" i="3"/>
  <c r="F499" i="3"/>
  <c r="F471" i="3"/>
  <c r="F443" i="3"/>
  <c r="F415" i="3"/>
  <c r="F387" i="3"/>
  <c r="F359" i="3"/>
  <c r="F331" i="3"/>
  <c r="F303" i="3"/>
  <c r="F275" i="3"/>
  <c r="F247" i="3"/>
  <c r="F534" i="3"/>
  <c r="F506" i="3"/>
  <c r="F478" i="3"/>
  <c r="F450" i="3"/>
  <c r="F422" i="3"/>
  <c r="F394" i="3"/>
  <c r="F366" i="3"/>
  <c r="F338" i="3"/>
  <c r="F310" i="3"/>
  <c r="F282" i="3"/>
  <c r="F254" i="3"/>
  <c r="F226" i="3"/>
  <c r="J252" i="3"/>
  <c r="K252" i="3"/>
  <c r="I252" i="3"/>
  <c r="D252" i="3"/>
  <c r="M252" i="3"/>
  <c r="C252" i="3"/>
  <c r="C170" i="3"/>
  <c r="B142" i="3"/>
  <c r="B139" i="3"/>
  <c r="B104" i="3"/>
  <c r="B130" i="3"/>
  <c r="B113" i="3"/>
  <c r="B110" i="3"/>
  <c r="B127" i="3"/>
  <c r="C179" i="3"/>
  <c r="C199" i="3"/>
  <c r="C168" i="3"/>
  <c r="C172" i="3"/>
  <c r="C180" i="3"/>
  <c r="C205" i="3"/>
  <c r="C177" i="3"/>
  <c r="C174" i="3"/>
  <c r="B100" i="3"/>
  <c r="B135" i="3"/>
  <c r="C166" i="3"/>
  <c r="B134" i="3"/>
  <c r="B117" i="3"/>
  <c r="C197" i="3"/>
  <c r="C193" i="3"/>
  <c r="B122" i="3"/>
  <c r="B115" i="3"/>
  <c r="B124" i="3"/>
  <c r="C169" i="3"/>
  <c r="B106" i="3"/>
  <c r="B99" i="3"/>
  <c r="B133" i="3"/>
  <c r="C162" i="3"/>
  <c r="B102" i="3"/>
  <c r="B137" i="3"/>
  <c r="B105" i="3"/>
  <c r="B129" i="3"/>
  <c r="B101" i="3"/>
  <c r="B98" i="3"/>
  <c r="B108" i="3"/>
  <c r="B121" i="3"/>
  <c r="C196" i="3"/>
  <c r="B109" i="3"/>
  <c r="B107" i="3"/>
  <c r="B128" i="3"/>
  <c r="B120" i="3"/>
  <c r="B118" i="3"/>
  <c r="B125" i="3"/>
  <c r="B123" i="3"/>
  <c r="B103" i="3"/>
  <c r="B143" i="3"/>
  <c r="B116" i="3"/>
  <c r="B136" i="3"/>
  <c r="B141" i="3"/>
  <c r="C195" i="3"/>
  <c r="B138" i="3"/>
  <c r="B140" i="3"/>
  <c r="B132" i="3"/>
  <c r="C46" i="3"/>
  <c r="C112" i="3"/>
  <c r="C175" i="3"/>
  <c r="B131" i="3"/>
  <c r="B111" i="3"/>
  <c r="B114" i="3"/>
  <c r="B119" i="3"/>
  <c r="B126" i="3"/>
  <c r="B112" i="3"/>
  <c r="C42" i="3"/>
  <c r="C171" i="3"/>
  <c r="C131" i="3"/>
  <c r="C167" i="3"/>
  <c r="AC183" i="3"/>
  <c r="X183" i="3"/>
  <c r="V183" i="3"/>
  <c r="Q183" i="3"/>
  <c r="L183" i="3"/>
  <c r="J183" i="3"/>
  <c r="E183" i="3"/>
  <c r="AD183" i="3"/>
  <c r="W183" i="3"/>
  <c r="P183" i="3"/>
  <c r="F183" i="3"/>
  <c r="AB183" i="3"/>
  <c r="R183" i="3"/>
  <c r="K183" i="3"/>
  <c r="D183" i="3"/>
  <c r="AC187" i="3"/>
  <c r="X187" i="3"/>
  <c r="V187" i="3"/>
  <c r="Q187" i="3"/>
  <c r="L187" i="3"/>
  <c r="J187" i="3"/>
  <c r="E187" i="3"/>
  <c r="AD187" i="3"/>
  <c r="AB187" i="3"/>
  <c r="W187" i="3"/>
  <c r="R187" i="3"/>
  <c r="P187" i="3"/>
  <c r="K187" i="3"/>
  <c r="F187" i="3"/>
  <c r="D187" i="3"/>
  <c r="AC163" i="3"/>
  <c r="X163" i="3"/>
  <c r="V163" i="3"/>
  <c r="Q163" i="3"/>
  <c r="L163" i="3"/>
  <c r="AD163" i="3"/>
  <c r="W163" i="3"/>
  <c r="P163" i="3"/>
  <c r="AB163" i="3"/>
  <c r="R163" i="3"/>
  <c r="K163" i="3"/>
  <c r="AC167" i="3"/>
  <c r="X167" i="3"/>
  <c r="V167" i="3"/>
  <c r="Q167" i="3"/>
  <c r="L167" i="3"/>
  <c r="AB167" i="3"/>
  <c r="R167" i="3"/>
  <c r="K167" i="3"/>
  <c r="AD167" i="3"/>
  <c r="W167" i="3"/>
  <c r="P167" i="3"/>
  <c r="AC179" i="3"/>
  <c r="X179" i="3"/>
  <c r="V179" i="3"/>
  <c r="Q179" i="3"/>
  <c r="L179" i="3"/>
  <c r="J179" i="3"/>
  <c r="E179" i="3"/>
  <c r="AD179" i="3"/>
  <c r="W179" i="3"/>
  <c r="R179" i="3"/>
  <c r="K179" i="3"/>
  <c r="D179" i="3"/>
  <c r="AB179" i="3"/>
  <c r="P179" i="3"/>
  <c r="F179" i="3"/>
  <c r="AC199" i="3"/>
  <c r="X199" i="3"/>
  <c r="V199" i="3"/>
  <c r="Q199" i="3"/>
  <c r="L199" i="3"/>
  <c r="J199" i="3"/>
  <c r="E199" i="3"/>
  <c r="AD199" i="3"/>
  <c r="AB199" i="3"/>
  <c r="W199" i="3"/>
  <c r="R199" i="3"/>
  <c r="P199" i="3"/>
  <c r="K199" i="3"/>
  <c r="F199" i="3"/>
  <c r="D199" i="3"/>
  <c r="AD176" i="3"/>
  <c r="AB176" i="3"/>
  <c r="W176" i="3"/>
  <c r="R176" i="3"/>
  <c r="P176" i="3"/>
  <c r="K176" i="3"/>
  <c r="F176" i="3"/>
  <c r="D176" i="3"/>
  <c r="X176" i="3"/>
  <c r="Q176" i="3"/>
  <c r="J176" i="3"/>
  <c r="AC176" i="3"/>
  <c r="V176" i="3"/>
  <c r="L176" i="3"/>
  <c r="E176" i="3"/>
  <c r="AD204" i="3"/>
  <c r="AB204" i="3"/>
  <c r="W204" i="3"/>
  <c r="R204" i="3"/>
  <c r="P204" i="3"/>
  <c r="K204" i="3"/>
  <c r="F204" i="3"/>
  <c r="D204" i="3"/>
  <c r="AC204" i="3"/>
  <c r="X204" i="3"/>
  <c r="V204" i="3"/>
  <c r="Q204" i="3"/>
  <c r="L204" i="3"/>
  <c r="J204" i="3"/>
  <c r="E204" i="3"/>
  <c r="AC185" i="3"/>
  <c r="X185" i="3"/>
  <c r="V185" i="3"/>
  <c r="Q185" i="3"/>
  <c r="L185" i="3"/>
  <c r="J185" i="3"/>
  <c r="E185" i="3"/>
  <c r="R185" i="3"/>
  <c r="K185" i="3"/>
  <c r="D185" i="3"/>
  <c r="AD185" i="3"/>
  <c r="AB185" i="3"/>
  <c r="W185" i="3"/>
  <c r="P185" i="3"/>
  <c r="F185" i="3"/>
  <c r="AD170" i="3"/>
  <c r="AB170" i="3"/>
  <c r="W170" i="3"/>
  <c r="R170" i="3"/>
  <c r="P170" i="3"/>
  <c r="K170" i="3"/>
  <c r="F170" i="3"/>
  <c r="D170" i="3"/>
  <c r="AC170" i="3"/>
  <c r="V170" i="3"/>
  <c r="L170" i="3"/>
  <c r="E170" i="3"/>
  <c r="X170" i="3"/>
  <c r="Q170" i="3"/>
  <c r="J170" i="3"/>
  <c r="AC189" i="3"/>
  <c r="X189" i="3"/>
  <c r="V189" i="3"/>
  <c r="Q189" i="3"/>
  <c r="L189" i="3"/>
  <c r="J189" i="3"/>
  <c r="E189" i="3"/>
  <c r="AD189" i="3"/>
  <c r="AB189" i="3"/>
  <c r="W189" i="3"/>
  <c r="R189" i="3"/>
  <c r="P189" i="3"/>
  <c r="K189" i="3"/>
  <c r="F189" i="3"/>
  <c r="D189" i="3"/>
  <c r="AC193" i="3"/>
  <c r="X193" i="3"/>
  <c r="V193" i="3"/>
  <c r="Q193" i="3"/>
  <c r="L193" i="3"/>
  <c r="J193" i="3"/>
  <c r="E193" i="3"/>
  <c r="AD193" i="3"/>
  <c r="AB193" i="3"/>
  <c r="W193" i="3"/>
  <c r="R193" i="3"/>
  <c r="P193" i="3"/>
  <c r="K193" i="3"/>
  <c r="F193" i="3"/>
  <c r="D193" i="3"/>
  <c r="AD162" i="3"/>
  <c r="AB162" i="3"/>
  <c r="W162" i="3"/>
  <c r="R162" i="3"/>
  <c r="P162" i="3"/>
  <c r="K162" i="3"/>
  <c r="V162" i="3"/>
  <c r="L162" i="3"/>
  <c r="AC162" i="3"/>
  <c r="X162" i="3"/>
  <c r="Q162" i="3"/>
  <c r="AD166" i="3"/>
  <c r="AB166" i="3"/>
  <c r="W166" i="3"/>
  <c r="R166" i="3"/>
  <c r="P166" i="3"/>
  <c r="K166" i="3"/>
  <c r="AC166" i="3"/>
  <c r="V166" i="3"/>
  <c r="L166" i="3"/>
  <c r="X166" i="3"/>
  <c r="Q166" i="3"/>
  <c r="AD164" i="3"/>
  <c r="AB164" i="3"/>
  <c r="W164" i="3"/>
  <c r="R164" i="3"/>
  <c r="P164" i="3"/>
  <c r="K164" i="3"/>
  <c r="AC164" i="3"/>
  <c r="V164" i="3"/>
  <c r="L164" i="3"/>
  <c r="X164" i="3"/>
  <c r="Q164" i="3"/>
  <c r="AD168" i="3"/>
  <c r="AB168" i="3"/>
  <c r="W168" i="3"/>
  <c r="R168" i="3"/>
  <c r="P168" i="3"/>
  <c r="K168" i="3"/>
  <c r="X168" i="3"/>
  <c r="Q168" i="3"/>
  <c r="AC168" i="3"/>
  <c r="V168" i="3"/>
  <c r="L168" i="3"/>
  <c r="AD180" i="3"/>
  <c r="AB180" i="3"/>
  <c r="W180" i="3"/>
  <c r="R180" i="3"/>
  <c r="P180" i="3"/>
  <c r="K180" i="3"/>
  <c r="F180" i="3"/>
  <c r="D180" i="3"/>
  <c r="AC180" i="3"/>
  <c r="V180" i="3"/>
  <c r="L180" i="3"/>
  <c r="E180" i="3"/>
  <c r="X180" i="3"/>
  <c r="Q180" i="3"/>
  <c r="J180" i="3"/>
  <c r="AD184" i="3"/>
  <c r="AB184" i="3"/>
  <c r="W184" i="3"/>
  <c r="R184" i="3"/>
  <c r="P184" i="3"/>
  <c r="K184" i="3"/>
  <c r="F184" i="3"/>
  <c r="D184" i="3"/>
  <c r="AC184" i="3"/>
  <c r="V184" i="3"/>
  <c r="L184" i="3"/>
  <c r="E184" i="3"/>
  <c r="X184" i="3"/>
  <c r="Q184" i="3"/>
  <c r="J184" i="3"/>
  <c r="AD172" i="3"/>
  <c r="AB172" i="3"/>
  <c r="W172" i="3"/>
  <c r="R172" i="3"/>
  <c r="P172" i="3"/>
  <c r="K172" i="3"/>
  <c r="F172" i="3"/>
  <c r="D172" i="3"/>
  <c r="X172" i="3"/>
  <c r="Q172" i="3"/>
  <c r="J172" i="3"/>
  <c r="AC172" i="3"/>
  <c r="V172" i="3"/>
  <c r="L172" i="3"/>
  <c r="E172" i="3"/>
  <c r="AD188" i="3"/>
  <c r="AB188" i="3"/>
  <c r="W188" i="3"/>
  <c r="R188" i="3"/>
  <c r="P188" i="3"/>
  <c r="K188" i="3"/>
  <c r="F188" i="3"/>
  <c r="D188" i="3"/>
  <c r="Q188" i="3"/>
  <c r="AC188" i="3"/>
  <c r="X188" i="3"/>
  <c r="V188" i="3"/>
  <c r="L188" i="3"/>
  <c r="J188" i="3"/>
  <c r="E188" i="3"/>
  <c r="AD192" i="3"/>
  <c r="AB192" i="3"/>
  <c r="W192" i="3"/>
  <c r="R192" i="3"/>
  <c r="P192" i="3"/>
  <c r="K192" i="3"/>
  <c r="F192" i="3"/>
  <c r="D192" i="3"/>
  <c r="AC192" i="3"/>
  <c r="X192" i="3"/>
  <c r="V192" i="3"/>
  <c r="Q192" i="3"/>
  <c r="L192" i="3"/>
  <c r="J192" i="3"/>
  <c r="E192" i="3"/>
  <c r="AD196" i="3"/>
  <c r="AB196" i="3"/>
  <c r="W196" i="3"/>
  <c r="R196" i="3"/>
  <c r="P196" i="3"/>
  <c r="K196" i="3"/>
  <c r="F196" i="3"/>
  <c r="D196" i="3"/>
  <c r="AC196" i="3"/>
  <c r="X196" i="3"/>
  <c r="V196" i="3"/>
  <c r="Q196" i="3"/>
  <c r="L196" i="3"/>
  <c r="J196" i="3"/>
  <c r="E196" i="3"/>
  <c r="AD200" i="3"/>
  <c r="AB200" i="3"/>
  <c r="W200" i="3"/>
  <c r="R200" i="3"/>
  <c r="P200" i="3"/>
  <c r="K200" i="3"/>
  <c r="F200" i="3"/>
  <c r="D200" i="3"/>
  <c r="AC200" i="3"/>
  <c r="X200" i="3"/>
  <c r="V200" i="3"/>
  <c r="Q200" i="3"/>
  <c r="L200" i="3"/>
  <c r="J200" i="3"/>
  <c r="E200" i="3"/>
  <c r="AD178" i="3"/>
  <c r="AB178" i="3"/>
  <c r="W178" i="3"/>
  <c r="R178" i="3"/>
  <c r="P178" i="3"/>
  <c r="K178" i="3"/>
  <c r="F178" i="3"/>
  <c r="D178" i="3"/>
  <c r="AC178" i="3"/>
  <c r="V178" i="3"/>
  <c r="L178" i="3"/>
  <c r="E178" i="3"/>
  <c r="X178" i="3"/>
  <c r="Q178" i="3"/>
  <c r="J178" i="3"/>
  <c r="AC205" i="3"/>
  <c r="X205" i="3"/>
  <c r="V205" i="3"/>
  <c r="Q205" i="3"/>
  <c r="L205" i="3"/>
  <c r="J205" i="3"/>
  <c r="E205" i="3"/>
  <c r="AD205" i="3"/>
  <c r="AB205" i="3"/>
  <c r="W205" i="3"/>
  <c r="R205" i="3"/>
  <c r="P205" i="3"/>
  <c r="K205" i="3"/>
  <c r="F205" i="3"/>
  <c r="D205" i="3"/>
  <c r="AD174" i="3"/>
  <c r="AB174" i="3"/>
  <c r="W174" i="3"/>
  <c r="R174" i="3"/>
  <c r="P174" i="3"/>
  <c r="K174" i="3"/>
  <c r="F174" i="3"/>
  <c r="D174" i="3"/>
  <c r="X174" i="3"/>
  <c r="Q174" i="3"/>
  <c r="J174" i="3"/>
  <c r="AC174" i="3"/>
  <c r="V174" i="3"/>
  <c r="L174" i="3"/>
  <c r="E174" i="3"/>
  <c r="C194" i="3"/>
  <c r="C202" i="3"/>
  <c r="C56" i="3"/>
  <c r="C105" i="3"/>
  <c r="C185" i="3"/>
  <c r="C186" i="3"/>
  <c r="C178" i="3"/>
  <c r="C189" i="3"/>
  <c r="C44" i="3"/>
  <c r="C173" i="3"/>
  <c r="C124" i="3"/>
  <c r="C204" i="3"/>
  <c r="C165" i="3"/>
  <c r="C200" i="3"/>
  <c r="C125" i="3"/>
  <c r="C184" i="3"/>
  <c r="C164" i="3"/>
  <c r="C203" i="3"/>
  <c r="C191" i="3"/>
  <c r="C183" i="3"/>
  <c r="AD190" i="3"/>
  <c r="AB190" i="3"/>
  <c r="W190" i="3"/>
  <c r="R190" i="3"/>
  <c r="P190" i="3"/>
  <c r="K190" i="3"/>
  <c r="F190" i="3"/>
  <c r="D190" i="3"/>
  <c r="AC190" i="3"/>
  <c r="X190" i="3"/>
  <c r="V190" i="3"/>
  <c r="Q190" i="3"/>
  <c r="L190" i="3"/>
  <c r="J190" i="3"/>
  <c r="E190" i="3"/>
  <c r="AD194" i="3"/>
  <c r="AB194" i="3"/>
  <c r="W194" i="3"/>
  <c r="R194" i="3"/>
  <c r="P194" i="3"/>
  <c r="K194" i="3"/>
  <c r="F194" i="3"/>
  <c r="D194" i="3"/>
  <c r="AC194" i="3"/>
  <c r="X194" i="3"/>
  <c r="V194" i="3"/>
  <c r="Q194" i="3"/>
  <c r="L194" i="3"/>
  <c r="J194" i="3"/>
  <c r="E194" i="3"/>
  <c r="AD198" i="3"/>
  <c r="AB198" i="3"/>
  <c r="W198" i="3"/>
  <c r="R198" i="3"/>
  <c r="P198" i="3"/>
  <c r="K198" i="3"/>
  <c r="F198" i="3"/>
  <c r="D198" i="3"/>
  <c r="AC198" i="3"/>
  <c r="X198" i="3"/>
  <c r="V198" i="3"/>
  <c r="Q198" i="3"/>
  <c r="L198" i="3"/>
  <c r="J198" i="3"/>
  <c r="E198" i="3"/>
  <c r="AD202" i="3"/>
  <c r="AB202" i="3"/>
  <c r="W202" i="3"/>
  <c r="R202" i="3"/>
  <c r="P202" i="3"/>
  <c r="K202" i="3"/>
  <c r="F202" i="3"/>
  <c r="D202" i="3"/>
  <c r="AC202" i="3"/>
  <c r="X202" i="3"/>
  <c r="V202" i="3"/>
  <c r="Q202" i="3"/>
  <c r="L202" i="3"/>
  <c r="J202" i="3"/>
  <c r="E202" i="3"/>
  <c r="AD206" i="3"/>
  <c r="AB206" i="3"/>
  <c r="W206" i="3"/>
  <c r="R206" i="3"/>
  <c r="P206" i="3"/>
  <c r="K206" i="3"/>
  <c r="F206" i="3"/>
  <c r="D206" i="3"/>
  <c r="AC206" i="3"/>
  <c r="X206" i="3"/>
  <c r="V206" i="3"/>
  <c r="Q206" i="3"/>
  <c r="L206" i="3"/>
  <c r="J206" i="3"/>
  <c r="E206" i="3"/>
  <c r="AC175" i="3"/>
  <c r="X175" i="3"/>
  <c r="V175" i="3"/>
  <c r="Q175" i="3"/>
  <c r="L175" i="3"/>
  <c r="J175" i="3"/>
  <c r="E175" i="3"/>
  <c r="W175" i="3"/>
  <c r="P175" i="3"/>
  <c r="F175" i="3"/>
  <c r="AD175" i="3"/>
  <c r="AB175" i="3"/>
  <c r="R175" i="3"/>
  <c r="K175" i="3"/>
  <c r="D175" i="3"/>
  <c r="AC171" i="3"/>
  <c r="X171" i="3"/>
  <c r="V171" i="3"/>
  <c r="Q171" i="3"/>
  <c r="L171" i="3"/>
  <c r="J171" i="3"/>
  <c r="E171" i="3"/>
  <c r="AB171" i="3"/>
  <c r="R171" i="3"/>
  <c r="K171" i="3"/>
  <c r="D171" i="3"/>
  <c r="AD171" i="3"/>
  <c r="W171" i="3"/>
  <c r="P171" i="3"/>
  <c r="F171" i="3"/>
  <c r="AC191" i="3"/>
  <c r="X191" i="3"/>
  <c r="V191" i="3"/>
  <c r="Q191" i="3"/>
  <c r="L191" i="3"/>
  <c r="J191" i="3"/>
  <c r="E191" i="3"/>
  <c r="AD191" i="3"/>
  <c r="AB191" i="3"/>
  <c r="W191" i="3"/>
  <c r="R191" i="3"/>
  <c r="P191" i="3"/>
  <c r="K191" i="3"/>
  <c r="F191" i="3"/>
  <c r="D191" i="3"/>
  <c r="AC195" i="3"/>
  <c r="X195" i="3"/>
  <c r="V195" i="3"/>
  <c r="Q195" i="3"/>
  <c r="L195" i="3"/>
  <c r="J195" i="3"/>
  <c r="E195" i="3"/>
  <c r="AD195" i="3"/>
  <c r="AB195" i="3"/>
  <c r="W195" i="3"/>
  <c r="R195" i="3"/>
  <c r="P195" i="3"/>
  <c r="K195" i="3"/>
  <c r="F195" i="3"/>
  <c r="D195" i="3"/>
  <c r="AC203" i="3"/>
  <c r="X203" i="3"/>
  <c r="V203" i="3"/>
  <c r="Q203" i="3"/>
  <c r="L203" i="3"/>
  <c r="J203" i="3"/>
  <c r="E203" i="3"/>
  <c r="AD203" i="3"/>
  <c r="AB203" i="3"/>
  <c r="W203" i="3"/>
  <c r="R203" i="3"/>
  <c r="P203" i="3"/>
  <c r="K203" i="3"/>
  <c r="F203" i="3"/>
  <c r="D203" i="3"/>
  <c r="AC161" i="3"/>
  <c r="X161" i="3"/>
  <c r="V161" i="3"/>
  <c r="Q161" i="3"/>
  <c r="L161" i="3"/>
  <c r="AD161" i="3"/>
  <c r="W161" i="3"/>
  <c r="P161" i="3"/>
  <c r="AB161" i="3"/>
  <c r="R161" i="3"/>
  <c r="K161" i="3"/>
  <c r="AC169" i="3"/>
  <c r="X169" i="3"/>
  <c r="V169" i="3"/>
  <c r="Q169" i="3"/>
  <c r="L169" i="3"/>
  <c r="J169" i="3"/>
  <c r="E169" i="3"/>
  <c r="AD169" i="3"/>
  <c r="W169" i="3"/>
  <c r="P169" i="3"/>
  <c r="F169" i="3"/>
  <c r="AB169" i="3"/>
  <c r="R169" i="3"/>
  <c r="K169" i="3"/>
  <c r="D169" i="3"/>
  <c r="AC177" i="3"/>
  <c r="X177" i="3"/>
  <c r="V177" i="3"/>
  <c r="Q177" i="3"/>
  <c r="L177" i="3"/>
  <c r="J177" i="3"/>
  <c r="E177" i="3"/>
  <c r="AD177" i="3"/>
  <c r="W177" i="3"/>
  <c r="P177" i="3"/>
  <c r="F177" i="3"/>
  <c r="AB177" i="3"/>
  <c r="R177" i="3"/>
  <c r="K177" i="3"/>
  <c r="D177" i="3"/>
  <c r="AC181" i="3"/>
  <c r="X181" i="3"/>
  <c r="V181" i="3"/>
  <c r="Q181" i="3"/>
  <c r="L181" i="3"/>
  <c r="J181" i="3"/>
  <c r="E181" i="3"/>
  <c r="AB181" i="3"/>
  <c r="R181" i="3"/>
  <c r="K181" i="3"/>
  <c r="D181" i="3"/>
  <c r="AD181" i="3"/>
  <c r="W181" i="3"/>
  <c r="P181" i="3"/>
  <c r="F181" i="3"/>
  <c r="AC197" i="3"/>
  <c r="X197" i="3"/>
  <c r="V197" i="3"/>
  <c r="Q197" i="3"/>
  <c r="L197" i="3"/>
  <c r="J197" i="3"/>
  <c r="E197" i="3"/>
  <c r="AD197" i="3"/>
  <c r="AB197" i="3"/>
  <c r="W197" i="3"/>
  <c r="R197" i="3"/>
  <c r="P197" i="3"/>
  <c r="K197" i="3"/>
  <c r="F197" i="3"/>
  <c r="D197" i="3"/>
  <c r="AC201" i="3"/>
  <c r="X201" i="3"/>
  <c r="V201" i="3"/>
  <c r="Q201" i="3"/>
  <c r="L201" i="3"/>
  <c r="J201" i="3"/>
  <c r="E201" i="3"/>
  <c r="AD201" i="3"/>
  <c r="AB201" i="3"/>
  <c r="W201" i="3"/>
  <c r="R201" i="3"/>
  <c r="P201" i="3"/>
  <c r="K201" i="3"/>
  <c r="F201" i="3"/>
  <c r="D201" i="3"/>
  <c r="AC165" i="3"/>
  <c r="X165" i="3"/>
  <c r="V165" i="3"/>
  <c r="Q165" i="3"/>
  <c r="L165" i="3"/>
  <c r="AD165" i="3"/>
  <c r="AB165" i="3"/>
  <c r="R165" i="3"/>
  <c r="K165" i="3"/>
  <c r="W165" i="3"/>
  <c r="P165" i="3"/>
  <c r="AC173" i="3"/>
  <c r="X173" i="3"/>
  <c r="V173" i="3"/>
  <c r="Q173" i="3"/>
  <c r="L173" i="3"/>
  <c r="J173" i="3"/>
  <c r="E173" i="3"/>
  <c r="W173" i="3"/>
  <c r="P173" i="3"/>
  <c r="F173" i="3"/>
  <c r="AD173" i="3"/>
  <c r="AB173" i="3"/>
  <c r="R173" i="3"/>
  <c r="K173" i="3"/>
  <c r="D173" i="3"/>
  <c r="C190" i="3"/>
  <c r="C69" i="3"/>
  <c r="C198" i="3"/>
  <c r="C104" i="3"/>
  <c r="C206" i="3"/>
  <c r="C201" i="3"/>
  <c r="C182" i="3"/>
  <c r="C181" i="3"/>
  <c r="C188" i="3"/>
  <c r="C47" i="3"/>
  <c r="C103" i="3"/>
  <c r="C176" i="3"/>
  <c r="C192" i="3"/>
  <c r="C187" i="3"/>
  <c r="C163" i="3"/>
  <c r="AD182" i="3"/>
  <c r="AB182" i="3"/>
  <c r="W182" i="3"/>
  <c r="R182" i="3"/>
  <c r="P182" i="3"/>
  <c r="K182" i="3"/>
  <c r="F182" i="3"/>
  <c r="D182" i="3"/>
  <c r="X182" i="3"/>
  <c r="Q182" i="3"/>
  <c r="J182" i="3"/>
  <c r="AC182" i="3"/>
  <c r="V182" i="3"/>
  <c r="L182" i="3"/>
  <c r="E182" i="3"/>
  <c r="AD186" i="3"/>
  <c r="AB186" i="3"/>
  <c r="W186" i="3"/>
  <c r="R186" i="3"/>
  <c r="P186" i="3"/>
  <c r="K186" i="3"/>
  <c r="F186" i="3"/>
  <c r="D186" i="3"/>
  <c r="AC186" i="3"/>
  <c r="X186" i="3"/>
  <c r="V186" i="3"/>
  <c r="Q186" i="3"/>
  <c r="L186" i="3"/>
  <c r="J186" i="3"/>
  <c r="E186" i="3"/>
</calcChain>
</file>

<file path=xl/sharedStrings.xml><?xml version="1.0" encoding="utf-8"?>
<sst xmlns="http://schemas.openxmlformats.org/spreadsheetml/2006/main" count="2343" uniqueCount="572">
  <si>
    <t xml:space="preserve">Consiglio di Stato                                                                    </t>
  </si>
  <si>
    <t>Ministero dell'ambiente e della tutela del territorio e del mare</t>
  </si>
  <si>
    <t xml:space="preserve">ex Ministero del commercio internazionale       </t>
  </si>
  <si>
    <t xml:space="preserve">Ministero per i beni e le attività culturali                                                       </t>
  </si>
  <si>
    <t>Tot. 2007</t>
  </si>
  <si>
    <t>KPI 3</t>
  </si>
  <si>
    <t>KPI 4</t>
  </si>
  <si>
    <t>Accesso remoto mediante  VPN</t>
  </si>
  <si>
    <t>Accesso remoto senza  VPN</t>
  </si>
  <si>
    <t>Tot. Quesiti</t>
  </si>
  <si>
    <r>
      <t>A</t>
    </r>
    <r>
      <rPr>
        <b/>
        <sz val="7"/>
        <rFont val="Univers-CondensedBold"/>
      </rPr>
      <t>MMINISTRAZIONE</t>
    </r>
  </si>
  <si>
    <r>
      <t>D</t>
    </r>
    <r>
      <rPr>
        <b/>
        <sz val="7"/>
        <rFont val="Univers-CondensedBold"/>
      </rPr>
      <t>IPENDENTI INFORMATIZZABILI</t>
    </r>
  </si>
  <si>
    <t>Avvocatura</t>
  </si>
  <si>
    <t>Consiglio di Stato</t>
  </si>
  <si>
    <t>Presidenza del Consiglio</t>
  </si>
  <si>
    <t>-</t>
  </si>
  <si>
    <t>SSPA</t>
  </si>
  <si>
    <t>Affari esteri</t>
  </si>
  <si>
    <t>Ambiente</t>
  </si>
  <si>
    <t>Sviluppo economico</t>
  </si>
  <si>
    <t>…</t>
  </si>
  <si>
    <t xml:space="preserve">Commercio internazionale </t>
  </si>
  <si>
    <t xml:space="preserve">ex Ministero del lavoro e delle politiche sociali                                          </t>
  </si>
  <si>
    <t>KPI 1.1</t>
  </si>
  <si>
    <t>KPI 1.2</t>
  </si>
  <si>
    <t>KPI 1.3</t>
  </si>
  <si>
    <t>KPI 1.3a</t>
  </si>
  <si>
    <t>KPI 1.4</t>
  </si>
  <si>
    <t>KPI 1.5</t>
  </si>
  <si>
    <t>KPI 1.6</t>
  </si>
  <si>
    <t>KPI 1.7</t>
  </si>
  <si>
    <t>Non esistono postazioni mobili o impiego di supporti dati rimuovibili</t>
  </si>
  <si>
    <t>KPI 1.8</t>
  </si>
  <si>
    <t>dim</t>
  </si>
  <si>
    <t xml:space="preserve">Ministero degli affari esteri                                                                   </t>
  </si>
  <si>
    <t>Ministero dello sviluppo economico</t>
  </si>
  <si>
    <t xml:space="preserve">Ministero del commercio internazionale       </t>
  </si>
  <si>
    <t>Completamente decentralizzato</t>
  </si>
  <si>
    <t>min</t>
  </si>
  <si>
    <t>max</t>
  </si>
  <si>
    <t>Punt. 2005</t>
  </si>
  <si>
    <t>Δ 2006</t>
  </si>
  <si>
    <t>Δ 2007</t>
  </si>
  <si>
    <t>Categoria</t>
  </si>
  <si>
    <t>N.C.</t>
  </si>
  <si>
    <t># attività ostili</t>
  </si>
  <si>
    <t># virus rilevati</t>
  </si>
  <si>
    <t>http hit</t>
  </si>
  <si>
    <t># e-Mail scambiate</t>
  </si>
  <si>
    <t>miliardi di http hit</t>
  </si>
  <si>
    <t>milioni di  e-Mail scambiate</t>
  </si>
  <si>
    <t>Esiste una previsione di spesa dedicata specificatamente alla sicurezza ?</t>
  </si>
  <si>
    <t>Se esiste una voce dedicata alla sicurezza quale è la percentuale sul budget IT complessivo ?</t>
  </si>
  <si>
    <t>E' stata effettuata un 'analisi dei rischi commessi alla sicurezza ICT ?</t>
  </si>
  <si>
    <t>KPI 3.6</t>
  </si>
  <si>
    <t>KPI 3.7</t>
  </si>
  <si>
    <t>KPI 3.8</t>
  </si>
  <si>
    <t>KPI 3.9</t>
  </si>
  <si>
    <t>KPI 4.1</t>
  </si>
  <si>
    <t>KPI 4.2</t>
  </si>
  <si>
    <t>KPI 4.3</t>
  </si>
  <si>
    <t>KPI 4.4</t>
  </si>
  <si>
    <t>KPI 4.5</t>
  </si>
  <si>
    <t>KPI 4.6</t>
  </si>
  <si>
    <t>KPI 4.7</t>
  </si>
  <si>
    <t>KPI 4.8</t>
  </si>
  <si>
    <t>KPI 4.9</t>
  </si>
  <si>
    <t>KPI 4.10</t>
  </si>
  <si>
    <t>KPI 4.11</t>
  </si>
  <si>
    <t>KPI 4.12</t>
  </si>
  <si>
    <t>KPI 4.13</t>
  </si>
  <si>
    <t>Quesito</t>
    <phoneticPr fontId="3" type="noConversion"/>
  </si>
  <si>
    <t>Se si quale percentuale di addetti al S.I. ne ha usufruito ?</t>
  </si>
  <si>
    <t>foglio</t>
  </si>
  <si>
    <t>sicurezzaLogica</t>
  </si>
  <si>
    <t>prima riga</t>
  </si>
  <si>
    <t xml:space="preserve">posizione nel foglio </t>
  </si>
  <si>
    <t>a</t>
  </si>
  <si>
    <t>b</t>
  </si>
  <si>
    <t>c</t>
  </si>
  <si>
    <t>Ministero della giustizia - Dipartimento per la Giustizia Minorile</t>
  </si>
  <si>
    <t>Ministero della giustizia - Dipartimento dell'Amministrazione Penitenziaria</t>
  </si>
  <si>
    <t>Ministero dell'interno - Affari Interni e Territoriali - Demografici</t>
  </si>
  <si>
    <t xml:space="preserve">ex Ministero delle comunicazioni                                                              </t>
  </si>
  <si>
    <t xml:space="preserve">Amministrazione autonoma dei monopoli di Stato                                                      </t>
  </si>
  <si>
    <t xml:space="preserve">Istituto per gli Affari Sociali           </t>
  </si>
  <si>
    <t xml:space="preserve">ex Ministero della salute                                                                        </t>
  </si>
  <si>
    <t>Compresa tra 5 % e 10%</t>
  </si>
  <si>
    <t>Maggiore del 10%</t>
  </si>
  <si>
    <t>62+63</t>
  </si>
  <si>
    <t>58+59</t>
  </si>
  <si>
    <t>55+56+57</t>
  </si>
  <si>
    <t>40+41+42+43+44+45</t>
  </si>
  <si>
    <t>28+29</t>
  </si>
  <si>
    <t>26+27</t>
  </si>
  <si>
    <t>24+25</t>
  </si>
  <si>
    <t>21+22+23</t>
  </si>
  <si>
    <t>15+16</t>
  </si>
  <si>
    <t>8+9+10+11</t>
  </si>
  <si>
    <t>3+4+5+6+7</t>
  </si>
  <si>
    <t>Esistono postazioni mobili o supporti dati rimuovibili senza sistemi di prevenzione degli accessi</t>
  </si>
  <si>
    <t>KPI 1.9</t>
  </si>
  <si>
    <t>KPI 2.1</t>
  </si>
  <si>
    <t>KPI 2.2</t>
  </si>
  <si>
    <t>KPI 2.3</t>
  </si>
  <si>
    <t>KPI 2.4</t>
  </si>
  <si>
    <t>KPI 2.5</t>
  </si>
  <si>
    <t>KPI 2.6</t>
  </si>
  <si>
    <t>KPI 2.7</t>
  </si>
  <si>
    <t>KPI 2.8</t>
  </si>
  <si>
    <t>KPI 2.9</t>
  </si>
  <si>
    <t>KPI 3.1</t>
  </si>
  <si>
    <t>KPI 3.2</t>
  </si>
  <si>
    <t>KPI 3.3</t>
  </si>
  <si>
    <t>KPI 3.4</t>
  </si>
  <si>
    <t>KPI 3.5</t>
  </si>
  <si>
    <t>Se esiste un server di posta elettronica interno, esiste un filtro antivirus sul server di posta locale ?</t>
  </si>
  <si>
    <t>Esiste ed è attivo un gruppo di gestione degli incidenti ?</t>
  </si>
  <si>
    <t>Esiste un controllo preventivo della scelta della password ?</t>
  </si>
  <si>
    <t xml:space="preserve">Viene utilizzato il firewall come protezione di rete? </t>
  </si>
  <si>
    <t>milioni di virus rilevati</t>
  </si>
  <si>
    <t>ottimo</t>
  </si>
  <si>
    <t>critico</t>
  </si>
  <si>
    <t>Sì</t>
  </si>
  <si>
    <t>Sì, con copertura analisi rischi minima</t>
  </si>
  <si>
    <t>Sì, con copertura analisi rischi parziale</t>
  </si>
  <si>
    <t>Sì, con copertura analisi rischi totale</t>
  </si>
  <si>
    <t>Inferiore al 10 %</t>
  </si>
  <si>
    <t>Compresa tra il 10 % e il 30 %</t>
  </si>
  <si>
    <t>Compresa tra il 30 % e il 50 %</t>
  </si>
  <si>
    <t>KPI 1</t>
  </si>
  <si>
    <t>KPI 2</t>
  </si>
  <si>
    <t>Nel caso sia consentito l'accesso alla rete interna da remoto la modalità di connessione utilizza VPN ?</t>
  </si>
  <si>
    <t>Viene utilizzato il protocollo HTTPS per proteggere i contenuti sensibili ?</t>
  </si>
  <si>
    <t>Politiche Fiscali</t>
  </si>
  <si>
    <t>Dogane</t>
  </si>
  <si>
    <t>Entrate</t>
  </si>
  <si>
    <t>Territorio</t>
  </si>
  <si>
    <t>Guardia di Finanza</t>
  </si>
  <si>
    <t>Giustizia</t>
  </si>
  <si>
    <t>Interno</t>
  </si>
  <si>
    <t xml:space="preserve">Infrastrutture e trasporti </t>
  </si>
  <si>
    <t xml:space="preserve">Beni culturali </t>
  </si>
  <si>
    <t>Comunicazioni</t>
  </si>
  <si>
    <t>Difesa</t>
  </si>
  <si>
    <t>Carabinieri</t>
  </si>
  <si>
    <r>
      <t>T</t>
    </r>
    <r>
      <rPr>
        <b/>
        <sz val="7"/>
        <rFont val="Univers-CondensedBold"/>
      </rPr>
      <t>OTALE ENTI</t>
    </r>
  </si>
  <si>
    <r>
      <t>T</t>
    </r>
    <r>
      <rPr>
        <b/>
        <sz val="7"/>
        <rFont val="Univers-CondensedBold"/>
      </rPr>
      <t>OT</t>
    </r>
    <r>
      <rPr>
        <b/>
        <sz val="9"/>
        <rFont val="Univers-CondensedBold"/>
      </rPr>
      <t>. Amm. Centrali ed Enti</t>
    </r>
  </si>
  <si>
    <r>
      <t>D</t>
    </r>
    <r>
      <rPr>
        <b/>
        <sz val="7"/>
        <rFont val="Univers-CondensedBold"/>
      </rPr>
      <t>I CUI PERIFERICI</t>
    </r>
  </si>
  <si>
    <r>
      <t>D</t>
    </r>
    <r>
      <rPr>
        <b/>
        <sz val="7"/>
        <rFont val="Univers-CondensedBold"/>
      </rPr>
      <t>IPENDENTI</t>
    </r>
  </si>
  <si>
    <r>
      <t>T</t>
    </r>
    <r>
      <rPr>
        <b/>
        <sz val="7"/>
        <rFont val="Univers-CondensedBold"/>
      </rPr>
      <t>OTALE Amm. Centrali</t>
    </r>
  </si>
  <si>
    <t xml:space="preserve">Sono state definite ed adottate tecnologie e procedure per il backup centralizzato ? </t>
  </si>
  <si>
    <t>Non viene utilizzata nessuna protezione di rete</t>
  </si>
  <si>
    <t>Sono state rilevate intrusioni riuscite negli ultimi 24 mesi ?</t>
  </si>
  <si>
    <t>La procedura di backup è documentata?</t>
  </si>
  <si>
    <t>Viene utilizzato un sistema di controllo accessi per disciplinare l'accesso alle risorse elaborative ?</t>
  </si>
  <si>
    <t xml:space="preserve">Ministero della difesa                                                              </t>
  </si>
  <si>
    <t>Stato Maggiore Esercito</t>
  </si>
  <si>
    <t>Stato Maggiore Marina</t>
  </si>
  <si>
    <t>Stato Maggiore Aeronautica</t>
  </si>
  <si>
    <t>Se esiste un contratto di outsourcing, il contratto prevede che l'amministrazione appaltante effetui modifche su come è gestita la sicurezza ?</t>
  </si>
  <si>
    <t>Se sono rilevate intrusione riuscite di che tipo sono state ?</t>
  </si>
  <si>
    <t xml:space="preserve">Istituto italiano di medicina sociale                                                               </t>
  </si>
  <si>
    <t xml:space="preserve">Istituto nazionale per le conserve alimentari                                                       </t>
  </si>
  <si>
    <t>Sono state prese iniziative per la sensibilizzazione alla sicurezza informatica rivolte a tutto il personale dell'amministrazione ?</t>
  </si>
  <si>
    <t>E' stato già redatto ed approvato un piano di formazione e sensibilizazzione per la sicurezza ICT ?</t>
  </si>
  <si>
    <t xml:space="preserve">Istituto superiore per la prevenzione e la sicurezza del lavoro                                     </t>
  </si>
  <si>
    <t xml:space="preserve">Sono state definite policy per l'uso delle risorse interne da parte degli utenti ? </t>
  </si>
  <si>
    <t>Esistono barriere fisiche per limitare e perimetrare l'accesso alle risorse elaborative e alla rete interna ?</t>
  </si>
  <si>
    <t>Ministero dell'interno - Affari Interni e Territoriali - Elettorale</t>
  </si>
  <si>
    <t>Ministero dell'interno - Libertà Civili e Immigrazione</t>
  </si>
  <si>
    <t>Ministero dell'interno - P.S. CED PS</t>
  </si>
  <si>
    <t>Ente Nazionale per l'Aviazione Civile</t>
  </si>
  <si>
    <t>X</t>
  </si>
  <si>
    <t>Tot</t>
  </si>
  <si>
    <t>DIM</t>
  </si>
  <si>
    <t>ENTI</t>
  </si>
  <si>
    <t>Grandi</t>
  </si>
  <si>
    <t>Medie</t>
  </si>
  <si>
    <t>Piccole</t>
  </si>
  <si>
    <t>#</t>
  </si>
  <si>
    <t>Non previsto audit</t>
  </si>
  <si>
    <t>Inferiore al 5 %</t>
  </si>
  <si>
    <t>Rilevate &gt; 10</t>
  </si>
  <si>
    <t>Outsourcing per la gestione sicurezza</t>
  </si>
  <si>
    <t>Previsto audit</t>
  </si>
  <si>
    <t xml:space="preserve">Quali criteri/sistemi di autenticazione per l'accesso alla rete interna vengono utilizzati ? </t>
  </si>
  <si>
    <t xml:space="preserve">Sono presenti sottoreti wireless (Wi-Fi) ?  </t>
  </si>
  <si>
    <t>E' stato definito in modo formale il piano di disaster recovery ?</t>
  </si>
  <si>
    <t>Sono stati attribuiti ruoli  e le responsabilità secondo quanto previsto dal  DM 16-2-02?</t>
  </si>
  <si>
    <t>Esistono postazioni mobili o supporti dati rimuovibili con sistemi di prevenzione degli accessi</t>
  </si>
  <si>
    <t>XXX</t>
  </si>
  <si>
    <t>KPI</t>
  </si>
  <si>
    <t>Sì, centralizzato</t>
  </si>
  <si>
    <t>Sì, non centralizzato</t>
  </si>
  <si>
    <t>Sì, senza specificazione della copertura</t>
  </si>
  <si>
    <t>Sì, solo per le applicazioni più importanti</t>
  </si>
  <si>
    <t>La procedura è ben documentata</t>
  </si>
  <si>
    <t>Sì, alcuni</t>
  </si>
  <si>
    <t>Sì, tutti</t>
  </si>
  <si>
    <t>No</t>
  </si>
  <si>
    <t>Descrizione formale della policy x la siurezza</t>
  </si>
  <si>
    <t>piano di interventi per la sicurezza logica</t>
  </si>
  <si>
    <t>piano di interventi per la sicurezza fidica</t>
  </si>
  <si>
    <t>Piano per la formazione e sensibilizzazione degli utenti verso la sicurezza</t>
  </si>
  <si>
    <t xml:space="preserve">MOD. GESTESTIONE ADOTTATO  </t>
  </si>
  <si>
    <t>Se esiste un server di posta elettronica interno, esiste un filtro anti-spam sul server locale ?</t>
  </si>
  <si>
    <t>Esiste la figura di 'Responsabile protezione dati personali' ?</t>
  </si>
  <si>
    <t xml:space="preserve">Con che frequenza viene verificata la presenza di aggionamenti dei sistemi operativi dei server ? </t>
  </si>
  <si>
    <t>SISTEMI PER L'AUTENTICAZIONE DEGLI UTENTI</t>
  </si>
  <si>
    <t xml:space="preserve">AGGIORNAMENTO SISTEMI </t>
  </si>
  <si>
    <t xml:space="preserve">PIANO PER LA CONTINUITA' OPERATIVA </t>
  </si>
  <si>
    <t>SISTEMI HW E SW PER LA CONTINUITA' OPERATIVA</t>
  </si>
  <si>
    <t>Se è previsto l'audit della gestione della sicurezza dell'outsourcing, l'audit viene effettuato con regolarità ?</t>
  </si>
  <si>
    <t>tutti</t>
  </si>
  <si>
    <t>ind.</t>
  </si>
  <si>
    <t>Media</t>
  </si>
  <si>
    <t>Amministrazione</t>
  </si>
  <si>
    <t>N.D.</t>
  </si>
  <si>
    <t>Dato non disponibile</t>
  </si>
  <si>
    <t>Istruzione e Università</t>
  </si>
  <si>
    <t xml:space="preserve">Lavoro e solidarietà </t>
  </si>
  <si>
    <t xml:space="preserve">Politiche agricole </t>
  </si>
  <si>
    <t>CFS</t>
  </si>
  <si>
    <t>Salute</t>
  </si>
  <si>
    <t>ACI</t>
  </si>
  <si>
    <t>AGEA</t>
  </si>
  <si>
    <t>CNR</t>
  </si>
  <si>
    <t>CRI</t>
  </si>
  <si>
    <t>ENEA</t>
  </si>
  <si>
    <t>ENIT</t>
  </si>
  <si>
    <t>ENPALS</t>
  </si>
  <si>
    <t>ICE</t>
  </si>
  <si>
    <t>IIMS</t>
  </si>
  <si>
    <t>INAIL</t>
  </si>
  <si>
    <t>INCA</t>
  </si>
  <si>
    <t>INEA</t>
  </si>
  <si>
    <t>INPDAP</t>
  </si>
  <si>
    <t>INPS</t>
  </si>
  <si>
    <t>IPOST</t>
  </si>
  <si>
    <t>IPSEMA</t>
  </si>
  <si>
    <t>ISFOL</t>
  </si>
  <si>
    <t>ISPESL</t>
  </si>
  <si>
    <t>ISS</t>
  </si>
  <si>
    <t>ISTAT</t>
  </si>
  <si>
    <t>UNIRE</t>
  </si>
  <si>
    <t>Esiste un sistema di protezione antivirus centralizzato  ?</t>
  </si>
  <si>
    <t>Esiste un responsabile per la gestione ed attuazione delle policy di backup / restore ?</t>
  </si>
  <si>
    <t xml:space="preserve">Ministero dell'interno                                                                              </t>
  </si>
  <si>
    <t xml:space="preserve">Ministero delle politiche agricole e forestali                                                      </t>
  </si>
  <si>
    <t xml:space="preserve">Corpo forestale dello Stato                                                                         </t>
  </si>
  <si>
    <t>Se sono state rilevate intrusioni riuscite, quante ?</t>
  </si>
  <si>
    <t>Che tipo di personale viene impiegato per la gestione e l'amministrazione della sicurezza del sistema informativo ?</t>
  </si>
  <si>
    <t xml:space="preserve">Nel caso vengano considerate certificazioni di sicurezza nell'acquisizione di prodotti o servizi, quali certificazioni sono considerate ?  </t>
  </si>
  <si>
    <t>Parzialmente centralizzato</t>
  </si>
  <si>
    <t>Completamente centralizzato</t>
  </si>
  <si>
    <t>SI</t>
  </si>
  <si>
    <t>NO</t>
  </si>
  <si>
    <t>N.R.</t>
  </si>
  <si>
    <t>Nessuno</t>
  </si>
  <si>
    <t>Expire automatico password</t>
  </si>
  <si>
    <t>Controllo proattivo password</t>
  </si>
  <si>
    <t>Utilizzo di policy per password</t>
  </si>
  <si>
    <t>Solo personale interno</t>
  </si>
  <si>
    <t>Personale misto</t>
  </si>
  <si>
    <t xml:space="preserve">Istituto di previdenza del settore marittimo                                                        </t>
  </si>
  <si>
    <t>ISAE</t>
  </si>
  <si>
    <t xml:space="preserve">Istituto per lo sviluppo della formazione professionale dei lavoratori                              </t>
  </si>
  <si>
    <t>Ministero dell'interno - Centro Elaborazione Nazionale Amministrazione Pubblica Sicurezza</t>
  </si>
  <si>
    <t>Ministero dell'interno - Servizio Polizia Scientifica</t>
  </si>
  <si>
    <t>Ministero dell'interno - Polizia specialistica (già Centro elettronico Polizia stradale)</t>
  </si>
  <si>
    <t>Ministero dell'interno - Polizia di Stato</t>
  </si>
  <si>
    <t>Quartili</t>
  </si>
  <si>
    <t>% sul totale</t>
  </si>
  <si>
    <t># Amm.</t>
  </si>
  <si>
    <t>Varianza valori risposte</t>
  </si>
  <si>
    <t>ID</t>
  </si>
  <si>
    <t>E' stato formalmente definito ed approvato il piano della sicurezza ICT ?</t>
  </si>
  <si>
    <t>sicurezzaInfrastruttura</t>
  </si>
  <si>
    <t>sicurezzaServizi</t>
  </si>
  <si>
    <t>sicurezzaOrganizzazione</t>
  </si>
  <si>
    <t>--</t>
  </si>
  <si>
    <t>USERID/PASSWORD</t>
  </si>
  <si>
    <t>TOKEN DI AUTENTICAZIONE</t>
  </si>
  <si>
    <t>PKI/SMART CARD/PIN</t>
  </si>
  <si>
    <t>ONE TIME PASSWORD</t>
  </si>
  <si>
    <t>AUTOMATICAMENTE</t>
  </si>
  <si>
    <t>OGNI SETTIMANA</t>
  </si>
  <si>
    <t>OGNI MESE</t>
  </si>
  <si>
    <t>OGNI SEI MESI</t>
  </si>
  <si>
    <t>MAI</t>
  </si>
  <si>
    <t>NESSUNO</t>
  </si>
  <si>
    <t>WEP</t>
  </si>
  <si>
    <t>WPA</t>
  </si>
  <si>
    <t>Rilevate &lt; 10</t>
  </si>
  <si>
    <t>Esistono procedure operative da attivare in  caso di indisponibilità parziale dei servizi applicativi ?</t>
  </si>
  <si>
    <t>Esiste la definizione  formale di un policy di sicurezza ITC ?</t>
  </si>
  <si>
    <t>HTTPS sul web server</t>
  </si>
  <si>
    <t>Responsbaile x la sicurezza</t>
  </si>
  <si>
    <t>Su ogni punto di accesso</t>
  </si>
  <si>
    <t>Aggiornamento centralizzato dell'antivirus sulle PDL</t>
  </si>
  <si>
    <t>centro gestione ed amministrazione sicurezza ICT</t>
  </si>
  <si>
    <t>Si usano IDS</t>
  </si>
  <si>
    <t>gruppo gestione degli incidenti</t>
  </si>
  <si>
    <t>Accessi da remoto con o senza VPN</t>
  </si>
  <si>
    <t>Se si utilizzano UserID e password come sistema di autenticazione, sono state definite regole per la gestione delle password ?</t>
  </si>
  <si>
    <t>Se si utilizzano reti Wi-Fi quali sistemi di protezione utilizzano?</t>
  </si>
  <si>
    <t>Nello sviluppo di applicazioni, vengono seguiti dei criteri per ridurre la vulnnerabilità del software ?</t>
  </si>
  <si>
    <t>E' prevista la scadenza automatica di un account/password ?</t>
  </si>
  <si>
    <t xml:space="preserve">Istituto di Studi per l'Analisi Economica                                                           </t>
  </si>
  <si>
    <t>Key Performance Indicator</t>
  </si>
  <si>
    <t>25° quartile</t>
  </si>
  <si>
    <t>50° quartile</t>
  </si>
  <si>
    <t>75° quartile</t>
  </si>
  <si>
    <t xml:space="preserve">Top </t>
  </si>
  <si>
    <t># dom</t>
  </si>
  <si>
    <t>quart.</t>
  </si>
  <si>
    <t>rank</t>
  </si>
  <si>
    <t>Enti</t>
  </si>
  <si>
    <t>KPI1</t>
  </si>
  <si>
    <t>KPI2</t>
  </si>
  <si>
    <t>KPI3</t>
  </si>
  <si>
    <t>KPI4</t>
  </si>
  <si>
    <t>Scarso</t>
  </si>
  <si>
    <t>POLICY CENTRALIZZ.</t>
  </si>
  <si>
    <t>CERTIF. SICUREZZA</t>
  </si>
  <si>
    <t xml:space="preserve">Ministero degli affari esteri                                                                       </t>
  </si>
  <si>
    <t xml:space="preserve">Ente per le nuove tecnologie, l'energia e l'ambiente                                                </t>
  </si>
  <si>
    <t xml:space="preserve">Ente nazionale italiano per il turismo                                                              </t>
  </si>
  <si>
    <t xml:space="preserve">Istituto dei postelegrafonici                                                                       </t>
  </si>
  <si>
    <t>Punt. 2006</t>
  </si>
  <si>
    <t>Punt. 2007</t>
  </si>
  <si>
    <t>Scost. media</t>
  </si>
  <si>
    <t xml:space="preserve">Consiglio di Stato                                                                                  </t>
  </si>
  <si>
    <t xml:space="preserve">Esistono una o più procedure di gestione dei log ? </t>
  </si>
  <si>
    <t xml:space="preserve">Esiste un sistema centralizzato di software distribution per l'aggiornamento automatico delle postazioni di lavoro ? </t>
  </si>
  <si>
    <t xml:space="preserve">Viene utilizzato IDS/IPS come protezione di rete? </t>
  </si>
  <si>
    <t xml:space="preserve">Comando Generale Guardia di finanza                               </t>
  </si>
  <si>
    <t xml:space="preserve">Ministero dell'economia e finanze - Area tesoro        </t>
  </si>
  <si>
    <t xml:space="preserve">Ministero della giustizia                                                                           </t>
  </si>
  <si>
    <t>Ministero dell'interno - Libertà Civili</t>
  </si>
  <si>
    <t xml:space="preserve">Istituto nazionale di previdenza dei dipendenti dell'amministrazione pubblica                       </t>
  </si>
  <si>
    <t xml:space="preserve">Agenzia per le erogazioni in agricoltura                                                            </t>
  </si>
  <si>
    <t xml:space="preserve">Consiglio nazionale delle ricerche                                                                  </t>
  </si>
  <si>
    <t xml:space="preserve">Croce rossa italiana                                                                                </t>
  </si>
  <si>
    <t>ENAC</t>
  </si>
  <si>
    <t>ENAM</t>
  </si>
  <si>
    <t>Ministero dell'interno - Dipartimento P.S.</t>
  </si>
  <si>
    <t>Ministero dell'interno - DIA</t>
  </si>
  <si>
    <t>Ministero dell'interno - Servizi Demografici</t>
  </si>
  <si>
    <t xml:space="preserve">Corte dei conti                                                                                     </t>
  </si>
  <si>
    <t xml:space="preserve">Ente nazionale previdenza assistenza lavoratori dello spettacolo                                    </t>
  </si>
  <si>
    <t xml:space="preserve">Arma dei Carabinieri                                                                                </t>
  </si>
  <si>
    <t xml:space="preserve">Ministero dell'istruzione, università e ricerca                                               </t>
  </si>
  <si>
    <t xml:space="preserve">Istituto nazionale per l'assicurazione infortuni sul lavoro                                         </t>
  </si>
  <si>
    <t xml:space="preserve">Ministero del lavoro e delle politiche sociali                                                     </t>
  </si>
  <si>
    <t xml:space="preserve">Scuola Superiore della Pubblica Amministrazione                                               </t>
  </si>
  <si>
    <t xml:space="preserve">Avvocatura Generale dello Stato                                  </t>
  </si>
  <si>
    <t>Min</t>
  </si>
  <si>
    <t>Max</t>
  </si>
  <si>
    <t>Progressivo on-line</t>
  </si>
  <si>
    <t>Pesi</t>
  </si>
  <si>
    <t xml:space="preserve">Nel caso di acquisizione di prodotti o servizi, vengono considerate certificazioni di sicurezza ? </t>
  </si>
  <si>
    <t>Esiste un sistema di controllo dell'accesso fisico ai locali dove si trovano gli elaboratori e gli apparati di rete ?</t>
  </si>
  <si>
    <t>Wi-Fi con o senza protezioni</t>
  </si>
  <si>
    <t>Antispam sul mailer</t>
  </si>
  <si>
    <t>Comitato per la sicurezza ICT</t>
  </si>
  <si>
    <t>Firewall perimetrali</t>
  </si>
  <si>
    <t>Class.</t>
    <phoneticPr fontId="3" type="noConversion"/>
  </si>
  <si>
    <t>&gt; 10000</t>
    <phoneticPr fontId="3" type="noConversion"/>
  </si>
  <si>
    <t>1000 &lt; x &lt; 10000</t>
    <phoneticPr fontId="3" type="noConversion"/>
  </si>
  <si>
    <t>&lt; 1000</t>
    <phoneticPr fontId="3" type="noConversion"/>
  </si>
  <si>
    <t>= 0</t>
    <phoneticPr fontId="3" type="noConversion"/>
  </si>
  <si>
    <t xml:space="preserve">Istituto nazionale per la previdenza sociale                                                        </t>
  </si>
  <si>
    <t>Responsbaile protezione dati</t>
  </si>
  <si>
    <t>Software distribution</t>
  </si>
  <si>
    <t>Controllo log degli accessi</t>
  </si>
  <si>
    <t>Responsabile controllo log</t>
  </si>
  <si>
    <t>Responsbaile infrastrutture e controllo accessi</t>
  </si>
  <si>
    <t>Copertura del piano</t>
  </si>
  <si>
    <t xml:space="preserve">Outsourcing </t>
  </si>
  <si>
    <t>Precedenti intrusioni</t>
  </si>
  <si>
    <t>Backup / Restore</t>
  </si>
  <si>
    <t>Budget x la sicurezza ICT</t>
  </si>
  <si>
    <t>Disaster recovery</t>
  </si>
  <si>
    <t>Piano x la Sicurezza</t>
  </si>
  <si>
    <t>Analisi dei rischi</t>
  </si>
  <si>
    <t xml:space="preserve">Ministero della salute                                                                        </t>
  </si>
  <si>
    <t>Codice sistema online</t>
  </si>
  <si>
    <t>Progressivo assoluto domande</t>
  </si>
  <si>
    <t>Sezione questionario</t>
  </si>
  <si>
    <t>Totale</t>
  </si>
  <si>
    <t>Tot.</t>
  </si>
  <si>
    <t>media</t>
  </si>
  <si>
    <t xml:space="preserve">Ministero delle comunicazioni                                                                       </t>
  </si>
  <si>
    <t>Basso</t>
  </si>
  <si>
    <t>Medio</t>
  </si>
  <si>
    <t>Alto</t>
  </si>
  <si>
    <t xml:space="preserve">Ente nazionale assistenza magistrale                                                                </t>
  </si>
  <si>
    <t>Totale amm.</t>
  </si>
  <si>
    <t>E' stata effettuata un'analisi dei rischi connessi alla sicurezza ICT ?</t>
  </si>
  <si>
    <t xml:space="preserve">Ministero dell'economia e finanze - Area finanze                                              </t>
  </si>
  <si>
    <t>Ministero dell'interno - Servizi Elettorali</t>
  </si>
  <si>
    <t xml:space="preserve">Istituto nazionale per il commercio estero                                                          </t>
  </si>
  <si>
    <t xml:space="preserve">Avvocatura Generale dello Stato                                  </t>
    <phoneticPr fontId="3" type="noConversion"/>
  </si>
  <si>
    <t>Ministero dell'ambiente e della tutela del territorio</t>
  </si>
  <si>
    <t>Ministero delle attività produttive</t>
  </si>
  <si>
    <t xml:space="preserve">Ministero del commercio internazionale                                                   </t>
  </si>
  <si>
    <t>Dipartimento delle Politiche Fiscali</t>
  </si>
  <si>
    <t>AGENZIA DELLE DOGANE</t>
  </si>
  <si>
    <t>AGENZIA DELLE ENTRATE</t>
  </si>
  <si>
    <t>AGENZIA DEL TERRITORIO</t>
  </si>
  <si>
    <t xml:space="preserve">Presidenza del Consiglio dei ministri                                                       </t>
  </si>
  <si>
    <t>Quale modello di gestione e amministrazione della sicurezza del sistema informativo viene impiegato?</t>
  </si>
  <si>
    <t>Esiste la definizione formale di una policy di sicurezza ICT ?</t>
  </si>
  <si>
    <t>Se l'accesso ai locali critici è ristretto, esiste un sistema di videosorveglianza con registrazione delle riprese H24 ?</t>
  </si>
  <si>
    <t>Ministero dell'interno - Vigili del  Fuoco</t>
  </si>
  <si>
    <t>Ministero dell'interno - Affari Interni e Territoriali</t>
  </si>
  <si>
    <t>133b</t>
  </si>
  <si>
    <t>133a</t>
  </si>
  <si>
    <t>Esiste un piano formalizzato per la continuità operativa ?</t>
  </si>
  <si>
    <t>Sono consentiti gli accessi alla rete interna da remoto ?</t>
  </si>
  <si>
    <t>Esiste ed è attivo un centro di gestione ed amministrazione della sicurezza ICT ?</t>
  </si>
  <si>
    <t xml:space="preserve">totale amministrazioni </t>
  </si>
  <si>
    <t>Viene utilizzato un firewall per la protezione delle connessioni alla rete pubblica?</t>
  </si>
  <si>
    <t>Se esistono postazioni mobili o supporti dati che vengono trasportati oltre i confini del luogo di lavoro dell'amministrazione, vengono adottati sistemi software per impedire l'accesso ai dati da parte di persone non autorizzate?</t>
  </si>
  <si>
    <t xml:space="preserve">Automobile club d'Italia                                                                            </t>
  </si>
  <si>
    <t xml:space="preserve">Automobile club d'Italia                                                                            </t>
    <phoneticPr fontId="3" type="noConversion"/>
  </si>
  <si>
    <t>ID</t>
    <phoneticPr fontId="3" type="noConversion"/>
  </si>
  <si>
    <t>Amministrazione</t>
    <phoneticPr fontId="3" type="noConversion"/>
  </si>
  <si>
    <t xml:space="preserve">Unione nazionale incremento razze equine                                                            </t>
  </si>
  <si>
    <t xml:space="preserve">Ministero delle infrastrutture e dei trasporti                                            </t>
  </si>
  <si>
    <t>KPI 1  -  Sicurezza Logica</t>
  </si>
  <si>
    <t xml:space="preserve">Istituto nazionale di statistica                                                                    </t>
  </si>
  <si>
    <t>Domanda in questionario  - ID</t>
  </si>
  <si>
    <t>Totali</t>
  </si>
  <si>
    <t># quesiti</t>
  </si>
  <si>
    <t>riga 1</t>
  </si>
  <si>
    <t>last</t>
  </si>
  <si>
    <t>Risposta</t>
  </si>
  <si>
    <t>Punt.</t>
  </si>
  <si>
    <t>maggiore del 50%</t>
  </si>
  <si>
    <t>Protezione accessi rete fisica</t>
  </si>
  <si>
    <t>Antivirus sul mailer</t>
  </si>
  <si>
    <t>Consigliere tecnico x la sicurezza</t>
  </si>
  <si>
    <t>Sono stati attribuiti i ruoli e le responsabilità secondo quanto previsto dal DM 16-2-02?</t>
  </si>
  <si>
    <t>Quali di queste protezioni di rete vengono utilizzate?</t>
  </si>
  <si>
    <t>Nello sviluppo di applicazioni, vengono seguiti dei criteri per ridurre la vulnerabilità del software ?</t>
  </si>
  <si>
    <t>Sono presenti sottoreti wireless?</t>
  </si>
  <si>
    <t xml:space="preserve">Con quale frequenza viene verificata la presenza di aggionamenti dei sistemi operativi dei server ? </t>
  </si>
  <si>
    <t xml:space="preserve">Istituto nazionale di economia agraria                                                       </t>
  </si>
  <si>
    <t xml:space="preserve">Istituto superiore di sanità                                                                        </t>
  </si>
  <si>
    <t xml:space="preserve">Ministero  per i beni e le attività culturali                                                       </t>
  </si>
  <si>
    <t xml:space="preserve">Ministero della difesa                                                                              </t>
  </si>
  <si>
    <t>Viene utilizzato un IDS/IPS per la protezione delle connessioni alla rete pubblica?</t>
  </si>
  <si>
    <t>Esiste un sistema centralizzato per la raccolta ed il salvataggio delle informazioni critiche (system log, accounting, autorizzazione, autenticazione, tracciamento,IDS) quali accesso ai sistemi, alla rete, alle procedure, ai dati, ecc?</t>
  </si>
  <si>
    <t xml:space="preserve">Avvocatura Generale dello Stato                    </t>
  </si>
  <si>
    <t>Avvocatura Generale dello Stato</t>
  </si>
  <si>
    <t>Presidenza del Consiglio dei ministri</t>
  </si>
  <si>
    <t>Corte dei conti</t>
  </si>
  <si>
    <t>Esiste la definizione formale di una policy di sicurezza ITC ?</t>
  </si>
  <si>
    <t>Agenzia nazionale per le nuove tecnologie, l'energia e lo sviluppo economico sostenibile</t>
  </si>
  <si>
    <t>Ministero dell'interno - Vigili del Fuoco</t>
  </si>
  <si>
    <t>Istituto per gli Affari Sociali</t>
  </si>
  <si>
    <t>% 2008</t>
  </si>
  <si>
    <t>Tot. 2009</t>
  </si>
  <si>
    <t># risp. 2009</t>
  </si>
  <si>
    <t># risp. 2008</t>
  </si>
  <si>
    <t># risp. 2007</t>
  </si>
  <si>
    <r>
      <rPr>
        <b/>
        <sz val="9"/>
        <rFont val="Calibri"/>
        <family val="2"/>
      </rPr>
      <t>Δ</t>
    </r>
    <r>
      <rPr>
        <b/>
        <sz val="9"/>
        <rFont val="Arial"/>
        <family val="2"/>
      </rPr>
      <t xml:space="preserve"> '09/'08</t>
    </r>
  </si>
  <si>
    <t>KPI 2  -  Sicurezza Infrastruttura</t>
  </si>
  <si>
    <t>KPI 3  -  Sicurezza Servizi</t>
  </si>
  <si>
    <t>KPI 4  -  Sicurezza Organizzazione</t>
  </si>
  <si>
    <t>Δ 2008</t>
  </si>
  <si>
    <t>Δ 2009</t>
  </si>
  <si>
    <t>Y</t>
  </si>
  <si>
    <t>[sicurezzaConsuntivoFinale2010.xls]</t>
  </si>
  <si>
    <t xml:space="preserve">Presidenza del Consiglio dei ministri                     </t>
  </si>
  <si>
    <t xml:space="preserve">Ministero degli affari esteri                                           </t>
  </si>
  <si>
    <t>Ministero della difesa</t>
  </si>
  <si>
    <t xml:space="preserve">Arma dei Carabinieri                                 </t>
  </si>
  <si>
    <t xml:space="preserve">Ministero della giustizia                             </t>
  </si>
  <si>
    <t xml:space="preserve">Ministero del lavoro e delle politiche sociali           </t>
  </si>
  <si>
    <t xml:space="preserve">Ministero delle politiche agricole e forestali                                        </t>
  </si>
  <si>
    <t xml:space="preserve">Corpo forestale dello Stato                         </t>
  </si>
  <si>
    <t xml:space="preserve">Ministero della salute                        </t>
  </si>
  <si>
    <t xml:space="preserve">Ente nazionale assistenza magistrale                                           </t>
  </si>
  <si>
    <t xml:space="preserve">Ente nazionale italiano per il turismo                            </t>
  </si>
  <si>
    <t>Ente nazionale previdenza assistenza lavoratori dello spettacolo</t>
  </si>
  <si>
    <t xml:space="preserve">Istituto nazionale per il commercio estero                                              </t>
  </si>
  <si>
    <t xml:space="preserve">Istituto nazionale per l'assicurazione infortuni sul lavoro                </t>
  </si>
  <si>
    <t xml:space="preserve">Istituto nazionale per le conserve alimentari                       </t>
  </si>
  <si>
    <t xml:space="preserve">Istituto nazionale di economia agraria                 </t>
  </si>
  <si>
    <t>Istituto nazionale di previdenza dei dipendenti dell'amministrazione pubblica</t>
  </si>
  <si>
    <t xml:space="preserve">Istituto nazionale per la previdenza sociale                                  </t>
  </si>
  <si>
    <t xml:space="preserve">Istituto superiore per la prevenzione e la sicurezza del lavoro            </t>
  </si>
  <si>
    <t xml:space="preserve">Istituto nazionale di statistica                                   </t>
  </si>
  <si>
    <t>Unione nazionale incremento razze equine</t>
  </si>
  <si>
    <t xml:space="preserve">Con quale frequenza viene verificata la presenza di aggiornamenti dei sistemi operativi dei server ? </t>
  </si>
  <si>
    <t xml:space="preserve">Ministero per i beni e le attività culturali                                                     </t>
  </si>
  <si>
    <t>Stato Maggiore Difesa</t>
  </si>
  <si>
    <t>Ministero dell'interno - Politiche Personale</t>
  </si>
  <si>
    <t>Δ 2010</t>
  </si>
  <si>
    <t>Δ% 2008</t>
  </si>
  <si>
    <t>Δ% 2009</t>
  </si>
  <si>
    <t>Δ% 2010</t>
  </si>
  <si>
    <t>Relazione Annuale 2010 (sez. Sicurezza)</t>
  </si>
  <si>
    <t>Tutte</t>
  </si>
  <si>
    <t xml:space="preserve">Relazione 2010 : Dipendenti e dipendenti informatizzabili </t>
  </si>
  <si>
    <t>Dipendenti</t>
  </si>
  <si>
    <t>Di cui periferici</t>
  </si>
  <si>
    <t>Affari Esteri</t>
  </si>
  <si>
    <t>Beni culturali</t>
  </si>
  <si>
    <t>MEF - FINANZE</t>
  </si>
  <si>
    <t>MEF -Tesoro</t>
  </si>
  <si>
    <t>AAMS</t>
  </si>
  <si>
    <t>Guardia di finanza</t>
  </si>
  <si>
    <t>Infrastrutture</t>
  </si>
  <si>
    <t>Istruzione</t>
  </si>
  <si>
    <t>Lavoro</t>
  </si>
  <si>
    <t>Politiche agricole</t>
  </si>
  <si>
    <t>IAS</t>
  </si>
  <si>
    <t>Totale Amministrazionicentrali</t>
  </si>
  <si>
    <t>Totale ENTI</t>
  </si>
  <si>
    <t>Totale PAC</t>
  </si>
  <si>
    <t>Descrizione estesa</t>
  </si>
  <si>
    <r>
      <t>A</t>
    </r>
    <r>
      <rPr>
        <sz val="10"/>
        <rFont val="Arial"/>
      </rPr>
      <t>TTIVITÀ Produttive</t>
    </r>
  </si>
  <si>
    <t>Ministero del lavoro e delle politiche sociali</t>
  </si>
  <si>
    <t>Ministero per i beni e le attività culturali</t>
  </si>
  <si>
    <t>Ministero degli affari esteri</t>
  </si>
  <si>
    <t>Ministero della giustizia</t>
  </si>
  <si>
    <t>Istituto nazionale di statistica</t>
  </si>
  <si>
    <t>Ministero dell'istruzione, università e ricerca</t>
  </si>
  <si>
    <t>Ministero della salute</t>
  </si>
  <si>
    <t>Ministero delle comunicazioni</t>
  </si>
  <si>
    <t>Istituto superiore di sanità</t>
  </si>
  <si>
    <t>Istituto dei postelegrafonici</t>
  </si>
  <si>
    <t>Automobile club d'Italia</t>
  </si>
  <si>
    <t>Ente per le nuove tecnologie, l'energia e l'ambiente</t>
  </si>
  <si>
    <t>Istituto nazionale per il commercio estero</t>
  </si>
  <si>
    <t>Istituto nazionale per l'assicurazione infortuni sul lavoro</t>
  </si>
  <si>
    <t>Istituto nazionale per la previdenza sociale</t>
  </si>
  <si>
    <t>Arma dei Carabinieri</t>
  </si>
  <si>
    <t>Istituto nazionale di economia agraria</t>
  </si>
  <si>
    <t>Ente nazionale assistenza magistrale</t>
  </si>
  <si>
    <t>Ente nazionale italiano per il turismo</t>
  </si>
  <si>
    <t>Ministero dell'economia e finanze - Area tesoro</t>
  </si>
  <si>
    <t>Ministero delle infrastrutture e dei trasporti</t>
  </si>
  <si>
    <t>Istituto di Studi per l'Analisi Economica</t>
  </si>
  <si>
    <t>Scuola Superiore della Pubblica Amministrazione</t>
  </si>
  <si>
    <t>Ministero del commercio internazionale</t>
  </si>
  <si>
    <t>Comando Generale Guardia di finanza</t>
  </si>
  <si>
    <t>Ministero dell'interno</t>
  </si>
  <si>
    <t>Ministero delle politiche agricole e forestali</t>
  </si>
  <si>
    <t>Corpo forestale dello Stato</t>
  </si>
  <si>
    <t>Agenzia per le erogazioni in agricoltura</t>
  </si>
  <si>
    <t>Consiglio nazionale delle ricerche</t>
  </si>
  <si>
    <t>Croce rossa italiana</t>
  </si>
  <si>
    <t>Istituto italiano di medicina sociale</t>
  </si>
  <si>
    <t>Istituto nazionale per le conserve alimentari</t>
  </si>
  <si>
    <t>Istituto di previdenza del settore marittimo</t>
  </si>
  <si>
    <t>Istituto per lo sviluppo della formazione professionale dei lavoratori</t>
  </si>
  <si>
    <t>Istituto superiore per la prevenzione e la sicurezza del lavoro</t>
  </si>
  <si>
    <t>Dipartimento delle finanze</t>
  </si>
  <si>
    <t>Tot. 2010</t>
  </si>
  <si>
    <r>
      <t>Tot. 200</t>
    </r>
    <r>
      <rPr>
        <b/>
        <sz val="9"/>
        <rFont val="Arial"/>
        <family val="2"/>
      </rPr>
      <t>8</t>
    </r>
  </si>
  <si>
    <t>% 2010</t>
  </si>
  <si>
    <r>
      <rPr>
        <b/>
        <sz val="9"/>
        <rFont val="Calibri"/>
        <family val="2"/>
      </rPr>
      <t>Δ</t>
    </r>
    <r>
      <rPr>
        <b/>
        <sz val="9"/>
        <rFont val="Arial"/>
        <family val="2"/>
      </rPr>
      <t xml:space="preserve"> '10/'09</t>
    </r>
  </si>
  <si>
    <t># risp. 2010</t>
  </si>
  <si>
    <t>=2</t>
  </si>
  <si>
    <t>=4</t>
  </si>
  <si>
    <t>=6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</si>
</sst>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64" formatCode="0.0%"/>
    <numFmt numFmtId="165" formatCode="0.0"/>
    <numFmt numFmtId="166" formatCode="0.00_ ;[Red]\-0.00\ "/>
    <numFmt numFmtId="167" formatCode="0.0%;[Red]\-0.0%"/>
  </numFmts>
  <fonts count="59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9"/>
      <name val="Arial"/>
    </font>
    <font>
      <b/>
      <sz val="9"/>
      <name val="Arial"/>
      <family val="2"/>
    </font>
    <font>
      <b/>
      <sz val="9"/>
      <name val="Arial"/>
      <family val="2"/>
    </font>
    <font>
      <sz val="10"/>
      <name val="Arial"/>
    </font>
    <font>
      <sz val="7"/>
      <name val="Arial"/>
      <family val="2"/>
    </font>
    <font>
      <b/>
      <sz val="7"/>
      <name val="Arial"/>
      <family val="2"/>
    </font>
    <font>
      <sz val="24"/>
      <name val="Arial"/>
    </font>
    <font>
      <sz val="18"/>
      <name val="Arial"/>
      <family val="2"/>
    </font>
    <font>
      <sz val="9"/>
      <color indexed="23"/>
      <name val="Arial"/>
      <family val="2"/>
    </font>
    <font>
      <sz val="12"/>
      <name val="Times New Roman"/>
      <family val="1"/>
    </font>
    <font>
      <sz val="10"/>
      <color indexed="23"/>
      <name val="Arial"/>
    </font>
    <font>
      <i/>
      <sz val="8"/>
      <name val="Arial"/>
      <family val="2"/>
    </font>
    <font>
      <i/>
      <sz val="9"/>
      <name val="Arial"/>
      <family val="2"/>
    </font>
    <font>
      <b/>
      <sz val="9"/>
      <color indexed="15"/>
      <name val="Arial"/>
      <family val="2"/>
    </font>
    <font>
      <sz val="6"/>
      <name val="Arial"/>
    </font>
    <font>
      <sz val="20"/>
      <name val="Arial"/>
    </font>
    <font>
      <sz val="7"/>
      <name val="Arial"/>
      <family val="2"/>
    </font>
    <font>
      <sz val="10"/>
      <color indexed="55"/>
      <name val="Arial"/>
    </font>
    <font>
      <sz val="10"/>
      <color indexed="22"/>
      <name val="Arial"/>
    </font>
    <font>
      <b/>
      <sz val="16"/>
      <name val="Arial"/>
      <family val="2"/>
    </font>
    <font>
      <u/>
      <sz val="10"/>
      <name val="Arial"/>
    </font>
    <font>
      <sz val="10"/>
      <name val="Arial"/>
    </font>
    <font>
      <i/>
      <sz val="10"/>
      <name val="Arial"/>
      <family val="2"/>
    </font>
    <font>
      <b/>
      <sz val="10"/>
      <name val="Arial"/>
      <family val="2"/>
    </font>
    <font>
      <sz val="10"/>
      <name val="Arial"/>
    </font>
    <font>
      <sz val="6"/>
      <name val="Arial"/>
    </font>
    <font>
      <sz val="8"/>
      <color indexed="55"/>
      <name val="Arial"/>
    </font>
    <font>
      <b/>
      <sz val="8"/>
      <color indexed="55"/>
      <name val="Arial"/>
    </font>
    <font>
      <b/>
      <i/>
      <sz val="9"/>
      <name val="Arial"/>
    </font>
    <font>
      <i/>
      <sz val="9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sz val="9"/>
      <name val="Univers-CondensedBold"/>
    </font>
    <font>
      <b/>
      <sz val="7"/>
      <name val="Univers-CondensedBold"/>
    </font>
    <font>
      <sz val="9"/>
      <name val="Univers-Condensed"/>
    </font>
    <font>
      <i/>
      <sz val="9"/>
      <name val="Univers-CondensedOblique"/>
    </font>
    <font>
      <sz val="9"/>
      <name val="Arial"/>
    </font>
    <font>
      <i/>
      <sz val="8"/>
      <name val="Arial"/>
      <family val="2"/>
    </font>
    <font>
      <b/>
      <sz val="8"/>
      <name val="Arial"/>
      <family val="2"/>
    </font>
    <font>
      <sz val="10"/>
      <color indexed="10"/>
      <name val="Arial"/>
    </font>
    <font>
      <sz val="9"/>
      <color indexed="58"/>
      <name val="Arial"/>
      <family val="2"/>
    </font>
    <font>
      <sz val="11"/>
      <color rgb="FF006100"/>
      <name val="Calibri"/>
      <family val="2"/>
      <scheme val="minor"/>
    </font>
    <font>
      <sz val="8"/>
      <name val="Verdana"/>
    </font>
    <font>
      <sz val="9"/>
      <name val="Arial"/>
    </font>
    <font>
      <sz val="9"/>
      <name val="Arial"/>
      <family val="2"/>
    </font>
    <font>
      <sz val="10"/>
      <color indexed="23"/>
      <name val="Arial"/>
      <family val="2"/>
    </font>
    <font>
      <b/>
      <sz val="9"/>
      <name val="Calibri"/>
      <family val="2"/>
    </font>
    <font>
      <u/>
      <sz val="10"/>
      <color theme="10"/>
      <name val="Arial"/>
    </font>
    <font>
      <u/>
      <sz val="10"/>
      <color theme="11"/>
      <name val="Arial"/>
    </font>
    <font>
      <u/>
      <sz val="10"/>
      <name val="Arial"/>
      <family val="2"/>
    </font>
    <font>
      <b/>
      <sz val="10"/>
      <name val="Trebuchet MS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auto="1"/>
      </bottom>
      <diagonal/>
    </border>
  </borders>
  <cellStyleXfs count="914">
    <xf numFmtId="0" fontId="0" fillId="0" borderId="0"/>
    <xf numFmtId="0" fontId="49" fillId="13" borderId="0" applyNumberFormat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1" fillId="15" borderId="25" applyNumberFormat="0" applyFon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</cellStyleXfs>
  <cellXfs count="717">
    <xf numFmtId="0" fontId="0" fillId="0" borderId="0" xfId="0"/>
    <xf numFmtId="2" fontId="0" fillId="0" borderId="0" xfId="0" applyNumberFormat="1"/>
    <xf numFmtId="0" fontId="2" fillId="0" borderId="0" xfId="0" applyFont="1"/>
    <xf numFmtId="0" fontId="7" fillId="0" borderId="0" xfId="0" applyFont="1"/>
    <xf numFmtId="0" fontId="8" fillId="0" borderId="0" xfId="0" applyFont="1"/>
    <xf numFmtId="0" fontId="10" fillId="0" borderId="0" xfId="0" applyFont="1"/>
    <xf numFmtId="0" fontId="10" fillId="0" borderId="1" xfId="0" applyFont="1" applyBorder="1" applyAlignment="1">
      <alignment horizontal="center"/>
    </xf>
    <xf numFmtId="0" fontId="9" fillId="0" borderId="2" xfId="0" applyFont="1" applyBorder="1"/>
    <xf numFmtId="0" fontId="9" fillId="0" borderId="3" xfId="0" applyFont="1" applyBorder="1"/>
    <xf numFmtId="0" fontId="9" fillId="0" borderId="0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8" fillId="0" borderId="2" xfId="0" applyFont="1" applyBorder="1"/>
    <xf numFmtId="2" fontId="8" fillId="0" borderId="0" xfId="0" applyNumberFormat="1" applyFont="1" applyBorder="1"/>
    <xf numFmtId="0" fontId="8" fillId="0" borderId="4" xfId="0" applyFont="1" applyBorder="1"/>
    <xf numFmtId="0" fontId="0" fillId="0" borderId="1" xfId="0" applyBorder="1"/>
    <xf numFmtId="0" fontId="8" fillId="0" borderId="1" xfId="0" applyFont="1" applyBorder="1"/>
    <xf numFmtId="2" fontId="8" fillId="0" borderId="6" xfId="0" applyNumberFormat="1" applyFont="1" applyBorder="1"/>
    <xf numFmtId="0" fontId="8" fillId="0" borderId="6" xfId="0" applyFont="1" applyBorder="1"/>
    <xf numFmtId="0" fontId="8" fillId="0" borderId="0" xfId="0" applyFont="1" applyBorder="1"/>
    <xf numFmtId="0" fontId="8" fillId="0" borderId="3" xfId="0" applyFont="1" applyBorder="1"/>
    <xf numFmtId="0" fontId="8" fillId="0" borderId="5" xfId="0" applyFont="1" applyBorder="1"/>
    <xf numFmtId="0" fontId="0" fillId="0" borderId="7" xfId="0" applyBorder="1"/>
    <xf numFmtId="0" fontId="10" fillId="0" borderId="5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0" fillId="0" borderId="4" xfId="0" applyBorder="1"/>
    <xf numFmtId="0" fontId="12" fillId="0" borderId="0" xfId="0" applyFont="1" applyAlignment="1">
      <alignment wrapText="1"/>
    </xf>
    <xf numFmtId="0" fontId="12" fillId="0" borderId="0" xfId="0" applyFont="1" applyAlignment="1">
      <alignment horizontal="center" wrapText="1"/>
    </xf>
    <xf numFmtId="0" fontId="13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8" fillId="0" borderId="0" xfId="0" quotePrefix="1" applyFont="1"/>
    <xf numFmtId="0" fontId="3" fillId="0" borderId="7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14" fillId="0" borderId="0" xfId="0" applyFont="1"/>
    <xf numFmtId="0" fontId="0" fillId="0" borderId="0" xfId="0" applyBorder="1"/>
    <xf numFmtId="0" fontId="0" fillId="0" borderId="0" xfId="0" quotePrefix="1"/>
    <xf numFmtId="0" fontId="16" fillId="0" borderId="0" xfId="0" applyFont="1"/>
    <xf numFmtId="0" fontId="16" fillId="0" borderId="0" xfId="0" applyFont="1" applyBorder="1"/>
    <xf numFmtId="0" fontId="16" fillId="0" borderId="0" xfId="0" applyFont="1" applyAlignment="1">
      <alignment wrapText="1"/>
    </xf>
    <xf numFmtId="0" fontId="0" fillId="0" borderId="0" xfId="0" applyBorder="1" applyAlignment="1">
      <alignment wrapText="1"/>
    </xf>
    <xf numFmtId="0" fontId="0" fillId="0" borderId="3" xfId="0" applyBorder="1" applyAlignment="1">
      <alignment wrapText="1"/>
    </xf>
    <xf numFmtId="0" fontId="3" fillId="0" borderId="0" xfId="0" applyFont="1" applyBorder="1" applyAlignment="1">
      <alignment wrapText="1"/>
    </xf>
    <xf numFmtId="0" fontId="18" fillId="0" borderId="0" xfId="0" applyFont="1"/>
    <xf numFmtId="0" fontId="18" fillId="0" borderId="0" xfId="0" applyFont="1" applyBorder="1"/>
    <xf numFmtId="0" fontId="10" fillId="0" borderId="0" xfId="0" applyFont="1" applyAlignment="1">
      <alignment horizontal="center"/>
    </xf>
    <xf numFmtId="0" fontId="8" fillId="0" borderId="0" xfId="0" quotePrefix="1" applyFont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9" xfId="0" applyFill="1" applyBorder="1"/>
    <xf numFmtId="0" fontId="0" fillId="0" borderId="0" xfId="0" applyFill="1"/>
    <xf numFmtId="0" fontId="0" fillId="0" borderId="0" xfId="0" applyFill="1" applyBorder="1"/>
    <xf numFmtId="0" fontId="7" fillId="0" borderId="0" xfId="0" applyFont="1" applyAlignment="1">
      <alignment horizontal="left"/>
    </xf>
    <xf numFmtId="0" fontId="7" fillId="0" borderId="0" xfId="0" applyFont="1" applyBorder="1"/>
    <xf numFmtId="0" fontId="8" fillId="0" borderId="10" xfId="0" applyFont="1" applyFill="1" applyBorder="1"/>
    <xf numFmtId="164" fontId="8" fillId="0" borderId="10" xfId="0" applyNumberFormat="1" applyFont="1" applyFill="1" applyBorder="1"/>
    <xf numFmtId="0" fontId="0" fillId="0" borderId="0" xfId="0" applyFill="1" applyBorder="1" applyAlignment="1">
      <alignment wrapText="1"/>
    </xf>
    <xf numFmtId="0" fontId="20" fillId="0" borderId="0" xfId="0" applyFont="1"/>
    <xf numFmtId="2" fontId="8" fillId="0" borderId="0" xfId="0" applyNumberFormat="1" applyFont="1"/>
    <xf numFmtId="0" fontId="8" fillId="0" borderId="0" xfId="0" applyFont="1" applyAlignment="1">
      <alignment vertical="center"/>
    </xf>
    <xf numFmtId="0" fontId="8" fillId="0" borderId="0" xfId="0" applyFont="1" applyAlignment="1">
      <alignment wrapText="1"/>
    </xf>
    <xf numFmtId="0" fontId="0" fillId="0" borderId="0" xfId="0" applyAlignme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0" fillId="0" borderId="10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/>
    </xf>
    <xf numFmtId="2" fontId="8" fillId="0" borderId="10" xfId="0" applyNumberFormat="1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2" fontId="21" fillId="2" borderId="10" xfId="0" applyNumberFormat="1" applyFont="1" applyFill="1" applyBorder="1" applyAlignment="1">
      <alignment horizontal="center"/>
    </xf>
    <xf numFmtId="0" fontId="10" fillId="2" borderId="10" xfId="0" applyFont="1" applyFill="1" applyBorder="1" applyAlignment="1">
      <alignment horizontal="center" vertical="center" wrapText="1"/>
    </xf>
    <xf numFmtId="164" fontId="8" fillId="0" borderId="0" xfId="0" applyNumberFormat="1" applyFont="1"/>
    <xf numFmtId="164" fontId="10" fillId="0" borderId="10" xfId="0" applyNumberFormat="1" applyFont="1" applyBorder="1" applyAlignment="1">
      <alignment horizontal="center" vertical="center" wrapText="1"/>
    </xf>
    <xf numFmtId="164" fontId="8" fillId="0" borderId="10" xfId="0" applyNumberFormat="1" applyFont="1" applyBorder="1"/>
    <xf numFmtId="0" fontId="6" fillId="0" borderId="0" xfId="0" applyFont="1" applyFill="1" applyBorder="1" applyAlignment="1">
      <alignment horizontal="center" vertical="top"/>
    </xf>
    <xf numFmtId="0" fontId="2" fillId="3" borderId="11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wrapText="1"/>
    </xf>
    <xf numFmtId="0" fontId="22" fillId="0" borderId="0" xfId="0" applyFont="1" applyBorder="1"/>
    <xf numFmtId="0" fontId="22" fillId="0" borderId="0" xfId="0" applyFont="1"/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top" wrapText="1"/>
    </xf>
    <xf numFmtId="0" fontId="7" fillId="5" borderId="12" xfId="0" applyFont="1" applyFill="1" applyBorder="1" applyAlignment="1">
      <alignment horizontal="center" vertical="top" wrapText="1"/>
    </xf>
    <xf numFmtId="0" fontId="7" fillId="3" borderId="10" xfId="0" applyFont="1" applyFill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2" fillId="2" borderId="13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left"/>
    </xf>
    <xf numFmtId="0" fontId="25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5" fillId="0" borderId="0" xfId="0" applyFont="1" applyAlignment="1">
      <alignment vertical="center"/>
    </xf>
    <xf numFmtId="0" fontId="25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15" fillId="0" borderId="0" xfId="0" applyFont="1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0" xfId="0" applyBorder="1" applyAlignment="1"/>
    <xf numFmtId="0" fontId="2" fillId="6" borderId="0" xfId="0" applyFont="1" applyFill="1" applyAlignment="1">
      <alignment horizontal="center"/>
    </xf>
    <xf numFmtId="0" fontId="4" fillId="6" borderId="0" xfId="0" applyFont="1" applyFill="1"/>
    <xf numFmtId="0" fontId="2" fillId="5" borderId="0" xfId="0" applyFont="1" applyFill="1" applyAlignment="1">
      <alignment horizontal="center"/>
    </xf>
    <xf numFmtId="0" fontId="4" fillId="5" borderId="0" xfId="0" applyFont="1" applyFill="1"/>
    <xf numFmtId="0" fontId="2" fillId="4" borderId="0" xfId="0" applyFont="1" applyFill="1" applyAlignment="1">
      <alignment horizontal="center"/>
    </xf>
    <xf numFmtId="0" fontId="4" fillId="4" borderId="0" xfId="0" applyFont="1" applyFill="1"/>
    <xf numFmtId="0" fontId="2" fillId="3" borderId="0" xfId="0" applyFont="1" applyFill="1" applyAlignment="1">
      <alignment horizontal="center"/>
    </xf>
    <xf numFmtId="0" fontId="4" fillId="3" borderId="0" xfId="0" applyFont="1" applyFill="1"/>
    <xf numFmtId="0" fontId="26" fillId="0" borderId="0" xfId="0" applyFont="1" applyFill="1" applyBorder="1"/>
    <xf numFmtId="0" fontId="26" fillId="0" borderId="0" xfId="0" applyFont="1" applyFill="1"/>
    <xf numFmtId="0" fontId="2" fillId="0" borderId="0" xfId="0" applyFont="1" applyBorder="1"/>
    <xf numFmtId="0" fontId="8" fillId="0" borderId="0" xfId="0" applyFont="1" applyAlignment="1">
      <alignment horizontal="right"/>
    </xf>
    <xf numFmtId="0" fontId="18" fillId="0" borderId="0" xfId="0" applyFont="1" applyFill="1" applyBorder="1"/>
    <xf numFmtId="0" fontId="16" fillId="0" borderId="0" xfId="0" applyFont="1" applyFill="1" applyBorder="1"/>
    <xf numFmtId="0" fontId="3" fillId="0" borderId="0" xfId="0" applyFont="1" applyFill="1" applyBorder="1" applyAlignment="1">
      <alignment wrapText="1"/>
    </xf>
    <xf numFmtId="0" fontId="0" fillId="0" borderId="0" xfId="0" applyFill="1" applyAlignment="1">
      <alignment wrapText="1"/>
    </xf>
    <xf numFmtId="0" fontId="16" fillId="0" borderId="0" xfId="0" applyFont="1" applyAlignment="1">
      <alignment horizontal="center"/>
    </xf>
    <xf numFmtId="0" fontId="24" fillId="2" borderId="12" xfId="0" applyFont="1" applyFill="1" applyBorder="1" applyAlignment="1">
      <alignment horizontal="center"/>
    </xf>
    <xf numFmtId="0" fontId="24" fillId="0" borderId="0" xfId="0" applyFont="1" applyFill="1" applyBorder="1" applyAlignment="1">
      <alignment horizontal="center" vertical="center"/>
    </xf>
    <xf numFmtId="0" fontId="24" fillId="0" borderId="0" xfId="0" applyFont="1" applyAlignment="1"/>
    <xf numFmtId="0" fontId="28" fillId="0" borderId="0" xfId="0" applyFont="1" applyFill="1" applyBorder="1"/>
    <xf numFmtId="0" fontId="1" fillId="0" borderId="0" xfId="0" applyFont="1" applyFill="1" applyBorder="1" applyAlignment="1">
      <alignment wrapText="1"/>
    </xf>
    <xf numFmtId="0" fontId="1" fillId="0" borderId="0" xfId="0" applyFont="1" applyFill="1" applyBorder="1"/>
    <xf numFmtId="0" fontId="29" fillId="0" borderId="0" xfId="0" applyFont="1" applyFill="1" applyBorder="1" applyAlignment="1">
      <alignment wrapText="1"/>
    </xf>
    <xf numFmtId="0" fontId="17" fillId="0" borderId="0" xfId="0" applyFont="1"/>
    <xf numFmtId="0" fontId="10" fillId="0" borderId="4" xfId="0" applyFont="1" applyBorder="1" applyAlignment="1">
      <alignment horizontal="center"/>
    </xf>
    <xf numFmtId="0" fontId="8" fillId="0" borderId="7" xfId="0" applyFont="1" applyBorder="1"/>
    <xf numFmtId="0" fontId="8" fillId="0" borderId="8" xfId="0" applyFont="1" applyBorder="1"/>
    <xf numFmtId="0" fontId="10" fillId="0" borderId="0" xfId="0" applyFont="1" applyBorder="1" applyAlignment="1">
      <alignment horizontal="center"/>
    </xf>
    <xf numFmtId="165" fontId="8" fillId="0" borderId="10" xfId="0" applyNumberFormat="1" applyFont="1" applyFill="1" applyBorder="1"/>
    <xf numFmtId="2" fontId="8" fillId="0" borderId="0" xfId="0" applyNumberFormat="1" applyFont="1" applyFill="1" applyBorder="1"/>
    <xf numFmtId="0" fontId="8" fillId="0" borderId="0" xfId="0" applyFont="1" applyFill="1" applyBorder="1"/>
    <xf numFmtId="165" fontId="8" fillId="0" borderId="12" xfId="0" applyNumberFormat="1" applyFont="1" applyBorder="1"/>
    <xf numFmtId="165" fontId="8" fillId="0" borderId="15" xfId="0" applyNumberFormat="1" applyFont="1" applyBorder="1"/>
    <xf numFmtId="0" fontId="8" fillId="0" borderId="10" xfId="0" applyFont="1" applyBorder="1"/>
    <xf numFmtId="2" fontId="8" fillId="0" borderId="1" xfId="0" applyNumberFormat="1" applyFont="1" applyBorder="1"/>
    <xf numFmtId="2" fontId="8" fillId="0" borderId="2" xfId="0" applyNumberFormat="1" applyFont="1" applyBorder="1"/>
    <xf numFmtId="0" fontId="9" fillId="0" borderId="0" xfId="0" applyFont="1" applyBorder="1" applyAlignment="1">
      <alignment horizontal="left"/>
    </xf>
    <xf numFmtId="165" fontId="8" fillId="0" borderId="0" xfId="0" applyNumberFormat="1" applyFont="1"/>
    <xf numFmtId="165" fontId="8" fillId="0" borderId="0" xfId="0" applyNumberFormat="1" applyFont="1" applyBorder="1"/>
    <xf numFmtId="0" fontId="8" fillId="0" borderId="0" xfId="0" applyFont="1" applyFill="1" applyBorder="1" applyAlignment="1">
      <alignment horizontal="center"/>
    </xf>
    <xf numFmtId="2" fontId="0" fillId="0" borderId="0" xfId="0" applyNumberFormat="1" applyFill="1"/>
    <xf numFmtId="2" fontId="2" fillId="3" borderId="0" xfId="0" applyNumberFormat="1" applyFont="1" applyFill="1" applyAlignment="1">
      <alignment horizontal="center"/>
    </xf>
    <xf numFmtId="2" fontId="0" fillId="3" borderId="0" xfId="0" applyNumberFormat="1" applyFill="1"/>
    <xf numFmtId="2" fontId="2" fillId="3" borderId="0" xfId="0" applyNumberFormat="1" applyFont="1" applyFill="1"/>
    <xf numFmtId="2" fontId="2" fillId="4" borderId="0" xfId="0" applyNumberFormat="1" applyFont="1" applyFill="1" applyAlignment="1">
      <alignment horizontal="center"/>
    </xf>
    <xf numFmtId="2" fontId="0" fillId="4" borderId="0" xfId="0" applyNumberFormat="1" applyFill="1"/>
    <xf numFmtId="0" fontId="2" fillId="4" borderId="0" xfId="0" applyFont="1" applyFill="1"/>
    <xf numFmtId="2" fontId="2" fillId="5" borderId="0" xfId="0" applyNumberFormat="1" applyFont="1" applyFill="1" applyAlignment="1">
      <alignment horizontal="center"/>
    </xf>
    <xf numFmtId="2" fontId="0" fillId="5" borderId="0" xfId="0" applyNumberFormat="1" applyFill="1"/>
    <xf numFmtId="0" fontId="2" fillId="5" borderId="0" xfId="0" applyFont="1" applyFill="1"/>
    <xf numFmtId="2" fontId="2" fillId="7" borderId="0" xfId="0" applyNumberFormat="1" applyFont="1" applyFill="1" applyAlignment="1">
      <alignment horizontal="center"/>
    </xf>
    <xf numFmtId="2" fontId="0" fillId="7" borderId="0" xfId="0" applyNumberFormat="1" applyFill="1"/>
    <xf numFmtId="0" fontId="2" fillId="7" borderId="0" xfId="0" applyFont="1" applyFill="1"/>
    <xf numFmtId="2" fontId="8" fillId="0" borderId="15" xfId="0" applyNumberFormat="1" applyFont="1" applyBorder="1"/>
    <xf numFmtId="2" fontId="8" fillId="0" borderId="16" xfId="0" applyNumberFormat="1" applyFont="1" applyBorder="1"/>
    <xf numFmtId="0" fontId="10" fillId="0" borderId="13" xfId="0" applyFont="1" applyBorder="1" applyAlignment="1">
      <alignment horizontal="center"/>
    </xf>
    <xf numFmtId="0" fontId="10" fillId="8" borderId="10" xfId="0" applyFont="1" applyFill="1" applyBorder="1" applyAlignment="1">
      <alignment horizontal="center" vertical="center" wrapText="1"/>
    </xf>
    <xf numFmtId="2" fontId="21" fillId="8" borderId="10" xfId="0" applyNumberFormat="1" applyFont="1" applyFill="1" applyBorder="1" applyAlignment="1">
      <alignment horizontal="center"/>
    </xf>
    <xf numFmtId="2" fontId="8" fillId="0" borderId="7" xfId="0" applyNumberFormat="1" applyFont="1" applyBorder="1"/>
    <xf numFmtId="165" fontId="8" fillId="0" borderId="2" xfId="0" applyNumberFormat="1" applyFont="1" applyBorder="1"/>
    <xf numFmtId="0" fontId="9" fillId="0" borderId="17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5" fillId="3" borderId="17" xfId="0" applyFont="1" applyFill="1" applyBorder="1" applyAlignment="1">
      <alignment horizontal="center"/>
    </xf>
    <xf numFmtId="0" fontId="12" fillId="0" borderId="0" xfId="0" quotePrefix="1" applyFont="1"/>
    <xf numFmtId="0" fontId="12" fillId="0" borderId="0" xfId="0" applyFont="1" applyBorder="1"/>
    <xf numFmtId="0" fontId="12" fillId="0" borderId="0" xfId="0" applyFont="1"/>
    <xf numFmtId="0" fontId="2" fillId="2" borderId="17" xfId="0" applyFont="1" applyFill="1" applyBorder="1" applyAlignment="1">
      <alignment horizontal="left" vertical="center"/>
    </xf>
    <xf numFmtId="0" fontId="2" fillId="2" borderId="19" xfId="0" applyFont="1" applyFill="1" applyBorder="1" applyAlignment="1">
      <alignment horizontal="left" vertical="top"/>
    </xf>
    <xf numFmtId="0" fontId="24" fillId="2" borderId="7" xfId="0" applyFont="1" applyFill="1" applyBorder="1" applyAlignment="1">
      <alignment horizontal="center"/>
    </xf>
    <xf numFmtId="0" fontId="24" fillId="2" borderId="1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5" fillId="3" borderId="10" xfId="0" applyFont="1" applyFill="1" applyBorder="1" applyAlignment="1">
      <alignment horizontal="center"/>
    </xf>
    <xf numFmtId="0" fontId="12" fillId="3" borderId="10" xfId="0" applyFont="1" applyFill="1" applyBorder="1"/>
    <xf numFmtId="0" fontId="11" fillId="3" borderId="10" xfId="0" applyFont="1" applyFill="1" applyBorder="1" applyAlignment="1">
      <alignment horizontal="center" vertical="top" wrapText="1"/>
    </xf>
    <xf numFmtId="0" fontId="2" fillId="2" borderId="19" xfId="0" applyFont="1" applyFill="1" applyBorder="1" applyAlignment="1">
      <alignment horizontal="left"/>
    </xf>
    <xf numFmtId="0" fontId="12" fillId="2" borderId="13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top" wrapText="1"/>
    </xf>
    <xf numFmtId="0" fontId="22" fillId="0" borderId="0" xfId="0" applyFont="1" applyFill="1"/>
    <xf numFmtId="0" fontId="32" fillId="0" borderId="0" xfId="0" applyFont="1" applyFill="1"/>
    <xf numFmtId="0" fontId="0" fillId="2" borderId="18" xfId="0" applyFill="1" applyBorder="1" applyAlignment="1">
      <alignment horizontal="center"/>
    </xf>
    <xf numFmtId="0" fontId="7" fillId="2" borderId="6" xfId="0" applyFont="1" applyFill="1" applyBorder="1" applyAlignment="1">
      <alignment horizontal="center" vertical="top" wrapText="1"/>
    </xf>
    <xf numFmtId="0" fontId="2" fillId="2" borderId="20" xfId="0" applyFont="1" applyFill="1" applyBorder="1" applyAlignment="1">
      <alignment horizontal="center" vertical="center" wrapText="1"/>
    </xf>
    <xf numFmtId="0" fontId="12" fillId="5" borderId="10" xfId="0" quotePrefix="1" applyFont="1" applyFill="1" applyBorder="1"/>
    <xf numFmtId="0" fontId="2" fillId="2" borderId="0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5" fillId="6" borderId="10" xfId="0" applyFont="1" applyFill="1" applyBorder="1" applyAlignment="1">
      <alignment horizontal="center"/>
    </xf>
    <xf numFmtId="0" fontId="7" fillId="6" borderId="10" xfId="0" applyFont="1" applyFill="1" applyBorder="1" applyAlignment="1">
      <alignment horizontal="center" vertical="top" wrapText="1"/>
    </xf>
    <xf numFmtId="0" fontId="12" fillId="6" borderId="10" xfId="0" quotePrefix="1" applyFont="1" applyFill="1" applyBorder="1"/>
    <xf numFmtId="0" fontId="5" fillId="5" borderId="10" xfId="0" applyFont="1" applyFill="1" applyBorder="1" applyAlignment="1">
      <alignment horizontal="center"/>
    </xf>
    <xf numFmtId="0" fontId="7" fillId="5" borderId="10" xfId="0" applyFont="1" applyFill="1" applyBorder="1" applyAlignment="1">
      <alignment horizontal="center" vertical="top" wrapText="1"/>
    </xf>
    <xf numFmtId="0" fontId="0" fillId="5" borderId="10" xfId="0" applyFill="1" applyBorder="1"/>
    <xf numFmtId="0" fontId="31" fillId="2" borderId="6" xfId="0" applyFont="1" applyFill="1" applyBorder="1" applyAlignment="1">
      <alignment horizontal="center"/>
    </xf>
    <xf numFmtId="0" fontId="29" fillId="2" borderId="6" xfId="0" applyFont="1" applyFill="1" applyBorder="1" applyAlignment="1">
      <alignment horizontal="center" vertical="top" wrapText="1"/>
    </xf>
    <xf numFmtId="0" fontId="3" fillId="2" borderId="6" xfId="0" applyFont="1" applyFill="1" applyBorder="1" applyAlignment="1">
      <alignment horizontal="center" vertical="top" wrapText="1"/>
    </xf>
    <xf numFmtId="0" fontId="31" fillId="2" borderId="20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0" fontId="12" fillId="4" borderId="10" xfId="0" quotePrefix="1" applyFont="1" applyFill="1" applyBorder="1"/>
    <xf numFmtId="0" fontId="8" fillId="2" borderId="0" xfId="0" applyFont="1" applyFill="1" applyBorder="1" applyAlignment="1">
      <alignment horizontal="center"/>
    </xf>
    <xf numFmtId="0" fontId="24" fillId="3" borderId="10" xfId="0" applyFont="1" applyFill="1" applyBorder="1" applyAlignment="1">
      <alignment horizontal="center"/>
    </xf>
    <xf numFmtId="0" fontId="24" fillId="3" borderId="7" xfId="0" applyFont="1" applyFill="1" applyBorder="1" applyAlignment="1">
      <alignment horizontal="center"/>
    </xf>
    <xf numFmtId="0" fontId="22" fillId="0" borderId="0" xfId="0" quotePrefix="1" applyFont="1" applyFill="1" applyBorder="1"/>
    <xf numFmtId="0" fontId="22" fillId="0" borderId="0" xfId="0" quotePrefix="1" applyFont="1"/>
    <xf numFmtId="0" fontId="0" fillId="0" borderId="0" xfId="0" quotePrefix="1" applyAlignment="1">
      <alignment horizontal="right"/>
    </xf>
    <xf numFmtId="0" fontId="22" fillId="0" borderId="0" xfId="0" applyFont="1" applyAlignment="1">
      <alignment horizontal="right"/>
    </xf>
    <xf numFmtId="0" fontId="22" fillId="0" borderId="0" xfId="0" quotePrefix="1" applyFont="1" applyAlignment="1">
      <alignment horizontal="right"/>
    </xf>
    <xf numFmtId="0" fontId="33" fillId="0" borderId="0" xfId="0" applyFont="1" applyAlignment="1">
      <alignment horizontal="justify"/>
    </xf>
    <xf numFmtId="0" fontId="33" fillId="0" borderId="0" xfId="0" quotePrefix="1" applyFont="1"/>
    <xf numFmtId="0" fontId="32" fillId="2" borderId="10" xfId="0" applyFont="1" applyFill="1" applyBorder="1" applyAlignment="1">
      <alignment horizontal="center"/>
    </xf>
    <xf numFmtId="0" fontId="31" fillId="2" borderId="10" xfId="0" applyFont="1" applyFill="1" applyBorder="1" applyAlignment="1">
      <alignment horizontal="center" vertical="center"/>
    </xf>
    <xf numFmtId="0" fontId="29" fillId="2" borderId="10" xfId="0" applyFont="1" applyFill="1" applyBorder="1" applyAlignment="1">
      <alignment horizontal="center" vertical="top" wrapText="1"/>
    </xf>
    <xf numFmtId="0" fontId="8" fillId="0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4" fillId="2" borderId="17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0" fillId="5" borderId="12" xfId="0" applyFill="1" applyBorder="1"/>
    <xf numFmtId="0" fontId="7" fillId="6" borderId="16" xfId="0" applyFont="1" applyFill="1" applyBorder="1" applyAlignment="1">
      <alignment horizontal="center" vertical="top" wrapText="1"/>
    </xf>
    <xf numFmtId="0" fontId="24" fillId="2" borderId="15" xfId="0" applyFont="1" applyFill="1" applyBorder="1" applyAlignment="1">
      <alignment horizontal="center"/>
    </xf>
    <xf numFmtId="0" fontId="22" fillId="0" borderId="0" xfId="0" applyFont="1" applyBorder="1" applyAlignment="1">
      <alignment horizontal="right"/>
    </xf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3" fillId="2" borderId="6" xfId="0" applyFont="1" applyFill="1" applyBorder="1" applyAlignment="1">
      <alignment horizontal="center" vertical="center" wrapText="1" shrinkToFit="1"/>
    </xf>
    <xf numFmtId="0" fontId="0" fillId="6" borderId="10" xfId="0" applyFill="1" applyBorder="1" applyAlignment="1">
      <alignment horizontal="center"/>
    </xf>
    <xf numFmtId="0" fontId="7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vertical="center"/>
    </xf>
    <xf numFmtId="0" fontId="2" fillId="2" borderId="21" xfId="0" applyFont="1" applyFill="1" applyBorder="1" applyAlignment="1">
      <alignment horizontal="left"/>
    </xf>
    <xf numFmtId="0" fontId="2" fillId="2" borderId="10" xfId="0" applyFont="1" applyFill="1" applyBorder="1" applyAlignment="1">
      <alignment horizontal="left"/>
    </xf>
    <xf numFmtId="0" fontId="22" fillId="4" borderId="0" xfId="0" applyFont="1" applyFill="1"/>
    <xf numFmtId="0" fontId="3" fillId="0" borderId="0" xfId="0" applyFont="1"/>
    <xf numFmtId="0" fontId="34" fillId="0" borderId="0" xfId="0" applyFont="1"/>
    <xf numFmtId="0" fontId="3" fillId="0" borderId="0" xfId="0" applyFont="1" applyAlignment="1"/>
    <xf numFmtId="0" fontId="34" fillId="0" borderId="0" xfId="0" applyFont="1" applyBorder="1" applyAlignment="1"/>
    <xf numFmtId="0" fontId="35" fillId="0" borderId="0" xfId="0" applyFont="1" applyAlignment="1">
      <alignment horizontal="center"/>
    </xf>
    <xf numFmtId="0" fontId="34" fillId="0" borderId="0" xfId="0" applyFont="1" applyAlignment="1"/>
    <xf numFmtId="0" fontId="8" fillId="0" borderId="0" xfId="0" applyFont="1" applyFill="1" applyBorder="1" applyAlignment="1">
      <alignment horizontal="right"/>
    </xf>
    <xf numFmtId="0" fontId="36" fillId="6" borderId="15" xfId="0" applyFont="1" applyFill="1" applyBorder="1"/>
    <xf numFmtId="0" fontId="35" fillId="0" borderId="10" xfId="0" applyFont="1" applyBorder="1" applyAlignment="1">
      <alignment horizontal="center"/>
    </xf>
    <xf numFmtId="0" fontId="35" fillId="4" borderId="10" xfId="0" applyFont="1" applyFill="1" applyBorder="1" applyAlignment="1">
      <alignment horizontal="center"/>
    </xf>
    <xf numFmtId="0" fontId="35" fillId="6" borderId="10" xfId="0" applyFont="1" applyFill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9" fillId="0" borderId="10" xfId="0" applyFont="1" applyBorder="1"/>
    <xf numFmtId="0" fontId="35" fillId="0" borderId="13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6" fillId="5" borderId="15" xfId="0" applyFont="1" applyFill="1" applyBorder="1"/>
    <xf numFmtId="0" fontId="35" fillId="5" borderId="10" xfId="0" applyFont="1" applyFill="1" applyBorder="1" applyAlignment="1">
      <alignment horizontal="center"/>
    </xf>
    <xf numFmtId="0" fontId="36" fillId="4" borderId="15" xfId="0" applyFont="1" applyFill="1" applyBorder="1"/>
    <xf numFmtId="0" fontId="36" fillId="3" borderId="15" xfId="0" applyFont="1" applyFill="1" applyBorder="1"/>
    <xf numFmtId="0" fontId="34" fillId="0" borderId="10" xfId="0" applyFont="1" applyBorder="1" applyAlignment="1">
      <alignment horizontal="center"/>
    </xf>
    <xf numFmtId="0" fontId="34" fillId="4" borderId="10" xfId="0" applyFont="1" applyFill="1" applyBorder="1" applyAlignment="1">
      <alignment horizontal="center"/>
    </xf>
    <xf numFmtId="0" fontId="35" fillId="3" borderId="10" xfId="0" applyFont="1" applyFill="1" applyBorder="1" applyAlignment="1">
      <alignment horizontal="center"/>
    </xf>
    <xf numFmtId="0" fontId="8" fillId="0" borderId="6" xfId="0" applyFont="1" applyFill="1" applyBorder="1" applyAlignment="1">
      <alignment horizontal="right"/>
    </xf>
    <xf numFmtId="0" fontId="8" fillId="0" borderId="12" xfId="0" applyFont="1" applyBorder="1"/>
    <xf numFmtId="0" fontId="8" fillId="0" borderId="15" xfId="0" applyFont="1" applyBorder="1"/>
    <xf numFmtId="0" fontId="2" fillId="0" borderId="10" xfId="0" applyFont="1" applyBorder="1" applyAlignment="1">
      <alignment horizontal="center"/>
    </xf>
    <xf numFmtId="0" fontId="0" fillId="0" borderId="10" xfId="0" applyFill="1" applyBorder="1"/>
    <xf numFmtId="0" fontId="24" fillId="0" borderId="0" xfId="0" applyFont="1" applyAlignment="1">
      <alignment horizontal="left"/>
    </xf>
    <xf numFmtId="2" fontId="8" fillId="0" borderId="10" xfId="0" applyNumberFormat="1" applyFont="1" applyBorder="1"/>
    <xf numFmtId="2" fontId="8" fillId="0" borderId="12" xfId="0" applyNumberFormat="1" applyFont="1" applyBorder="1"/>
    <xf numFmtId="2" fontId="9" fillId="0" borderId="18" xfId="0" applyNumberFormat="1" applyFont="1" applyBorder="1" applyAlignment="1">
      <alignment horizontal="center"/>
    </xf>
    <xf numFmtId="2" fontId="9" fillId="0" borderId="13" xfId="0" applyNumberFormat="1" applyFont="1" applyBorder="1" applyAlignment="1">
      <alignment horizontal="center"/>
    </xf>
    <xf numFmtId="2" fontId="9" fillId="0" borderId="10" xfId="0" applyNumberFormat="1" applyFont="1" applyBorder="1" applyAlignment="1">
      <alignment horizontal="center"/>
    </xf>
    <xf numFmtId="2" fontId="9" fillId="0" borderId="17" xfId="0" applyNumberFormat="1" applyFont="1" applyBorder="1" applyAlignment="1">
      <alignment horizontal="center"/>
    </xf>
    <xf numFmtId="2" fontId="37" fillId="0" borderId="0" xfId="0" applyNumberFormat="1" applyFont="1"/>
    <xf numFmtId="0" fontId="10" fillId="0" borderId="10" xfId="0" applyFont="1" applyBorder="1" applyAlignment="1">
      <alignment horizontal="right"/>
    </xf>
    <xf numFmtId="165" fontId="8" fillId="0" borderId="1" xfId="0" applyNumberFormat="1" applyFont="1" applyBorder="1"/>
    <xf numFmtId="0" fontId="0" fillId="5" borderId="0" xfId="0" applyFill="1" applyBorder="1" applyAlignment="1">
      <alignment wrapText="1"/>
    </xf>
    <xf numFmtId="0" fontId="0" fillId="9" borderId="0" xfId="0" applyFill="1" applyBorder="1" applyAlignment="1">
      <alignment wrapText="1"/>
    </xf>
    <xf numFmtId="0" fontId="0" fillId="3" borderId="0" xfId="0" applyFill="1" applyBorder="1" applyAlignment="1">
      <alignment wrapText="1"/>
    </xf>
    <xf numFmtId="0" fontId="0" fillId="10" borderId="0" xfId="0" applyFill="1" applyBorder="1" applyAlignment="1">
      <alignment wrapText="1"/>
    </xf>
    <xf numFmtId="0" fontId="23" fillId="0" borderId="0" xfId="0" applyFont="1" applyAlignment="1">
      <alignment horizontal="center" vertical="center"/>
    </xf>
    <xf numFmtId="0" fontId="7" fillId="11" borderId="10" xfId="0" applyFont="1" applyFill="1" applyBorder="1" applyAlignment="1">
      <alignment horizontal="center" vertical="top" wrapText="1"/>
    </xf>
    <xf numFmtId="0" fontId="9" fillId="0" borderId="16" xfId="0" applyFont="1" applyBorder="1"/>
    <xf numFmtId="0" fontId="38" fillId="0" borderId="0" xfId="0" applyFont="1"/>
    <xf numFmtId="0" fontId="39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42" fillId="0" borderId="10" xfId="0" applyFont="1" applyBorder="1" applyAlignment="1">
      <alignment vertical="top" wrapText="1"/>
    </xf>
    <xf numFmtId="3" fontId="42" fillId="0" borderId="10" xfId="0" applyNumberFormat="1" applyFont="1" applyBorder="1" applyAlignment="1">
      <alignment vertical="top" wrapText="1"/>
    </xf>
    <xf numFmtId="0" fontId="43" fillId="0" borderId="10" xfId="0" applyFont="1" applyBorder="1" applyAlignment="1">
      <alignment vertical="top" wrapText="1"/>
    </xf>
    <xf numFmtId="0" fontId="40" fillId="0" borderId="10" xfId="0" applyFont="1" applyBorder="1" applyAlignment="1">
      <alignment vertical="top" wrapText="1"/>
    </xf>
    <xf numFmtId="3" fontId="40" fillId="0" borderId="10" xfId="0" applyNumberFormat="1" applyFont="1" applyBorder="1" applyAlignment="1">
      <alignment vertical="top" wrapText="1"/>
    </xf>
    <xf numFmtId="0" fontId="23" fillId="0" borderId="0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left"/>
    </xf>
    <xf numFmtId="0" fontId="2" fillId="2" borderId="18" xfId="0" applyFont="1" applyFill="1" applyBorder="1" applyAlignment="1">
      <alignment horizontal="left"/>
    </xf>
    <xf numFmtId="0" fontId="2" fillId="2" borderId="18" xfId="0" applyFont="1" applyFill="1" applyBorder="1" applyAlignment="1">
      <alignment horizontal="left" vertical="top"/>
    </xf>
    <xf numFmtId="0" fontId="2" fillId="2" borderId="2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10" xfId="0" applyFont="1" applyBorder="1" applyAlignment="1">
      <alignment horizontal="center"/>
    </xf>
    <xf numFmtId="0" fontId="8" fillId="0" borderId="16" xfId="0" applyFont="1" applyBorder="1"/>
    <xf numFmtId="0" fontId="36" fillId="3" borderId="12" xfId="0" applyFont="1" applyFill="1" applyBorder="1"/>
    <xf numFmtId="0" fontId="36" fillId="4" borderId="12" xfId="0" applyFont="1" applyFill="1" applyBorder="1"/>
    <xf numFmtId="0" fontId="36" fillId="5" borderId="12" xfId="0" applyFont="1" applyFill="1" applyBorder="1"/>
    <xf numFmtId="0" fontId="36" fillId="6" borderId="12" xfId="0" applyFont="1" applyFill="1" applyBorder="1"/>
    <xf numFmtId="0" fontId="8" fillId="0" borderId="2" xfId="0" applyFont="1" applyFill="1" applyBorder="1"/>
    <xf numFmtId="0" fontId="9" fillId="0" borderId="12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3" xfId="0" applyBorder="1"/>
    <xf numFmtId="0" fontId="8" fillId="2" borderId="4" xfId="0" applyFont="1" applyFill="1" applyBorder="1"/>
    <xf numFmtId="2" fontId="8" fillId="2" borderId="5" xfId="0" applyNumberFormat="1" applyFont="1" applyFill="1" applyBorder="1"/>
    <xf numFmtId="2" fontId="8" fillId="2" borderId="8" xfId="0" applyNumberFormat="1" applyFont="1" applyFill="1" applyBorder="1"/>
    <xf numFmtId="0" fontId="8" fillId="5" borderId="2" xfId="0" applyFont="1" applyFill="1" applyBorder="1"/>
    <xf numFmtId="2" fontId="8" fillId="5" borderId="0" xfId="0" applyNumberFormat="1" applyFont="1" applyFill="1" applyBorder="1"/>
    <xf numFmtId="2" fontId="8" fillId="5" borderId="3" xfId="0" applyNumberFormat="1" applyFont="1" applyFill="1" applyBorder="1"/>
    <xf numFmtId="0" fontId="9" fillId="0" borderId="13" xfId="0" applyFont="1" applyBorder="1" applyAlignment="1">
      <alignment horizontal="center"/>
    </xf>
    <xf numFmtId="0" fontId="44" fillId="0" borderId="0" xfId="0" applyFont="1" applyBorder="1" applyAlignment="1">
      <alignment horizontal="center"/>
    </xf>
    <xf numFmtId="1" fontId="8" fillId="0" borderId="0" xfId="0" applyNumberFormat="1" applyFont="1" applyFill="1" applyBorder="1" applyAlignment="1">
      <alignment horizontal="center"/>
    </xf>
    <xf numFmtId="3" fontId="8" fillId="0" borderId="0" xfId="0" applyNumberFormat="1" applyFont="1"/>
    <xf numFmtId="164" fontId="3" fillId="0" borderId="14" xfId="0" applyNumberFormat="1" applyFont="1" applyBorder="1" applyAlignment="1">
      <alignment vertical="center"/>
    </xf>
    <xf numFmtId="0" fontId="46" fillId="0" borderId="14" xfId="0" applyFont="1" applyBorder="1" applyAlignment="1">
      <alignment horizontal="left" vertical="center" wrapText="1"/>
    </xf>
    <xf numFmtId="0" fontId="46" fillId="0" borderId="14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3" fillId="0" borderId="14" xfId="0" applyFont="1" applyBorder="1" applyAlignment="1">
      <alignment vertical="center" wrapText="1"/>
    </xf>
    <xf numFmtId="0" fontId="3" fillId="0" borderId="14" xfId="0" applyFont="1" applyBorder="1" applyAlignment="1">
      <alignment horizontal="left" vertical="center" wrapText="1"/>
    </xf>
    <xf numFmtId="0" fontId="45" fillId="0" borderId="14" xfId="0" applyFont="1" applyBorder="1" applyAlignment="1">
      <alignment vertical="center"/>
    </xf>
    <xf numFmtId="0" fontId="47" fillId="0" borderId="0" xfId="0" applyFont="1" applyAlignment="1">
      <alignment wrapText="1"/>
    </xf>
    <xf numFmtId="0" fontId="8" fillId="0" borderId="0" xfId="0" applyFont="1" applyBorder="1" applyAlignment="1">
      <alignment horizontal="center"/>
    </xf>
    <xf numFmtId="0" fontId="8" fillId="0" borderId="17" xfId="0" applyFont="1" applyBorder="1"/>
    <xf numFmtId="0" fontId="44" fillId="0" borderId="13" xfId="0" applyFont="1" applyBorder="1" applyAlignment="1">
      <alignment horizontal="center"/>
    </xf>
    <xf numFmtId="1" fontId="8" fillId="0" borderId="7" xfId="0" applyNumberFormat="1" applyFont="1" applyBorder="1"/>
    <xf numFmtId="1" fontId="8" fillId="0" borderId="3" xfId="0" applyNumberFormat="1" applyFont="1" applyBorder="1"/>
    <xf numFmtId="1" fontId="8" fillId="2" borderId="8" xfId="0" applyNumberFormat="1" applyFont="1" applyFill="1" applyBorder="1"/>
    <xf numFmtId="2" fontId="10" fillId="0" borderId="17" xfId="0" applyNumberFormat="1" applyFont="1" applyBorder="1"/>
    <xf numFmtId="2" fontId="10" fillId="0" borderId="18" xfId="0" applyNumberFormat="1" applyFont="1" applyBorder="1"/>
    <xf numFmtId="2" fontId="10" fillId="0" borderId="13" xfId="0" applyNumberFormat="1" applyFont="1" applyBorder="1"/>
    <xf numFmtId="2" fontId="10" fillId="0" borderId="10" xfId="0" applyNumberFormat="1" applyFont="1" applyBorder="1"/>
    <xf numFmtId="2" fontId="10" fillId="0" borderId="12" xfId="0" applyNumberFormat="1" applyFont="1" applyBorder="1"/>
    <xf numFmtId="3" fontId="0" fillId="0" borderId="0" xfId="0" applyNumberFormat="1"/>
    <xf numFmtId="0" fontId="0" fillId="0" borderId="0" xfId="0" applyAlignment="1">
      <alignment horizontal="center"/>
    </xf>
    <xf numFmtId="4" fontId="0" fillId="0" borderId="0" xfId="0" applyNumberFormat="1"/>
    <xf numFmtId="0" fontId="11" fillId="0" borderId="0" xfId="0" applyFont="1"/>
    <xf numFmtId="2" fontId="49" fillId="13" borderId="5" xfId="1" applyNumberFormat="1" applyBorder="1"/>
    <xf numFmtId="2" fontId="8" fillId="0" borderId="0" xfId="0" applyNumberFormat="1" applyFont="1" applyAlignment="1">
      <alignment horizontal="center"/>
    </xf>
    <xf numFmtId="0" fontId="23" fillId="0" borderId="0" xfId="0" applyFont="1" applyAlignment="1">
      <alignment horizontal="center" vertical="center"/>
    </xf>
    <xf numFmtId="3" fontId="26" fillId="0" borderId="0" xfId="0" applyNumberFormat="1" applyFont="1" applyFill="1" applyBorder="1"/>
    <xf numFmtId="0" fontId="8" fillId="0" borderId="0" xfId="0" applyFont="1" applyAlignment="1">
      <alignment horizontal="center"/>
    </xf>
    <xf numFmtId="0" fontId="3" fillId="4" borderId="11" xfId="0" applyFont="1" applyFill="1" applyBorder="1" applyAlignment="1">
      <alignment horizontal="left" vertical="center"/>
    </xf>
    <xf numFmtId="0" fontId="3" fillId="5" borderId="11" xfId="0" applyFont="1" applyFill="1" applyBorder="1" applyAlignment="1">
      <alignment horizontal="left" vertical="center"/>
    </xf>
    <xf numFmtId="0" fontId="3" fillId="6" borderId="11" xfId="0" applyFont="1" applyFill="1" applyBorder="1" applyAlignment="1">
      <alignment horizontal="left" vertical="center"/>
    </xf>
    <xf numFmtId="0" fontId="1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2" xfId="0" applyBorder="1"/>
    <xf numFmtId="0" fontId="1" fillId="0" borderId="0" xfId="0" applyFont="1" applyBorder="1" applyAlignment="1">
      <alignment horizontal="right"/>
    </xf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1" fillId="0" borderId="15" xfId="0" applyFont="1" applyBorder="1" applyAlignment="1">
      <alignment horizontal="right"/>
    </xf>
    <xf numFmtId="0" fontId="0" fillId="0" borderId="15" xfId="0" applyBorder="1"/>
    <xf numFmtId="0" fontId="0" fillId="0" borderId="16" xfId="0" applyBorder="1"/>
    <xf numFmtId="0" fontId="2" fillId="0" borderId="13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right"/>
    </xf>
    <xf numFmtId="0" fontId="0" fillId="0" borderId="3" xfId="0" applyFill="1" applyBorder="1"/>
    <xf numFmtId="0" fontId="44" fillId="0" borderId="0" xfId="0" applyFont="1" applyBorder="1"/>
    <xf numFmtId="0" fontId="0" fillId="0" borderId="12" xfId="0" applyBorder="1"/>
    <xf numFmtId="0" fontId="0" fillId="0" borderId="6" xfId="0" applyBorder="1"/>
    <xf numFmtId="0" fontId="0" fillId="0" borderId="2" xfId="0" applyFill="1" applyBorder="1"/>
    <xf numFmtId="3" fontId="1" fillId="0" borderId="3" xfId="0" applyNumberFormat="1" applyFont="1" applyFill="1" applyBorder="1"/>
    <xf numFmtId="0" fontId="2" fillId="2" borderId="22" xfId="0" applyFont="1" applyFill="1" applyBorder="1" applyAlignment="1">
      <alignment horizontal="center" vertical="center"/>
    </xf>
    <xf numFmtId="3" fontId="8" fillId="5" borderId="0" xfId="0" applyNumberFormat="1" applyFont="1" applyFill="1" applyBorder="1"/>
    <xf numFmtId="3" fontId="8" fillId="0" borderId="0" xfId="0" applyNumberFormat="1" applyFont="1" applyFill="1" applyBorder="1"/>
    <xf numFmtId="2" fontId="8" fillId="0" borderId="0" xfId="0" quotePrefix="1" applyNumberFormat="1" applyFont="1" applyBorder="1"/>
    <xf numFmtId="165" fontId="8" fillId="0" borderId="0" xfId="0" quotePrefix="1" applyNumberFormat="1" applyFont="1"/>
    <xf numFmtId="2" fontId="10" fillId="0" borderId="0" xfId="0" applyNumberFormat="1" applyFont="1" applyBorder="1"/>
    <xf numFmtId="0" fontId="10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  <xf numFmtId="2" fontId="44" fillId="0" borderId="0" xfId="0" applyNumberFormat="1" applyFont="1" applyBorder="1" applyAlignment="1">
      <alignment horizontal="right" vertical="center"/>
    </xf>
    <xf numFmtId="164" fontId="44" fillId="0" borderId="0" xfId="0" applyNumberFormat="1" applyFont="1" applyBorder="1" applyAlignment="1">
      <alignment horizontal="right" vertical="center"/>
    </xf>
    <xf numFmtId="2" fontId="48" fillId="0" borderId="0" xfId="0" applyNumberFormat="1" applyFont="1" applyBorder="1" applyAlignment="1">
      <alignment horizontal="right" vertical="center"/>
    </xf>
    <xf numFmtId="3" fontId="8" fillId="0" borderId="0" xfId="0" applyNumberFormat="1" applyFont="1" applyFill="1" applyBorder="1"/>
    <xf numFmtId="0" fontId="8" fillId="2" borderId="2" xfId="0" applyFont="1" applyFill="1" applyBorder="1"/>
    <xf numFmtId="3" fontId="8" fillId="2" borderId="0" xfId="0" applyNumberFormat="1" applyFont="1" applyFill="1" applyBorder="1"/>
    <xf numFmtId="2" fontId="8" fillId="2" borderId="0" xfId="0" applyNumberFormat="1" applyFont="1" applyFill="1" applyBorder="1"/>
    <xf numFmtId="2" fontId="8" fillId="2" borderId="3" xfId="0" applyNumberFormat="1" applyFont="1" applyFill="1" applyBorder="1"/>
    <xf numFmtId="3" fontId="8" fillId="2" borderId="5" xfId="0" applyNumberFormat="1" applyFont="1" applyFill="1" applyBorder="1"/>
    <xf numFmtId="0" fontId="12" fillId="3" borderId="13" xfId="0" applyFont="1" applyFill="1" applyBorder="1"/>
    <xf numFmtId="0" fontId="7" fillId="3" borderId="13" xfId="0" applyFont="1" applyFill="1" applyBorder="1" applyAlignment="1">
      <alignment horizontal="center" vertical="top" wrapText="1"/>
    </xf>
    <xf numFmtId="0" fontId="3" fillId="3" borderId="22" xfId="0" applyFont="1" applyFill="1" applyBorder="1" applyAlignment="1">
      <alignment horizontal="left" vertical="center"/>
    </xf>
    <xf numFmtId="0" fontId="30" fillId="0" borderId="1" xfId="0" applyFont="1" applyBorder="1"/>
    <xf numFmtId="0" fontId="30" fillId="0" borderId="6" xfId="0" applyFont="1" applyBorder="1"/>
    <xf numFmtId="0" fontId="30" fillId="0" borderId="7" xfId="0" applyFont="1" applyBorder="1"/>
    <xf numFmtId="0" fontId="30" fillId="0" borderId="2" xfId="0" applyFont="1" applyBorder="1"/>
    <xf numFmtId="0" fontId="30" fillId="0" borderId="0" xfId="0" applyFont="1" applyBorder="1"/>
    <xf numFmtId="0" fontId="30" fillId="0" borderId="3" xfId="0" applyFont="1" applyBorder="1"/>
    <xf numFmtId="0" fontId="2" fillId="2" borderId="23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left" vertical="center" wrapText="1"/>
    </xf>
    <xf numFmtId="0" fontId="47" fillId="0" borderId="0" xfId="0" applyFont="1" applyFill="1" applyBorder="1" applyAlignment="1"/>
    <xf numFmtId="164" fontId="7" fillId="0" borderId="0" xfId="0" applyNumberFormat="1" applyFont="1" applyBorder="1"/>
    <xf numFmtId="1" fontId="8" fillId="0" borderId="13" xfId="0" applyNumberFormat="1" applyFont="1" applyBorder="1"/>
    <xf numFmtId="2" fontId="9" fillId="0" borderId="12" xfId="0" applyNumberFormat="1" applyFont="1" applyBorder="1"/>
    <xf numFmtId="2" fontId="8" fillId="2" borderId="1" xfId="0" applyNumberFormat="1" applyFont="1" applyFill="1" applyBorder="1"/>
    <xf numFmtId="2" fontId="8" fillId="2" borderId="6" xfId="0" applyNumberFormat="1" applyFont="1" applyFill="1" applyBorder="1"/>
    <xf numFmtId="2" fontId="8" fillId="2" borderId="7" xfId="0" applyNumberFormat="1" applyFont="1" applyFill="1" applyBorder="1"/>
    <xf numFmtId="2" fontId="10" fillId="2" borderId="12" xfId="0" applyNumberFormat="1" applyFont="1" applyFill="1" applyBorder="1"/>
    <xf numFmtId="0" fontId="8" fillId="0" borderId="13" xfId="0" applyFont="1" applyBorder="1" applyAlignment="1">
      <alignment horizontal="center"/>
    </xf>
    <xf numFmtId="2" fontId="9" fillId="0" borderId="15" xfId="0" applyNumberFormat="1" applyFont="1" applyBorder="1"/>
    <xf numFmtId="2" fontId="9" fillId="2" borderId="16" xfId="0" applyNumberFormat="1" applyFont="1" applyFill="1" applyBorder="1"/>
    <xf numFmtId="2" fontId="9" fillId="0" borderId="17" xfId="0" applyNumberFormat="1" applyFont="1" applyBorder="1"/>
    <xf numFmtId="2" fontId="9" fillId="0" borderId="18" xfId="0" applyNumberFormat="1" applyFont="1" applyBorder="1"/>
    <xf numFmtId="2" fontId="9" fillId="0" borderId="13" xfId="0" applyNumberFormat="1" applyFont="1" applyBorder="1"/>
    <xf numFmtId="2" fontId="9" fillId="0" borderId="10" xfId="0" applyNumberFormat="1" applyFont="1" applyBorder="1"/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165" fontId="8" fillId="0" borderId="1" xfId="0" applyNumberFormat="1" applyFont="1" applyBorder="1"/>
    <xf numFmtId="165" fontId="8" fillId="0" borderId="6" xfId="0" applyNumberFormat="1" applyFont="1" applyBorder="1"/>
    <xf numFmtId="165" fontId="8" fillId="0" borderId="0" xfId="0" applyNumberFormat="1" applyFont="1" applyBorder="1"/>
    <xf numFmtId="165" fontId="20" fillId="0" borderId="0" xfId="0" applyNumberFormat="1" applyFont="1" applyBorder="1"/>
    <xf numFmtId="0" fontId="9" fillId="0" borderId="7" xfId="0" applyFont="1" applyBorder="1" applyAlignment="1">
      <alignment horizontal="center" vertical="center"/>
    </xf>
    <xf numFmtId="165" fontId="8" fillId="0" borderId="2" xfId="0" applyNumberFormat="1" applyFont="1" applyBorder="1"/>
    <xf numFmtId="165" fontId="20" fillId="0" borderId="3" xfId="0" applyNumberFormat="1" applyFont="1" applyBorder="1"/>
    <xf numFmtId="165" fontId="20" fillId="0" borderId="7" xfId="0" applyNumberFormat="1" applyFont="1" applyBorder="1"/>
    <xf numFmtId="2" fontId="8" fillId="2" borderId="12" xfId="0" applyNumberFormat="1" applyFont="1" applyFill="1" applyBorder="1"/>
    <xf numFmtId="0" fontId="15" fillId="0" borderId="17" xfId="0" applyFont="1" applyBorder="1" applyAlignment="1">
      <alignment horizontal="center"/>
    </xf>
    <xf numFmtId="0" fontId="0" fillId="0" borderId="0" xfId="0" applyBorder="1" applyAlignment="1">
      <alignment wrapText="1"/>
    </xf>
    <xf numFmtId="2" fontId="8" fillId="0" borderId="2" xfId="0" applyNumberFormat="1" applyFont="1" applyFill="1" applyBorder="1"/>
    <xf numFmtId="2" fontId="36" fillId="3" borderId="15" xfId="0" applyNumberFormat="1" applyFont="1" applyFill="1" applyBorder="1"/>
    <xf numFmtId="0" fontId="15" fillId="0" borderId="0" xfId="0" applyFont="1"/>
    <xf numFmtId="0" fontId="15" fillId="0" borderId="0" xfId="0" applyFont="1" applyBorder="1"/>
    <xf numFmtId="0" fontId="51" fillId="0" borderId="0" xfId="0" applyFont="1" applyBorder="1" applyAlignment="1">
      <alignment vertical="center"/>
    </xf>
    <xf numFmtId="2" fontId="51" fillId="0" borderId="0" xfId="0" applyNumberFormat="1" applyFont="1" applyBorder="1" applyAlignment="1">
      <alignment vertical="center"/>
    </xf>
    <xf numFmtId="0" fontId="6" fillId="0" borderId="10" xfId="0" applyFont="1" applyBorder="1" applyAlignment="1">
      <alignment horizontal="center" wrapText="1"/>
    </xf>
    <xf numFmtId="0" fontId="2" fillId="3" borderId="10" xfId="0" applyFont="1" applyFill="1" applyBorder="1" applyAlignment="1">
      <alignment horizontal="center" wrapText="1"/>
    </xf>
    <xf numFmtId="0" fontId="6" fillId="0" borderId="13" xfId="0" applyFont="1" applyBorder="1" applyAlignment="1">
      <alignment horizontal="center" wrapText="1"/>
    </xf>
    <xf numFmtId="0" fontId="2" fillId="4" borderId="10" xfId="0" applyFont="1" applyFill="1" applyBorder="1" applyAlignment="1">
      <alignment horizontal="center" wrapText="1"/>
    </xf>
    <xf numFmtId="0" fontId="2" fillId="5" borderId="10" xfId="0" applyFont="1" applyFill="1" applyBorder="1" applyAlignment="1">
      <alignment horizontal="center" wrapText="1"/>
    </xf>
    <xf numFmtId="0" fontId="2" fillId="6" borderId="10" xfId="0" applyFont="1" applyFill="1" applyBorder="1" applyAlignment="1">
      <alignment horizontal="center" wrapText="1"/>
    </xf>
    <xf numFmtId="0" fontId="15" fillId="0" borderId="17" xfId="0" applyFont="1" applyBorder="1" applyAlignment="1">
      <alignment horizontal="center"/>
    </xf>
    <xf numFmtId="0" fontId="0" fillId="0" borderId="0" xfId="0"/>
    <xf numFmtId="0" fontId="34" fillId="0" borderId="0" xfId="0" applyFont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2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0" borderId="10" xfId="0" applyBorder="1"/>
    <xf numFmtId="0" fontId="53" fillId="0" borderId="0" xfId="0" applyFont="1" applyBorder="1"/>
    <xf numFmtId="0" fontId="6" fillId="0" borderId="14" xfId="0" applyFont="1" applyBorder="1" applyAlignment="1">
      <alignment vertical="center"/>
    </xf>
    <xf numFmtId="164" fontId="3" fillId="0" borderId="0" xfId="0" applyNumberFormat="1" applyFont="1" applyBorder="1"/>
    <xf numFmtId="0" fontId="3" fillId="0" borderId="0" xfId="0" applyFont="1" applyBorder="1"/>
    <xf numFmtId="0" fontId="52" fillId="0" borderId="0" xfId="0" applyFont="1" applyBorder="1" applyAlignment="1">
      <alignment vertical="center"/>
    </xf>
    <xf numFmtId="0" fontId="25" fillId="0" borderId="0" xfId="0" applyFont="1" applyBorder="1" applyAlignment="1">
      <alignment vertical="center" wrapText="1"/>
    </xf>
    <xf numFmtId="0" fontId="2" fillId="0" borderId="0" xfId="0" applyFont="1" applyBorder="1" applyAlignment="1">
      <alignment horizontal="center" vertical="center" wrapText="1"/>
    </xf>
    <xf numFmtId="0" fontId="0" fillId="0" borderId="14" xfId="0" applyBorder="1"/>
    <xf numFmtId="0" fontId="25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51" fillId="0" borderId="14" xfId="0" applyFont="1" applyBorder="1" applyAlignment="1">
      <alignment vertical="center"/>
    </xf>
    <xf numFmtId="0" fontId="52" fillId="0" borderId="14" xfId="0" applyFont="1" applyBorder="1" applyAlignment="1">
      <alignment vertical="center"/>
    </xf>
    <xf numFmtId="0" fontId="27" fillId="0" borderId="14" xfId="0" applyFont="1" applyBorder="1" applyAlignment="1">
      <alignment vertical="center" wrapText="1"/>
    </xf>
    <xf numFmtId="0" fontId="18" fillId="0" borderId="14" xfId="0" applyFont="1" applyBorder="1"/>
    <xf numFmtId="0" fontId="16" fillId="0" borderId="14" xfId="0" applyFont="1" applyBorder="1"/>
    <xf numFmtId="0" fontId="53" fillId="0" borderId="14" xfId="0" applyFont="1" applyBorder="1"/>
    <xf numFmtId="0" fontId="53" fillId="14" borderId="14" xfId="0" applyFont="1" applyFill="1" applyBorder="1"/>
    <xf numFmtId="0" fontId="0" fillId="0" borderId="14" xfId="0" applyBorder="1" applyAlignment="1">
      <alignment wrapText="1"/>
    </xf>
    <xf numFmtId="2" fontId="51" fillId="0" borderId="14" xfId="0" applyNumberFormat="1" applyFont="1" applyBorder="1" applyAlignment="1">
      <alignment vertical="center"/>
    </xf>
    <xf numFmtId="0" fontId="0" fillId="0" borderId="14" xfId="0" applyBorder="1" applyAlignment="1">
      <alignment wrapText="1"/>
    </xf>
    <xf numFmtId="2" fontId="52" fillId="0" borderId="14" xfId="0" applyNumberFormat="1" applyFont="1" applyBorder="1" applyAlignment="1">
      <alignment vertical="center"/>
    </xf>
    <xf numFmtId="0" fontId="7" fillId="0" borderId="14" xfId="0" applyFont="1" applyBorder="1"/>
    <xf numFmtId="0" fontId="7" fillId="0" borderId="14" xfId="0" applyFont="1" applyBorder="1" applyAlignment="1">
      <alignment horizontal="left" vertical="center" wrapText="1"/>
    </xf>
    <xf numFmtId="0" fontId="19" fillId="0" borderId="14" xfId="0" applyFont="1" applyBorder="1" applyAlignment="1">
      <alignment vertical="center"/>
    </xf>
    <xf numFmtId="164" fontId="7" fillId="0" borderId="14" xfId="0" applyNumberFormat="1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0" fillId="0" borderId="14" xfId="0" applyBorder="1" applyAlignment="1">
      <alignment vertical="center" wrapText="1"/>
    </xf>
    <xf numFmtId="2" fontId="0" fillId="0" borderId="14" xfId="0" applyNumberFormat="1" applyBorder="1" applyAlignment="1">
      <alignment vertical="center"/>
    </xf>
    <xf numFmtId="0" fontId="27" fillId="0" borderId="14" xfId="0" applyFont="1" applyBorder="1" applyAlignment="1">
      <alignment vertical="center"/>
    </xf>
    <xf numFmtId="0" fontId="3" fillId="4" borderId="14" xfId="0" applyFont="1" applyFill="1" applyBorder="1" applyAlignment="1">
      <alignment vertical="center"/>
    </xf>
    <xf numFmtId="0" fontId="6" fillId="0" borderId="14" xfId="0" applyFont="1" applyBorder="1" applyAlignment="1">
      <alignment horizontal="left" vertical="center" wrapText="1"/>
    </xf>
    <xf numFmtId="0" fontId="2" fillId="0" borderId="14" xfId="0" applyFont="1" applyBorder="1" applyAlignment="1">
      <alignment vertical="center"/>
    </xf>
    <xf numFmtId="0" fontId="3" fillId="0" borderId="14" xfId="0" applyFont="1" applyBorder="1" applyAlignment="1">
      <alignment horizontal="left" vertical="center"/>
    </xf>
    <xf numFmtId="0" fontId="47" fillId="0" borderId="14" xfId="0" applyFont="1" applyFill="1" applyBorder="1" applyAlignment="1"/>
    <xf numFmtId="0" fontId="3" fillId="0" borderId="14" xfId="0" applyFont="1" applyFill="1" applyBorder="1" applyAlignment="1">
      <alignment vertical="center"/>
    </xf>
    <xf numFmtId="0" fontId="0" fillId="0" borderId="14" xfId="0" applyFill="1" applyBorder="1" applyAlignment="1">
      <alignment wrapText="1"/>
    </xf>
    <xf numFmtId="164" fontId="7" fillId="0" borderId="14" xfId="0" applyNumberFormat="1" applyFont="1" applyBorder="1"/>
    <xf numFmtId="164" fontId="3" fillId="0" borderId="14" xfId="0" applyNumberFormat="1" applyFont="1" applyBorder="1"/>
    <xf numFmtId="0" fontId="3" fillId="0" borderId="14" xfId="0" applyFont="1" applyBorder="1"/>
    <xf numFmtId="0" fontId="0" fillId="0" borderId="24" xfId="0" applyBorder="1" applyAlignment="1">
      <alignment vertical="center"/>
    </xf>
    <xf numFmtId="0" fontId="2" fillId="0" borderId="14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9" fontId="9" fillId="0" borderId="14" xfId="0" quotePrefix="1" applyNumberFormat="1" applyFont="1" applyBorder="1" applyAlignment="1">
      <alignment horizontal="center" vertical="center" wrapText="1"/>
    </xf>
    <xf numFmtId="0" fontId="10" fillId="0" borderId="14" xfId="0" applyFont="1" applyBorder="1" applyAlignment="1">
      <alignment horizontal="center" vertical="center" wrapText="1"/>
    </xf>
    <xf numFmtId="0" fontId="9" fillId="0" borderId="14" xfId="0" applyFont="1" applyFill="1" applyBorder="1" applyAlignment="1">
      <alignment horizontal="center" vertical="center" wrapText="1"/>
    </xf>
    <xf numFmtId="164" fontId="9" fillId="0" borderId="14" xfId="0" applyNumberFormat="1" applyFont="1" applyBorder="1" applyAlignment="1">
      <alignment horizontal="center" vertical="center" wrapText="1"/>
    </xf>
    <xf numFmtId="164" fontId="16" fillId="0" borderId="14" xfId="0" applyNumberFormat="1" applyFont="1" applyBorder="1"/>
    <xf numFmtId="164" fontId="16" fillId="0" borderId="0" xfId="0" applyNumberFormat="1" applyFont="1" applyBorder="1"/>
    <xf numFmtId="0" fontId="9" fillId="0" borderId="5" xfId="0" applyFont="1" applyBorder="1" applyAlignment="1">
      <alignment horizontal="center"/>
    </xf>
    <xf numFmtId="0" fontId="0" fillId="0" borderId="6" xfId="0" applyFill="1" applyBorder="1"/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2" fillId="0" borderId="18" xfId="0" applyFont="1" applyFill="1" applyBorder="1" applyAlignment="1">
      <alignment horizontal="center"/>
    </xf>
    <xf numFmtId="165" fontId="8" fillId="0" borderId="7" xfId="0" applyNumberFormat="1" applyFont="1" applyBorder="1"/>
    <xf numFmtId="165" fontId="52" fillId="0" borderId="3" xfId="0" applyNumberFormat="1" applyFont="1" applyBorder="1"/>
    <xf numFmtId="165" fontId="8" fillId="0" borderId="4" xfId="0" applyNumberFormat="1" applyFont="1" applyBorder="1"/>
    <xf numFmtId="165" fontId="8" fillId="0" borderId="5" xfId="0" applyNumberFormat="1" applyFont="1" applyBorder="1"/>
    <xf numFmtId="165" fontId="52" fillId="0" borderId="8" xfId="0" applyNumberFormat="1" applyFont="1" applyBorder="1"/>
    <xf numFmtId="165" fontId="20" fillId="0" borderId="8" xfId="0" applyNumberFormat="1" applyFont="1" applyBorder="1"/>
    <xf numFmtId="0" fontId="8" fillId="5" borderId="1" xfId="0" applyFont="1" applyFill="1" applyBorder="1"/>
    <xf numFmtId="3" fontId="8" fillId="5" borderId="6" xfId="0" applyNumberFormat="1" applyFont="1" applyFill="1" applyBorder="1"/>
    <xf numFmtId="2" fontId="8" fillId="5" borderId="6" xfId="0" applyNumberFormat="1" applyFont="1" applyFill="1" applyBorder="1"/>
    <xf numFmtId="2" fontId="8" fillId="5" borderId="7" xfId="0" applyNumberFormat="1" applyFont="1" applyFill="1" applyBorder="1"/>
    <xf numFmtId="2" fontId="8" fillId="2" borderId="10" xfId="0" applyNumberFormat="1" applyFont="1" applyFill="1" applyBorder="1"/>
    <xf numFmtId="2" fontId="8" fillId="0" borderId="4" xfId="0" applyNumberFormat="1" applyFont="1" applyBorder="1"/>
    <xf numFmtId="2" fontId="8" fillId="0" borderId="5" xfId="0" applyNumberFormat="1" applyFont="1" applyBorder="1"/>
    <xf numFmtId="0" fontId="8" fillId="0" borderId="17" xfId="0" applyFont="1" applyBorder="1" applyAlignment="1">
      <alignment horizontal="center"/>
    </xf>
    <xf numFmtId="166" fontId="8" fillId="0" borderId="1" xfId="0" applyNumberFormat="1" applyFont="1" applyBorder="1"/>
    <xf numFmtId="166" fontId="8" fillId="0" borderId="7" xfId="0" applyNumberFormat="1" applyFont="1" applyBorder="1"/>
    <xf numFmtId="166" fontId="8" fillId="0" borderId="2" xfId="0" applyNumberFormat="1" applyFont="1" applyBorder="1"/>
    <xf numFmtId="166" fontId="8" fillId="0" borderId="3" xfId="0" applyNumberFormat="1" applyFont="1" applyBorder="1"/>
    <xf numFmtId="166" fontId="8" fillId="0" borderId="4" xfId="0" applyNumberFormat="1" applyFont="1" applyBorder="1"/>
    <xf numFmtId="166" fontId="8" fillId="0" borderId="8" xfId="0" applyNumberFormat="1" applyFont="1" applyBorder="1"/>
    <xf numFmtId="0" fontId="8" fillId="0" borderId="6" xfId="0" applyFont="1" applyFill="1" applyBorder="1"/>
    <xf numFmtId="0" fontId="8" fillId="0" borderId="12" xfId="0" applyFont="1" applyBorder="1" applyAlignment="1">
      <alignment horizontal="center"/>
    </xf>
    <xf numFmtId="0" fontId="8" fillId="0" borderId="0" xfId="0" applyFont="1" applyBorder="1" applyAlignment="1">
      <alignment horizontal="center" vertical="center"/>
    </xf>
    <xf numFmtId="10" fontId="8" fillId="0" borderId="10" xfId="0" applyNumberFormat="1" applyFont="1" applyBorder="1"/>
    <xf numFmtId="0" fontId="15" fillId="0" borderId="17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57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8" fillId="15" borderId="25" xfId="86" applyFont="1"/>
    <xf numFmtId="0" fontId="8" fillId="15" borderId="25" xfId="86" applyFont="1" applyAlignment="1">
      <alignment horizontal="center"/>
    </xf>
    <xf numFmtId="0" fontId="22" fillId="15" borderId="25" xfId="86" applyFont="1"/>
    <xf numFmtId="0" fontId="22" fillId="0" borderId="0" xfId="0" applyFont="1" applyFill="1" applyBorder="1" applyAlignment="1">
      <alignment horizontal="left"/>
    </xf>
    <xf numFmtId="0" fontId="22" fillId="0" borderId="0" xfId="0" applyFont="1" applyAlignment="1">
      <alignment horizontal="left"/>
    </xf>
    <xf numFmtId="2" fontId="10" fillId="2" borderId="0" xfId="0" applyNumberFormat="1" applyFont="1" applyFill="1" applyBorder="1"/>
    <xf numFmtId="2" fontId="9" fillId="2" borderId="12" xfId="0" applyNumberFormat="1" applyFont="1" applyFill="1" applyBorder="1"/>
    <xf numFmtId="0" fontId="8" fillId="0" borderId="1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66" fontId="8" fillId="0" borderId="0" xfId="0" applyNumberFormat="1" applyFont="1" applyBorder="1"/>
    <xf numFmtId="2" fontId="8" fillId="0" borderId="3" xfId="0" applyNumberFormat="1" applyFont="1" applyBorder="1"/>
    <xf numFmtId="2" fontId="8" fillId="0" borderId="8" xfId="0" applyNumberFormat="1" applyFont="1" applyBorder="1"/>
    <xf numFmtId="166" fontId="8" fillId="0" borderId="6" xfId="0" applyNumberFormat="1" applyFont="1" applyBorder="1"/>
    <xf numFmtId="166" fontId="8" fillId="0" borderId="5" xfId="0" applyNumberFormat="1" applyFont="1" applyBorder="1"/>
    <xf numFmtId="167" fontId="8" fillId="0" borderId="1" xfId="123" applyNumberFormat="1" applyFont="1" applyBorder="1"/>
    <xf numFmtId="167" fontId="8" fillId="0" borderId="6" xfId="123" applyNumberFormat="1" applyFont="1" applyBorder="1"/>
    <xf numFmtId="167" fontId="8" fillId="0" borderId="7" xfId="123" applyNumberFormat="1" applyFont="1" applyBorder="1"/>
    <xf numFmtId="167" fontId="8" fillId="0" borderId="2" xfId="123" applyNumberFormat="1" applyFont="1" applyBorder="1"/>
    <xf numFmtId="167" fontId="8" fillId="0" borderId="0" xfId="123" applyNumberFormat="1" applyFont="1" applyBorder="1"/>
    <xf numFmtId="167" fontId="8" fillId="0" borderId="3" xfId="123" applyNumberFormat="1" applyFont="1" applyBorder="1"/>
    <xf numFmtId="167" fontId="8" fillId="0" borderId="4" xfId="123" applyNumberFormat="1" applyFont="1" applyBorder="1"/>
    <xf numFmtId="167" fontId="8" fillId="0" borderId="5" xfId="123" applyNumberFormat="1" applyFont="1" applyBorder="1"/>
    <xf numFmtId="167" fontId="8" fillId="0" borderId="8" xfId="123" applyNumberFormat="1" applyFont="1" applyBorder="1"/>
    <xf numFmtId="0" fontId="2" fillId="0" borderId="13" xfId="0" applyFont="1" applyBorder="1" applyAlignment="1">
      <alignment horizontal="center"/>
    </xf>
    <xf numFmtId="2" fontId="44" fillId="0" borderId="1" xfId="0" applyNumberFormat="1" applyFont="1" applyBorder="1" applyAlignment="1">
      <alignment horizontal="right" vertical="center"/>
    </xf>
    <xf numFmtId="0" fontId="44" fillId="0" borderId="7" xfId="0" applyFont="1" applyBorder="1" applyAlignment="1">
      <alignment horizontal="right" vertical="center"/>
    </xf>
    <xf numFmtId="2" fontId="44" fillId="0" borderId="2" xfId="0" applyNumberFormat="1" applyFont="1" applyBorder="1" applyAlignment="1">
      <alignment horizontal="right" vertical="center"/>
    </xf>
    <xf numFmtId="0" fontId="44" fillId="0" borderId="3" xfId="0" applyFont="1" applyBorder="1" applyAlignment="1">
      <alignment horizontal="right" vertical="center"/>
    </xf>
    <xf numFmtId="2" fontId="48" fillId="0" borderId="2" xfId="0" applyNumberFormat="1" applyFont="1" applyBorder="1" applyAlignment="1">
      <alignment horizontal="right" vertical="center"/>
    </xf>
    <xf numFmtId="0" fontId="48" fillId="0" borderId="3" xfId="0" applyFont="1" applyBorder="1" applyAlignment="1">
      <alignment horizontal="right" vertical="center"/>
    </xf>
    <xf numFmtId="2" fontId="44" fillId="0" borderId="4" xfId="0" applyNumberFormat="1" applyFont="1" applyBorder="1" applyAlignment="1">
      <alignment horizontal="right" vertical="center"/>
    </xf>
    <xf numFmtId="0" fontId="44" fillId="0" borderId="8" xfId="0" applyFont="1" applyBorder="1" applyAlignment="1">
      <alignment horizontal="right" vertical="center"/>
    </xf>
    <xf numFmtId="0" fontId="10" fillId="0" borderId="17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2" fontId="44" fillId="0" borderId="1" xfId="0" applyNumberFormat="1" applyFont="1" applyBorder="1" applyAlignment="1">
      <alignment vertical="center"/>
    </xf>
    <xf numFmtId="2" fontId="44" fillId="0" borderId="6" xfId="0" applyNumberFormat="1" applyFont="1" applyBorder="1" applyAlignment="1">
      <alignment horizontal="right" vertical="center"/>
    </xf>
    <xf numFmtId="2" fontId="44" fillId="0" borderId="2" xfId="0" applyNumberFormat="1" applyFont="1" applyBorder="1" applyAlignment="1">
      <alignment vertical="center"/>
    </xf>
    <xf numFmtId="2" fontId="44" fillId="0" borderId="4" xfId="0" applyNumberFormat="1" applyFont="1" applyBorder="1" applyAlignment="1">
      <alignment vertical="center"/>
    </xf>
    <xf numFmtId="2" fontId="44" fillId="0" borderId="5" xfId="0" applyNumberFormat="1" applyFont="1" applyBorder="1" applyAlignment="1">
      <alignment horizontal="right" vertical="center"/>
    </xf>
    <xf numFmtId="3" fontId="42" fillId="0" borderId="17" xfId="0" applyNumberFormat="1" applyFont="1" applyBorder="1" applyAlignment="1">
      <alignment vertical="top" wrapText="1"/>
    </xf>
    <xf numFmtId="0" fontId="42" fillId="0" borderId="17" xfId="0" applyFont="1" applyBorder="1" applyAlignment="1">
      <alignment vertical="top" wrapText="1"/>
    </xf>
    <xf numFmtId="0" fontId="43" fillId="0" borderId="17" xfId="0" applyFont="1" applyBorder="1" applyAlignment="1">
      <alignment vertical="top" wrapText="1"/>
    </xf>
    <xf numFmtId="0" fontId="0" fillId="0" borderId="10" xfId="0" applyFont="1" applyBorder="1" applyAlignment="1">
      <alignment vertical="center" wrapText="1"/>
    </xf>
    <xf numFmtId="0" fontId="2" fillId="0" borderId="10" xfId="0" applyFont="1" applyBorder="1" applyAlignment="1">
      <alignment vertical="center" wrapText="1"/>
    </xf>
    <xf numFmtId="3" fontId="2" fillId="0" borderId="10" xfId="0" applyNumberFormat="1" applyFont="1" applyBorder="1" applyAlignment="1">
      <alignment horizontal="right" vertical="center" wrapText="1"/>
    </xf>
    <xf numFmtId="0" fontId="0" fillId="16" borderId="10" xfId="0" applyFill="1" applyBorder="1" applyAlignment="1">
      <alignment horizontal="center" vertical="center"/>
    </xf>
    <xf numFmtId="0" fontId="58" fillId="16" borderId="26" xfId="0" applyFont="1" applyFill="1" applyBorder="1" applyAlignment="1">
      <alignment vertical="center" wrapText="1"/>
    </xf>
    <xf numFmtId="0" fontId="58" fillId="16" borderId="10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Font="1" applyBorder="1" applyAlignment="1">
      <alignment horizontal="right" vertical="center" wrapText="1"/>
    </xf>
    <xf numFmtId="41" fontId="0" fillId="0" borderId="10" xfId="0" applyNumberFormat="1" applyFont="1" applyBorder="1" applyAlignment="1">
      <alignment horizontal="right" vertical="center" wrapText="1"/>
    </xf>
    <xf numFmtId="41" fontId="0" fillId="0" borderId="10" xfId="0" applyNumberFormat="1" applyBorder="1"/>
    <xf numFmtId="0" fontId="0" fillId="0" borderId="10" xfId="0" applyFont="1" applyBorder="1"/>
    <xf numFmtId="0" fontId="0" fillId="0" borderId="10" xfId="0" applyFont="1" applyFill="1" applyBorder="1"/>
    <xf numFmtId="0" fontId="0" fillId="0" borderId="10" xfId="0" applyFont="1" applyBorder="1" applyAlignment="1">
      <alignment vertical="top" wrapText="1"/>
    </xf>
    <xf numFmtId="0" fontId="0" fillId="12" borderId="10" xfId="0" applyFont="1" applyFill="1" applyBorder="1" applyAlignment="1">
      <alignment vertical="top" wrapText="1"/>
    </xf>
    <xf numFmtId="0" fontId="30" fillId="0" borderId="10" xfId="0" applyFont="1" applyBorder="1" applyAlignment="1">
      <alignment vertical="top" wrapText="1"/>
    </xf>
    <xf numFmtId="0" fontId="0" fillId="0" borderId="2" xfId="0" applyFont="1" applyBorder="1" applyAlignment="1">
      <alignment vertical="top" wrapText="1"/>
    </xf>
    <xf numFmtId="0" fontId="58" fillId="16" borderId="26" xfId="0" applyFont="1" applyFill="1" applyBorder="1" applyAlignment="1">
      <alignment horizontal="center" vertical="center" wrapText="1"/>
    </xf>
    <xf numFmtId="0" fontId="8" fillId="17" borderId="5" xfId="0" applyFont="1" applyFill="1" applyBorder="1"/>
    <xf numFmtId="0" fontId="8" fillId="17" borderId="18" xfId="0" applyFont="1" applyFill="1" applyBorder="1"/>
    <xf numFmtId="2" fontId="8" fillId="17" borderId="18" xfId="0" applyNumberFormat="1" applyFont="1" applyFill="1" applyBorder="1"/>
    <xf numFmtId="3" fontId="8" fillId="0" borderId="1" xfId="0" applyNumberFormat="1" applyFont="1" applyBorder="1"/>
    <xf numFmtId="3" fontId="8" fillId="0" borderId="7" xfId="0" applyNumberFormat="1" applyFont="1" applyBorder="1"/>
    <xf numFmtId="3" fontId="8" fillId="0" borderId="2" xfId="0" applyNumberFormat="1" applyFont="1" applyBorder="1"/>
    <xf numFmtId="3" fontId="8" fillId="0" borderId="3" xfId="0" applyNumberFormat="1" applyFont="1" applyBorder="1"/>
    <xf numFmtId="3" fontId="8" fillId="0" borderId="4" xfId="0" applyNumberFormat="1" applyFont="1" applyBorder="1"/>
    <xf numFmtId="3" fontId="8" fillId="0" borderId="8" xfId="0" applyNumberFormat="1" applyFont="1" applyBorder="1"/>
    <xf numFmtId="164" fontId="8" fillId="0" borderId="0" xfId="123" applyNumberFormat="1" applyFont="1" applyFill="1" applyBorder="1" applyAlignment="1">
      <alignment horizontal="left"/>
    </xf>
    <xf numFmtId="0" fontId="15" fillId="0" borderId="0" xfId="0" applyFont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8" xfId="0" applyBorder="1" applyAlignment="1"/>
    <xf numFmtId="0" fontId="0" fillId="0" borderId="13" xfId="0" applyBorder="1" applyAlignment="1"/>
    <xf numFmtId="0" fontId="15" fillId="0" borderId="17" xfId="0" applyFont="1" applyBorder="1" applyAlignment="1">
      <alignment horizontal="center"/>
    </xf>
    <xf numFmtId="0" fontId="15" fillId="0" borderId="13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9" fillId="0" borderId="1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6" xfId="0" applyBorder="1" applyAlignment="1"/>
    <xf numFmtId="0" fontId="0" fillId="0" borderId="7" xfId="0" applyBorder="1" applyAlignment="1"/>
    <xf numFmtId="0" fontId="2" fillId="0" borderId="0" xfId="0" applyFont="1" applyBorder="1" applyAlignment="1">
      <alignment horizontal="center"/>
    </xf>
    <xf numFmtId="0" fontId="0" fillId="0" borderId="0" xfId="0" applyBorder="1" applyAlignment="1"/>
    <xf numFmtId="0" fontId="10" fillId="0" borderId="0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14" xfId="0" applyBorder="1" applyAlignment="1">
      <alignment vertical="center" wrapText="1"/>
    </xf>
    <xf numFmtId="0" fontId="0" fillId="0" borderId="14" xfId="0" applyBorder="1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0" xfId="0" applyFill="1" applyAlignment="1">
      <alignment horizontal="center" wrapText="1"/>
    </xf>
    <xf numFmtId="0" fontId="2" fillId="6" borderId="17" xfId="0" applyFont="1" applyFill="1" applyBorder="1" applyAlignment="1">
      <alignment horizontal="center" vertical="center"/>
    </xf>
    <xf numFmtId="0" fontId="2" fillId="6" borderId="13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 vertical="center" wrapText="1"/>
    </xf>
    <xf numFmtId="0" fontId="3" fillId="6" borderId="17" xfId="0" applyFont="1" applyFill="1" applyBorder="1" applyAlignment="1">
      <alignment horizontal="center" vertical="center" wrapText="1" shrinkToFit="1"/>
    </xf>
    <xf numFmtId="0" fontId="3" fillId="6" borderId="13" xfId="0" applyFont="1" applyFill="1" applyBorder="1" applyAlignment="1">
      <alignment horizontal="center" vertical="center" wrapText="1" shrinkToFit="1"/>
    </xf>
    <xf numFmtId="0" fontId="3" fillId="5" borderId="17" xfId="0" applyFont="1" applyFill="1" applyBorder="1" applyAlignment="1">
      <alignment horizontal="center" vertical="center" wrapText="1" shrinkToFit="1"/>
    </xf>
    <xf numFmtId="0" fontId="3" fillId="5" borderId="13" xfId="0" applyFont="1" applyFill="1" applyBorder="1" applyAlignment="1">
      <alignment horizontal="center" vertical="center" wrapText="1" shrinkToFit="1"/>
    </xf>
    <xf numFmtId="0" fontId="0" fillId="0" borderId="1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 shrinkToFit="1"/>
    </xf>
    <xf numFmtId="0" fontId="0" fillId="0" borderId="13" xfId="0" applyBorder="1" applyAlignment="1">
      <alignment horizontal="center" vertical="center"/>
    </xf>
    <xf numFmtId="0" fontId="5" fillId="6" borderId="17" xfId="0" applyFont="1" applyFill="1" applyBorder="1" applyAlignment="1">
      <alignment horizontal="center"/>
    </xf>
    <xf numFmtId="0" fontId="5" fillId="6" borderId="18" xfId="0" applyFont="1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2" fillId="5" borderId="17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3" fillId="5" borderId="18" xfId="0" applyFont="1" applyFill="1" applyBorder="1" applyAlignment="1">
      <alignment horizontal="center" vertical="center" wrapText="1" shrinkToFit="1"/>
    </xf>
    <xf numFmtId="0" fontId="0" fillId="5" borderId="18" xfId="0" applyFill="1" applyBorder="1" applyAlignment="1">
      <alignment horizontal="center" vertical="center" wrapText="1" shrinkToFit="1"/>
    </xf>
    <xf numFmtId="0" fontId="5" fillId="5" borderId="17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 vertical="center" wrapText="1" shrinkToFit="1"/>
    </xf>
    <xf numFmtId="0" fontId="3" fillId="4" borderId="13" xfId="0" applyFont="1" applyFill="1" applyBorder="1" applyAlignment="1">
      <alignment horizontal="center" vertical="center" wrapText="1" shrinkToFit="1"/>
    </xf>
    <xf numFmtId="0" fontId="2" fillId="5" borderId="17" xfId="0" applyFont="1" applyFill="1" applyBorder="1" applyAlignment="1">
      <alignment horizontal="center"/>
    </xf>
    <xf numFmtId="0" fontId="2" fillId="5" borderId="18" xfId="0" applyFon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2" fillId="5" borderId="18" xfId="0" applyFon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 wrapText="1" shrinkToFit="1"/>
    </xf>
    <xf numFmtId="0" fontId="0" fillId="0" borderId="10" xfId="0" applyBorder="1" applyAlignment="1">
      <alignment horizontal="center" vertical="center" wrapText="1" shrinkToFit="1"/>
    </xf>
    <xf numFmtId="0" fontId="12" fillId="2" borderId="17" xfId="0" applyFont="1" applyFill="1" applyBorder="1" applyAlignment="1">
      <alignment horizontal="center" vertical="center" wrapText="1"/>
    </xf>
    <xf numFmtId="0" fontId="12" fillId="2" borderId="13" xfId="0" applyFont="1" applyFill="1" applyBorder="1" applyAlignment="1">
      <alignment horizontal="center" vertical="center" wrapText="1"/>
    </xf>
    <xf numFmtId="0" fontId="2" fillId="3" borderId="17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2" fillId="4" borderId="17" xfId="0" applyFont="1" applyFill="1" applyBorder="1" applyAlignment="1">
      <alignment horizontal="center"/>
    </xf>
    <xf numFmtId="0" fontId="2" fillId="4" borderId="18" xfId="0" applyFont="1" applyFill="1" applyBorder="1" applyAlignment="1">
      <alignment horizontal="center"/>
    </xf>
    <xf numFmtId="0" fontId="2" fillId="4" borderId="17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5" fillId="3" borderId="17" xfId="0" applyFont="1" applyFill="1" applyBorder="1" applyAlignment="1">
      <alignment horizontal="center"/>
    </xf>
    <xf numFmtId="0" fontId="5" fillId="3" borderId="18" xfId="0" applyFont="1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3" fillId="3" borderId="17" xfId="0" applyFont="1" applyFill="1" applyBorder="1" applyAlignment="1">
      <alignment horizontal="center" vertical="center" wrapText="1" shrinkToFit="1"/>
    </xf>
    <xf numFmtId="0" fontId="3" fillId="3" borderId="13" xfId="0" applyFont="1" applyFill="1" applyBorder="1" applyAlignment="1">
      <alignment horizontal="center" vertical="center" wrapText="1" shrinkToFit="1"/>
    </xf>
    <xf numFmtId="0" fontId="12" fillId="3" borderId="17" xfId="0" applyFont="1" applyFill="1" applyBorder="1" applyAlignment="1">
      <alignment horizontal="center" vertical="center" wrapText="1" shrinkToFit="1"/>
    </xf>
    <xf numFmtId="0" fontId="12" fillId="3" borderId="13" xfId="0" applyFont="1" applyFill="1" applyBorder="1" applyAlignment="1">
      <alignment horizontal="center" vertical="center" wrapText="1" shrinkToFit="1"/>
    </xf>
    <xf numFmtId="0" fontId="23" fillId="0" borderId="0" xfId="0" applyFont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/>
    </xf>
    <xf numFmtId="0" fontId="3" fillId="3" borderId="18" xfId="0" applyFont="1" applyFill="1" applyBorder="1" applyAlignment="1">
      <alignment horizontal="center" vertical="center" wrapText="1" shrinkToFit="1"/>
    </xf>
    <xf numFmtId="0" fontId="0" fillId="3" borderId="18" xfId="0" applyFill="1" applyBorder="1" applyAlignment="1">
      <alignment horizontal="center" vertical="center" wrapText="1" shrinkToFit="1"/>
    </xf>
    <xf numFmtId="0" fontId="3" fillId="4" borderId="18" xfId="0" applyFont="1" applyFill="1" applyBorder="1" applyAlignment="1">
      <alignment horizontal="center" vertical="center" wrapText="1" shrinkToFit="1"/>
    </xf>
    <xf numFmtId="0" fontId="0" fillId="4" borderId="18" xfId="0" applyFill="1" applyBorder="1" applyAlignment="1">
      <alignment horizontal="center" vertical="center" wrapText="1" shrinkToFit="1"/>
    </xf>
    <xf numFmtId="0" fontId="2" fillId="3" borderId="23" xfId="0" applyFont="1" applyFill="1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2" fillId="6" borderId="23" xfId="0" applyFont="1" applyFill="1" applyBorder="1" applyAlignment="1">
      <alignment horizontal="center" vertical="center" wrapText="1"/>
    </xf>
    <xf numFmtId="0" fontId="2" fillId="6" borderId="20" xfId="0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 vertical="center" wrapText="1"/>
    </xf>
    <xf numFmtId="0" fontId="2" fillId="4" borderId="22" xfId="0" applyFont="1" applyFill="1" applyBorder="1" applyAlignment="1">
      <alignment horizontal="center" vertical="center" wrapText="1"/>
    </xf>
    <xf numFmtId="0" fontId="2" fillId="5" borderId="23" xfId="0" applyFont="1" applyFill="1" applyBorder="1" applyAlignment="1">
      <alignment horizontal="center" vertical="center" wrapText="1"/>
    </xf>
    <xf numFmtId="0" fontId="2" fillId="3" borderId="20" xfId="0" applyFont="1" applyFill="1" applyBorder="1" applyAlignment="1">
      <alignment horizontal="center"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58" fillId="16" borderId="26" xfId="0" applyFont="1" applyFill="1" applyBorder="1" applyAlignment="1">
      <alignment horizontal="center" vertical="center" wrapText="1"/>
    </xf>
    <xf numFmtId="9" fontId="10" fillId="0" borderId="14" xfId="0" applyNumberFormat="1" applyFont="1" applyBorder="1" applyAlignment="1">
      <alignment horizontal="center" vertical="center" wrapText="1"/>
    </xf>
    <xf numFmtId="2" fontId="8" fillId="0" borderId="2" xfId="0" applyNumberFormat="1" applyFont="1" applyFill="1" applyBorder="1" applyAlignment="1">
      <alignment vertical="center"/>
    </xf>
    <xf numFmtId="164" fontId="20" fillId="0" borderId="14" xfId="123" applyNumberFormat="1" applyFont="1" applyBorder="1" applyAlignment="1">
      <alignment vertical="center"/>
    </xf>
    <xf numFmtId="0" fontId="8" fillId="0" borderId="0" xfId="0" quotePrefix="1" applyFont="1" applyFill="1" applyBorder="1" applyAlignment="1">
      <alignment horizontal="center"/>
    </xf>
    <xf numFmtId="164" fontId="3" fillId="0" borderId="14" xfId="0" applyNumberFormat="1" applyFont="1" applyFill="1" applyBorder="1" applyAlignment="1">
      <alignment vertical="center"/>
    </xf>
  </cellXfs>
  <cellStyles count="914">
    <cellStyle name="Collegamento ipertestuale" xfId="2" builtinId="8" hidden="1"/>
    <cellStyle name="Collegamento ipertestuale" xfId="4" builtinId="8" hidden="1"/>
    <cellStyle name="Collegamento ipertestuale" xfId="6" builtinId="8" hidden="1"/>
    <cellStyle name="Collegamento ipertestuale" xfId="8" builtinId="8" hidden="1"/>
    <cellStyle name="Collegamento ipertestuale" xfId="10" builtinId="8" hidden="1"/>
    <cellStyle name="Collegamento ipertestuale" xfId="12" builtinId="8" hidden="1"/>
    <cellStyle name="Collegamento ipertestuale" xfId="14" builtinId="8" hidden="1"/>
    <cellStyle name="Collegamento ipertestuale" xfId="16" builtinId="8" hidden="1"/>
    <cellStyle name="Collegamento ipertestuale" xfId="18" builtinId="8" hidden="1"/>
    <cellStyle name="Collegamento ipertestuale" xfId="20" builtinId="8" hidden="1"/>
    <cellStyle name="Collegamento ipertestuale" xfId="22" builtinId="8" hidden="1"/>
    <cellStyle name="Collegamento ipertestuale" xfId="24" builtinId="8" hidden="1"/>
    <cellStyle name="Collegamento ipertestuale" xfId="26" builtinId="8" hidden="1"/>
    <cellStyle name="Collegamento ipertestuale" xfId="28" builtinId="8" hidden="1"/>
    <cellStyle name="Collegamento ipertestuale" xfId="30" builtinId="8" hidden="1"/>
    <cellStyle name="Collegamento ipertestuale" xfId="32" builtinId="8" hidden="1"/>
    <cellStyle name="Collegamento ipertestuale" xfId="34" builtinId="8" hidden="1"/>
    <cellStyle name="Collegamento ipertestuale" xfId="36" builtinId="8" hidden="1"/>
    <cellStyle name="Collegamento ipertestuale" xfId="38" builtinId="8" hidden="1"/>
    <cellStyle name="Collegamento ipertestuale" xfId="40" builtinId="8" hidden="1"/>
    <cellStyle name="Collegamento ipertestuale" xfId="42" builtinId="8" hidden="1"/>
    <cellStyle name="Collegamento ipertestuale" xfId="44" builtinId="8" hidden="1"/>
    <cellStyle name="Collegamento ipertestuale" xfId="46" builtinId="8" hidden="1"/>
    <cellStyle name="Collegamento ipertestuale" xfId="48" builtinId="8" hidden="1"/>
    <cellStyle name="Collegamento ipertestuale" xfId="50" builtinId="8" hidden="1"/>
    <cellStyle name="Collegamento ipertestuale" xfId="52" builtinId="8" hidden="1"/>
    <cellStyle name="Collegamento ipertestuale" xfId="54" builtinId="8" hidden="1"/>
    <cellStyle name="Collegamento ipertestuale" xfId="56" builtinId="8" hidden="1"/>
    <cellStyle name="Collegamento ipertestuale" xfId="58" builtinId="8" hidden="1"/>
    <cellStyle name="Collegamento ipertestuale" xfId="60" builtinId="8" hidden="1"/>
    <cellStyle name="Collegamento ipertestuale" xfId="62" builtinId="8" hidden="1"/>
    <cellStyle name="Collegamento ipertestuale" xfId="64" builtinId="8" hidden="1"/>
    <cellStyle name="Collegamento ipertestuale" xfId="66" builtinId="8" hidden="1"/>
    <cellStyle name="Collegamento ipertestuale" xfId="68" builtinId="8" hidden="1"/>
    <cellStyle name="Collegamento ipertestuale" xfId="70" builtinId="8" hidden="1"/>
    <cellStyle name="Collegamento ipertestuale" xfId="72" builtinId="8" hidden="1"/>
    <cellStyle name="Collegamento ipertestuale" xfId="74" builtinId="8" hidden="1"/>
    <cellStyle name="Collegamento ipertestuale" xfId="76" builtinId="8" hidden="1"/>
    <cellStyle name="Collegamento ipertestuale" xfId="78" builtinId="8" hidden="1"/>
    <cellStyle name="Collegamento ipertestuale" xfId="80" builtinId="8" hidden="1"/>
    <cellStyle name="Collegamento ipertestuale" xfId="82" builtinId="8" hidden="1"/>
    <cellStyle name="Collegamento ipertestuale" xfId="84" builtinId="8" hidden="1"/>
    <cellStyle name="Collegamento ipertestuale" xfId="87" builtinId="8" hidden="1"/>
    <cellStyle name="Collegamento ipertestuale" xfId="89" builtinId="8" hidden="1"/>
    <cellStyle name="Collegamento ipertestuale" xfId="91" builtinId="8" hidden="1"/>
    <cellStyle name="Collegamento ipertestuale" xfId="93" builtinId="8" hidden="1"/>
    <cellStyle name="Collegamento ipertestuale" xfId="95" builtinId="8" hidden="1"/>
    <cellStyle name="Collegamento ipertestuale" xfId="97" builtinId="8" hidden="1"/>
    <cellStyle name="Collegamento ipertestuale" xfId="99" builtinId="8" hidden="1"/>
    <cellStyle name="Collegamento ipertestuale" xfId="101" builtinId="8" hidden="1"/>
    <cellStyle name="Collegamento ipertestuale" xfId="103" builtinId="8" hidden="1"/>
    <cellStyle name="Collegamento ipertestuale" xfId="105" builtinId="8" hidden="1"/>
    <cellStyle name="Collegamento ipertestuale" xfId="107" builtinId="8" hidden="1"/>
    <cellStyle name="Collegamento ipertestuale" xfId="109" builtinId="8" hidden="1"/>
    <cellStyle name="Collegamento ipertestuale" xfId="111" builtinId="8" hidden="1"/>
    <cellStyle name="Collegamento ipertestuale" xfId="113" builtinId="8" hidden="1"/>
    <cellStyle name="Collegamento ipertestuale" xfId="115" builtinId="8" hidden="1"/>
    <cellStyle name="Collegamento ipertestuale" xfId="117" builtinId="8" hidden="1"/>
    <cellStyle name="Collegamento ipertestuale" xfId="119" builtinId="8" hidden="1"/>
    <cellStyle name="Collegamento ipertestuale" xfId="121" builtinId="8" hidden="1"/>
    <cellStyle name="Collegamento ipertestuale" xfId="124" builtinId="8" hidden="1"/>
    <cellStyle name="Collegamento ipertestuale" xfId="126" builtinId="8" hidden="1"/>
    <cellStyle name="Collegamento ipertestuale" xfId="128" builtinId="8" hidden="1"/>
    <cellStyle name="Collegamento ipertestuale" xfId="130" builtinId="8" hidden="1"/>
    <cellStyle name="Collegamento ipertestuale" xfId="132" builtinId="8" hidden="1"/>
    <cellStyle name="Collegamento ipertestuale" xfId="134" builtinId="8" hidden="1"/>
    <cellStyle name="Collegamento ipertestuale" xfId="136" builtinId="8" hidden="1"/>
    <cellStyle name="Collegamento ipertestuale" xfId="138" builtinId="8" hidden="1"/>
    <cellStyle name="Collegamento ipertestuale" xfId="140" builtinId="8" hidden="1"/>
    <cellStyle name="Collegamento ipertestuale" xfId="142" builtinId="8" hidden="1"/>
    <cellStyle name="Collegamento ipertestuale" xfId="144" builtinId="8" hidden="1"/>
    <cellStyle name="Collegamento ipertestuale" xfId="146" builtinId="8" hidden="1"/>
    <cellStyle name="Collegamento ipertestuale" xfId="148" builtinId="8" hidden="1"/>
    <cellStyle name="Collegamento ipertestuale" xfId="150" builtinId="8" hidden="1"/>
    <cellStyle name="Collegamento ipertestuale" xfId="152" builtinId="8" hidden="1"/>
    <cellStyle name="Collegamento ipertestuale" xfId="154" builtinId="8" hidden="1"/>
    <cellStyle name="Collegamento ipertestuale" xfId="156" builtinId="8" hidden="1"/>
    <cellStyle name="Collegamento ipertestuale" xfId="158" builtinId="8" hidden="1"/>
    <cellStyle name="Collegamento ipertestuale" xfId="160" builtinId="8" hidden="1"/>
    <cellStyle name="Collegamento ipertestuale" xfId="162" builtinId="8" hidden="1"/>
    <cellStyle name="Collegamento ipertestuale" xfId="164" builtinId="8" hidden="1"/>
    <cellStyle name="Collegamento ipertestuale" xfId="166" builtinId="8" hidden="1"/>
    <cellStyle name="Collegamento ipertestuale" xfId="168" builtinId="8" hidden="1"/>
    <cellStyle name="Collegamento ipertestuale" xfId="170" builtinId="8" hidden="1"/>
    <cellStyle name="Collegamento ipertestuale" xfId="172" builtinId="8" hidden="1"/>
    <cellStyle name="Collegamento ipertestuale" xfId="174" builtinId="8" hidden="1"/>
    <cellStyle name="Collegamento ipertestuale" xfId="176" builtinId="8" hidden="1"/>
    <cellStyle name="Collegamento ipertestuale" xfId="178" builtinId="8" hidden="1"/>
    <cellStyle name="Collegamento ipertestuale" xfId="180" builtinId="8" hidden="1"/>
    <cellStyle name="Collegamento ipertestuale" xfId="182" builtinId="8" hidden="1"/>
    <cellStyle name="Collegamento ipertestuale" xfId="184" builtinId="8" hidden="1"/>
    <cellStyle name="Collegamento ipertestuale" xfId="186" builtinId="8" hidden="1"/>
    <cellStyle name="Collegamento ipertestuale" xfId="188" builtinId="8" hidden="1"/>
    <cellStyle name="Collegamento ipertestuale" xfId="190" builtinId="8" hidden="1"/>
    <cellStyle name="Collegamento ipertestuale" xfId="192" builtinId="8" hidden="1"/>
    <cellStyle name="Collegamento ipertestuale" xfId="194" builtinId="8" hidden="1"/>
    <cellStyle name="Collegamento ipertestuale" xfId="196" builtinId="8" hidden="1"/>
    <cellStyle name="Collegamento ipertestuale" xfId="198" builtinId="8" hidden="1"/>
    <cellStyle name="Collegamento ipertestuale" xfId="200" builtinId="8" hidden="1"/>
    <cellStyle name="Collegamento ipertestuale" xfId="202" builtinId="8" hidden="1"/>
    <cellStyle name="Collegamento ipertestuale" xfId="204" builtinId="8" hidden="1"/>
    <cellStyle name="Collegamento ipertestuale" xfId="206" builtinId="8" hidden="1"/>
    <cellStyle name="Collegamento ipertestuale" xfId="208" builtinId="8" hidden="1"/>
    <cellStyle name="Collegamento ipertestuale" xfId="210" builtinId="8" hidden="1"/>
    <cellStyle name="Collegamento ipertestuale" xfId="212" builtinId="8" hidden="1"/>
    <cellStyle name="Collegamento ipertestuale" xfId="214" builtinId="8" hidden="1"/>
    <cellStyle name="Collegamento ipertestuale" xfId="216" builtinId="8" hidden="1"/>
    <cellStyle name="Collegamento ipertestuale" xfId="218" builtinId="8" hidden="1"/>
    <cellStyle name="Collegamento ipertestuale" xfId="220" builtinId="8" hidden="1"/>
    <cellStyle name="Collegamento ipertestuale" xfId="222" builtinId="8" hidden="1"/>
    <cellStyle name="Collegamento ipertestuale" xfId="224" builtinId="8" hidden="1"/>
    <cellStyle name="Collegamento ipertestuale" xfId="226" builtinId="8" hidden="1"/>
    <cellStyle name="Collegamento ipertestuale" xfId="228" builtinId="8" hidden="1"/>
    <cellStyle name="Collegamento ipertestuale" xfId="230" builtinId="8" hidden="1"/>
    <cellStyle name="Collegamento ipertestuale" xfId="232" builtinId="8" hidden="1"/>
    <cellStyle name="Collegamento ipertestuale" xfId="234" builtinId="8" hidden="1"/>
    <cellStyle name="Collegamento ipertestuale" xfId="236" builtinId="8" hidden="1"/>
    <cellStyle name="Collegamento ipertestuale" xfId="238" builtinId="8" hidden="1"/>
    <cellStyle name="Collegamento ipertestuale" xfId="240" builtinId="8" hidden="1"/>
    <cellStyle name="Collegamento ipertestuale" xfId="242" builtinId="8" hidden="1"/>
    <cellStyle name="Collegamento ipertestuale" xfId="244" builtinId="8" hidden="1"/>
    <cellStyle name="Collegamento ipertestuale" xfId="246" builtinId="8" hidden="1"/>
    <cellStyle name="Collegamento ipertestuale" xfId="248" builtinId="8" hidden="1"/>
    <cellStyle name="Collegamento ipertestuale" xfId="250" builtinId="8" hidden="1"/>
    <cellStyle name="Collegamento ipertestuale" xfId="252" builtinId="8" hidden="1"/>
    <cellStyle name="Collegamento ipertestuale" xfId="254" builtinId="8" hidden="1"/>
    <cellStyle name="Collegamento ipertestuale" xfId="256" builtinId="8" hidden="1"/>
    <cellStyle name="Collegamento ipertestuale" xfId="258" builtinId="8" hidden="1"/>
    <cellStyle name="Collegamento ipertestuale" xfId="260" builtinId="8" hidden="1"/>
    <cellStyle name="Collegamento ipertestuale" xfId="262" builtinId="8" hidden="1"/>
    <cellStyle name="Collegamento ipertestuale" xfId="264" builtinId="8" hidden="1"/>
    <cellStyle name="Collegamento ipertestuale" xfId="266" builtinId="8" hidden="1"/>
    <cellStyle name="Collegamento ipertestuale" xfId="268" builtinId="8" hidden="1"/>
    <cellStyle name="Collegamento ipertestuale" xfId="270" builtinId="8" hidden="1"/>
    <cellStyle name="Collegamento ipertestuale" xfId="272" builtinId="8" hidden="1"/>
    <cellStyle name="Collegamento ipertestuale" xfId="274" builtinId="8" hidden="1"/>
    <cellStyle name="Collegamento ipertestuale" xfId="276" builtinId="8" hidden="1"/>
    <cellStyle name="Collegamento ipertestuale" xfId="278" builtinId="8" hidden="1"/>
    <cellStyle name="Collegamento ipertestuale" xfId="280" builtinId="8" hidden="1"/>
    <cellStyle name="Collegamento ipertestuale" xfId="282" builtinId="8" hidden="1"/>
    <cellStyle name="Collegamento ipertestuale" xfId="284" builtinId="8" hidden="1"/>
    <cellStyle name="Collegamento ipertestuale" xfId="286" builtinId="8" hidden="1"/>
    <cellStyle name="Collegamento ipertestuale" xfId="288" builtinId="8" hidden="1"/>
    <cellStyle name="Collegamento ipertestuale" xfId="290" builtinId="8" hidden="1"/>
    <cellStyle name="Collegamento ipertestuale" xfId="292" builtinId="8" hidden="1"/>
    <cellStyle name="Collegamento ipertestuale" xfId="294" builtinId="8" hidden="1"/>
    <cellStyle name="Collegamento ipertestuale" xfId="296" builtinId="8" hidden="1"/>
    <cellStyle name="Collegamento ipertestuale" xfId="298" builtinId="8" hidden="1"/>
    <cellStyle name="Collegamento ipertestuale" xfId="300" builtinId="8" hidden="1"/>
    <cellStyle name="Collegamento ipertestuale" xfId="302" builtinId="8" hidden="1"/>
    <cellStyle name="Collegamento ipertestuale" xfId="304" builtinId="8" hidden="1"/>
    <cellStyle name="Collegamento ipertestuale" xfId="306" builtinId="8" hidden="1"/>
    <cellStyle name="Collegamento ipertestuale" xfId="308" builtinId="8" hidden="1"/>
    <cellStyle name="Collegamento ipertestuale" xfId="310" builtinId="8" hidden="1"/>
    <cellStyle name="Collegamento ipertestuale" xfId="312" builtinId="8" hidden="1"/>
    <cellStyle name="Collegamento ipertestuale" xfId="314" builtinId="8" hidden="1"/>
    <cellStyle name="Collegamento ipertestuale" xfId="316" builtinId="8" hidden="1"/>
    <cellStyle name="Collegamento ipertestuale" xfId="318" builtinId="8" hidden="1"/>
    <cellStyle name="Collegamento ipertestuale" xfId="320" builtinId="8" hidden="1"/>
    <cellStyle name="Collegamento ipertestuale" xfId="322" builtinId="8" hidden="1"/>
    <cellStyle name="Collegamento ipertestuale" xfId="324" builtinId="8" hidden="1"/>
    <cellStyle name="Collegamento ipertestuale" xfId="326" builtinId="8" hidden="1"/>
    <cellStyle name="Collegamento ipertestuale" xfId="328" builtinId="8" hidden="1"/>
    <cellStyle name="Collegamento ipertestuale" xfId="330" builtinId="8" hidden="1"/>
    <cellStyle name="Collegamento ipertestuale" xfId="332" builtinId="8" hidden="1"/>
    <cellStyle name="Collegamento ipertestuale" xfId="334" builtinId="8" hidden="1"/>
    <cellStyle name="Collegamento ipertestuale" xfId="336" builtinId="8" hidden="1"/>
    <cellStyle name="Collegamento ipertestuale" xfId="338" builtinId="8" hidden="1"/>
    <cellStyle name="Collegamento ipertestuale" xfId="340" builtinId="8" hidden="1"/>
    <cellStyle name="Collegamento ipertestuale" xfId="342" builtinId="8" hidden="1"/>
    <cellStyle name="Collegamento ipertestuale" xfId="344" builtinId="8" hidden="1"/>
    <cellStyle name="Collegamento ipertestuale" xfId="346" builtinId="8" hidden="1"/>
    <cellStyle name="Collegamento ipertestuale" xfId="348" builtinId="8" hidden="1"/>
    <cellStyle name="Collegamento ipertestuale" xfId="350" builtinId="8" hidden="1"/>
    <cellStyle name="Collegamento ipertestuale" xfId="352" builtinId="8" hidden="1"/>
    <cellStyle name="Collegamento ipertestuale" xfId="354" builtinId="8" hidden="1"/>
    <cellStyle name="Collegamento ipertestuale" xfId="356" builtinId="8" hidden="1"/>
    <cellStyle name="Collegamento ipertestuale" xfId="358" builtinId="8" hidden="1"/>
    <cellStyle name="Collegamento ipertestuale" xfId="360" builtinId="8" hidden="1"/>
    <cellStyle name="Collegamento ipertestuale" xfId="362" builtinId="8" hidden="1"/>
    <cellStyle name="Collegamento ipertestuale" xfId="364" builtinId="8" hidden="1"/>
    <cellStyle name="Collegamento ipertestuale" xfId="366" builtinId="8" hidden="1"/>
    <cellStyle name="Collegamento ipertestuale" xfId="368" builtinId="8" hidden="1"/>
    <cellStyle name="Collegamento ipertestuale" xfId="370" builtinId="8" hidden="1"/>
    <cellStyle name="Collegamento ipertestuale" xfId="372" builtinId="8" hidden="1"/>
    <cellStyle name="Collegamento ipertestuale" xfId="374" builtinId="8" hidden="1"/>
    <cellStyle name="Collegamento ipertestuale" xfId="376" builtinId="8" hidden="1"/>
    <cellStyle name="Collegamento ipertestuale" xfId="378" builtinId="8" hidden="1"/>
    <cellStyle name="Collegamento ipertestuale" xfId="380" builtinId="8" hidden="1"/>
    <cellStyle name="Collegamento ipertestuale" xfId="382" builtinId="8" hidden="1"/>
    <cellStyle name="Collegamento ipertestuale" xfId="384" builtinId="8" hidden="1"/>
    <cellStyle name="Collegamento ipertestuale" xfId="386" builtinId="8" hidden="1"/>
    <cellStyle name="Collegamento ipertestuale" xfId="388" builtinId="8" hidden="1"/>
    <cellStyle name="Collegamento ipertestuale" xfId="390" builtinId="8" hidden="1"/>
    <cellStyle name="Collegamento ipertestuale" xfId="392" builtinId="8" hidden="1"/>
    <cellStyle name="Collegamento ipertestuale" xfId="394" builtinId="8" hidden="1"/>
    <cellStyle name="Collegamento ipertestuale" xfId="396" builtinId="8" hidden="1"/>
    <cellStyle name="Collegamento ipertestuale" xfId="398" builtinId="8" hidden="1"/>
    <cellStyle name="Collegamento ipertestuale" xfId="400" builtinId="8" hidden="1"/>
    <cellStyle name="Collegamento ipertestuale" xfId="402" builtinId="8" hidden="1"/>
    <cellStyle name="Collegamento ipertestuale" xfId="404" builtinId="8" hidden="1"/>
    <cellStyle name="Collegamento ipertestuale" xfId="406" builtinId="8" hidden="1"/>
    <cellStyle name="Collegamento ipertestuale" xfId="408" builtinId="8" hidden="1"/>
    <cellStyle name="Collegamento ipertestuale" xfId="410" builtinId="8" hidden="1"/>
    <cellStyle name="Collegamento ipertestuale" xfId="412" builtinId="8" hidden="1"/>
    <cellStyle name="Collegamento ipertestuale" xfId="414" builtinId="8" hidden="1"/>
    <cellStyle name="Collegamento ipertestuale" xfId="416" builtinId="8" hidden="1"/>
    <cellStyle name="Collegamento ipertestuale" xfId="418" builtinId="8" hidden="1"/>
    <cellStyle name="Collegamento ipertestuale" xfId="420" builtinId="8" hidden="1"/>
    <cellStyle name="Collegamento ipertestuale" xfId="422" builtinId="8" hidden="1"/>
    <cellStyle name="Collegamento ipertestuale" xfId="424" builtinId="8" hidden="1"/>
    <cellStyle name="Collegamento ipertestuale" xfId="426" builtinId="8" hidden="1"/>
    <cellStyle name="Collegamento ipertestuale" xfId="428" builtinId="8" hidden="1"/>
    <cellStyle name="Collegamento ipertestuale" xfId="430" builtinId="8" hidden="1"/>
    <cellStyle name="Collegamento ipertestuale" xfId="432" builtinId="8" hidden="1"/>
    <cellStyle name="Collegamento ipertestuale" xfId="434" builtinId="8" hidden="1"/>
    <cellStyle name="Collegamento ipertestuale" xfId="436" builtinId="8" hidden="1"/>
    <cellStyle name="Collegamento ipertestuale" xfId="438" builtinId="8" hidden="1"/>
    <cellStyle name="Collegamento ipertestuale" xfId="440" builtinId="8" hidden="1"/>
    <cellStyle name="Collegamento ipertestuale" xfId="442" builtinId="8" hidden="1"/>
    <cellStyle name="Collegamento ipertestuale" xfId="444" builtinId="8" hidden="1"/>
    <cellStyle name="Collegamento ipertestuale" xfId="446" builtinId="8" hidden="1"/>
    <cellStyle name="Collegamento ipertestuale" xfId="448" builtinId="8" hidden="1"/>
    <cellStyle name="Collegamento ipertestuale" xfId="450" builtinId="8" hidden="1"/>
    <cellStyle name="Collegamento ipertestuale" xfId="452" builtinId="8" hidden="1"/>
    <cellStyle name="Collegamento ipertestuale" xfId="454" builtinId="8" hidden="1"/>
    <cellStyle name="Collegamento ipertestuale" xfId="456" builtinId="8" hidden="1"/>
    <cellStyle name="Collegamento ipertestuale" xfId="458" builtinId="8" hidden="1"/>
    <cellStyle name="Collegamento ipertestuale" xfId="460" builtinId="8" hidden="1"/>
    <cellStyle name="Collegamento ipertestuale" xfId="462" builtinId="8" hidden="1"/>
    <cellStyle name="Collegamento ipertestuale" xfId="464" builtinId="8" hidden="1"/>
    <cellStyle name="Collegamento ipertestuale" xfId="466" builtinId="8" hidden="1"/>
    <cellStyle name="Collegamento ipertestuale" xfId="468" builtinId="8" hidden="1"/>
    <cellStyle name="Collegamento ipertestuale" xfId="470" builtinId="8" hidden="1"/>
    <cellStyle name="Collegamento ipertestuale" xfId="472" builtinId="8" hidden="1"/>
    <cellStyle name="Collegamento ipertestuale" xfId="474" builtinId="8" hidden="1"/>
    <cellStyle name="Collegamento ipertestuale" xfId="476" builtinId="8" hidden="1"/>
    <cellStyle name="Collegamento ipertestuale" xfId="478" builtinId="8" hidden="1"/>
    <cellStyle name="Collegamento ipertestuale" xfId="480" builtinId="8" hidden="1"/>
    <cellStyle name="Collegamento ipertestuale" xfId="482" builtinId="8" hidden="1"/>
    <cellStyle name="Collegamento ipertestuale" xfId="484" builtinId="8" hidden="1"/>
    <cellStyle name="Collegamento ipertestuale" xfId="486" builtinId="8" hidden="1"/>
    <cellStyle name="Collegamento ipertestuale" xfId="488" builtinId="8" hidden="1"/>
    <cellStyle name="Collegamento ipertestuale" xfId="490" builtinId="8" hidden="1"/>
    <cellStyle name="Collegamento ipertestuale" xfId="492" builtinId="8" hidden="1"/>
    <cellStyle name="Collegamento ipertestuale" xfId="494" builtinId="8" hidden="1"/>
    <cellStyle name="Collegamento ipertestuale" xfId="496" builtinId="8" hidden="1"/>
    <cellStyle name="Collegamento ipertestuale" xfId="498" builtinId="8" hidden="1"/>
    <cellStyle name="Collegamento ipertestuale" xfId="500" builtinId="8" hidden="1"/>
    <cellStyle name="Collegamento ipertestuale" xfId="502" builtinId="8" hidden="1"/>
    <cellStyle name="Collegamento ipertestuale" xfId="504" builtinId="8" hidden="1"/>
    <cellStyle name="Collegamento ipertestuale" xfId="506" builtinId="8" hidden="1"/>
    <cellStyle name="Collegamento ipertestuale" xfId="508" builtinId="8" hidden="1"/>
    <cellStyle name="Collegamento ipertestuale" xfId="510" builtinId="8" hidden="1"/>
    <cellStyle name="Collegamento ipertestuale" xfId="512" builtinId="8" hidden="1"/>
    <cellStyle name="Collegamento ipertestuale" xfId="514" builtinId="8" hidden="1"/>
    <cellStyle name="Collegamento ipertestuale" xfId="516" builtinId="8" hidden="1"/>
    <cellStyle name="Collegamento ipertestuale" xfId="518" builtinId="8" hidden="1"/>
    <cellStyle name="Collegamento ipertestuale" xfId="520" builtinId="8" hidden="1"/>
    <cellStyle name="Collegamento ipertestuale" xfId="522" builtinId="8" hidden="1"/>
    <cellStyle name="Collegamento ipertestuale" xfId="524" builtinId="8" hidden="1"/>
    <cellStyle name="Collegamento ipertestuale" xfId="526" builtinId="8" hidden="1"/>
    <cellStyle name="Collegamento ipertestuale" xfId="528" builtinId="8" hidden="1"/>
    <cellStyle name="Collegamento ipertestuale" xfId="530" builtinId="8" hidden="1"/>
    <cellStyle name="Collegamento ipertestuale" xfId="532" builtinId="8" hidden="1"/>
    <cellStyle name="Collegamento ipertestuale" xfId="534" builtinId="8" hidden="1"/>
    <cellStyle name="Collegamento ipertestuale" xfId="536" builtinId="8" hidden="1"/>
    <cellStyle name="Collegamento ipertestuale" xfId="538" builtinId="8" hidden="1"/>
    <cellStyle name="Collegamento ipertestuale" xfId="540" builtinId="8" hidden="1"/>
    <cellStyle name="Collegamento ipertestuale" xfId="542" builtinId="8" hidden="1"/>
    <cellStyle name="Collegamento ipertestuale" xfId="544" builtinId="8" hidden="1"/>
    <cellStyle name="Collegamento ipertestuale" xfId="546" builtinId="8" hidden="1"/>
    <cellStyle name="Collegamento ipertestuale" xfId="548" builtinId="8" hidden="1"/>
    <cellStyle name="Collegamento ipertestuale" xfId="550" builtinId="8" hidden="1"/>
    <cellStyle name="Collegamento ipertestuale" xfId="552" builtinId="8" hidden="1"/>
    <cellStyle name="Collegamento ipertestuale" xfId="554" builtinId="8" hidden="1"/>
    <cellStyle name="Collegamento ipertestuale" xfId="556" builtinId="8" hidden="1"/>
    <cellStyle name="Collegamento ipertestuale" xfId="558" builtinId="8" hidden="1"/>
    <cellStyle name="Collegamento ipertestuale" xfId="560" builtinId="8" hidden="1"/>
    <cellStyle name="Collegamento ipertestuale" xfId="562" builtinId="8" hidden="1"/>
    <cellStyle name="Collegamento ipertestuale" xfId="564" builtinId="8" hidden="1"/>
    <cellStyle name="Collegamento ipertestuale" xfId="566" builtinId="8" hidden="1"/>
    <cellStyle name="Collegamento ipertestuale" xfId="568" builtinId="8" hidden="1"/>
    <cellStyle name="Collegamento ipertestuale" xfId="570" builtinId="8" hidden="1"/>
    <cellStyle name="Collegamento ipertestuale" xfId="572" builtinId="8" hidden="1"/>
    <cellStyle name="Collegamento ipertestuale" xfId="574" builtinId="8" hidden="1"/>
    <cellStyle name="Collegamento ipertestuale" xfId="576" builtinId="8" hidden="1"/>
    <cellStyle name="Collegamento ipertestuale" xfId="578" builtinId="8" hidden="1"/>
    <cellStyle name="Collegamento ipertestuale" xfId="580" builtinId="8" hidden="1"/>
    <cellStyle name="Collegamento ipertestuale" xfId="582" builtinId="8" hidden="1"/>
    <cellStyle name="Collegamento ipertestuale" xfId="584" builtinId="8" hidden="1"/>
    <cellStyle name="Collegamento ipertestuale" xfId="586" builtinId="8" hidden="1"/>
    <cellStyle name="Collegamento ipertestuale" xfId="588" builtinId="8" hidden="1"/>
    <cellStyle name="Collegamento ipertestuale" xfId="590" builtinId="8" hidden="1"/>
    <cellStyle name="Collegamento ipertestuale" xfId="592" builtinId="8" hidden="1"/>
    <cellStyle name="Collegamento ipertestuale" xfId="594" builtinId="8" hidden="1"/>
    <cellStyle name="Collegamento ipertestuale" xfId="596" builtinId="8" hidden="1"/>
    <cellStyle name="Collegamento ipertestuale" xfId="598" builtinId="8" hidden="1"/>
    <cellStyle name="Collegamento ipertestuale" xfId="600" builtinId="8" hidden="1"/>
    <cellStyle name="Collegamento ipertestuale" xfId="602" builtinId="8" hidden="1"/>
    <cellStyle name="Collegamento ipertestuale" xfId="604" builtinId="8" hidden="1"/>
    <cellStyle name="Collegamento ipertestuale" xfId="606" builtinId="8" hidden="1"/>
    <cellStyle name="Collegamento ipertestuale" xfId="608" builtinId="8" hidden="1"/>
    <cellStyle name="Collegamento ipertestuale" xfId="610" builtinId="8" hidden="1"/>
    <cellStyle name="Collegamento ipertestuale" xfId="612" builtinId="8" hidden="1"/>
    <cellStyle name="Collegamento ipertestuale" xfId="614" builtinId="8" hidden="1"/>
    <cellStyle name="Collegamento ipertestuale" xfId="616" builtinId="8" hidden="1"/>
    <cellStyle name="Collegamento ipertestuale" xfId="618" builtinId="8" hidden="1"/>
    <cellStyle name="Collegamento ipertestuale" xfId="620" builtinId="8" hidden="1"/>
    <cellStyle name="Collegamento ipertestuale" xfId="622" builtinId="8" hidden="1"/>
    <cellStyle name="Collegamento ipertestuale" xfId="624" builtinId="8" hidden="1"/>
    <cellStyle name="Collegamento ipertestuale" xfId="626" builtinId="8" hidden="1"/>
    <cellStyle name="Collegamento ipertestuale" xfId="628" builtinId="8" hidden="1"/>
    <cellStyle name="Collegamento ipertestuale" xfId="630" builtinId="8" hidden="1"/>
    <cellStyle name="Collegamento ipertestuale" xfId="632" builtinId="8" hidden="1"/>
    <cellStyle name="Collegamento ipertestuale" xfId="634" builtinId="8" hidden="1"/>
    <cellStyle name="Collegamento ipertestuale" xfId="636" builtinId="8" hidden="1"/>
    <cellStyle name="Collegamento ipertestuale" xfId="638" builtinId="8" hidden="1"/>
    <cellStyle name="Collegamento ipertestuale" xfId="640" builtinId="8" hidden="1"/>
    <cellStyle name="Collegamento ipertestuale" xfId="642" builtinId="8" hidden="1"/>
    <cellStyle name="Collegamento ipertestuale" xfId="644" builtinId="8" hidden="1"/>
    <cellStyle name="Collegamento ipertestuale" xfId="646" builtinId="8" hidden="1"/>
    <cellStyle name="Collegamento ipertestuale" xfId="648" builtinId="8" hidden="1"/>
    <cellStyle name="Collegamento ipertestuale" xfId="650" builtinId="8" hidden="1"/>
    <cellStyle name="Collegamento ipertestuale" xfId="652" builtinId="8" hidden="1"/>
    <cellStyle name="Collegamento ipertestuale" xfId="654" builtinId="8" hidden="1"/>
    <cellStyle name="Collegamento ipertestuale" xfId="656" builtinId="8" hidden="1"/>
    <cellStyle name="Collegamento ipertestuale" xfId="658" builtinId="8" hidden="1"/>
    <cellStyle name="Collegamento ipertestuale" xfId="660" builtinId="8" hidden="1"/>
    <cellStyle name="Collegamento ipertestuale" xfId="662" builtinId="8" hidden="1"/>
    <cellStyle name="Collegamento ipertestuale" xfId="664" builtinId="8" hidden="1"/>
    <cellStyle name="Collegamento ipertestuale" xfId="666" builtinId="8" hidden="1"/>
    <cellStyle name="Collegamento ipertestuale" xfId="668" builtinId="8" hidden="1"/>
    <cellStyle name="Collegamento ipertestuale" xfId="670" builtinId="8" hidden="1"/>
    <cellStyle name="Collegamento ipertestuale" xfId="672" builtinId="8" hidden="1"/>
    <cellStyle name="Collegamento ipertestuale" xfId="674" builtinId="8" hidden="1"/>
    <cellStyle name="Collegamento ipertestuale" xfId="676" builtinId="8" hidden="1"/>
    <cellStyle name="Collegamento ipertestuale" xfId="678" builtinId="8" hidden="1"/>
    <cellStyle name="Collegamento ipertestuale" xfId="680" builtinId="8" hidden="1"/>
    <cellStyle name="Collegamento ipertestuale" xfId="682" builtinId="8" hidden="1"/>
    <cellStyle name="Collegamento ipertestuale" xfId="684" builtinId="8" hidden="1"/>
    <cellStyle name="Collegamento ipertestuale" xfId="686" builtinId="8" hidden="1"/>
    <cellStyle name="Collegamento ipertestuale" xfId="688" builtinId="8" hidden="1"/>
    <cellStyle name="Collegamento ipertestuale" xfId="690" builtinId="8" hidden="1"/>
    <cellStyle name="Collegamento ipertestuale" xfId="692" builtinId="8" hidden="1"/>
    <cellStyle name="Collegamento ipertestuale" xfId="694" builtinId="8" hidden="1"/>
    <cellStyle name="Collegamento ipertestuale" xfId="696" builtinId="8" hidden="1"/>
    <cellStyle name="Collegamento ipertestuale" xfId="698" builtinId="8" hidden="1"/>
    <cellStyle name="Collegamento ipertestuale" xfId="700" builtinId="8" hidden="1"/>
    <cellStyle name="Collegamento ipertestuale" xfId="702" builtinId="8" hidden="1"/>
    <cellStyle name="Collegamento ipertestuale" xfId="704" builtinId="8" hidden="1"/>
    <cellStyle name="Collegamento ipertestuale" xfId="706" builtinId="8" hidden="1"/>
    <cellStyle name="Collegamento ipertestuale" xfId="708" builtinId="8" hidden="1"/>
    <cellStyle name="Collegamento ipertestuale" xfId="710" builtinId="8" hidden="1"/>
    <cellStyle name="Collegamento ipertestuale" xfId="712" builtinId="8" hidden="1"/>
    <cellStyle name="Collegamento ipertestuale" xfId="714" builtinId="8" hidden="1"/>
    <cellStyle name="Collegamento ipertestuale" xfId="716" builtinId="8" hidden="1"/>
    <cellStyle name="Collegamento ipertestuale" xfId="718" builtinId="8" hidden="1"/>
    <cellStyle name="Collegamento ipertestuale" xfId="720" builtinId="8" hidden="1"/>
    <cellStyle name="Collegamento ipertestuale" xfId="722" builtinId="8" hidden="1"/>
    <cellStyle name="Collegamento ipertestuale" xfId="724" builtinId="8" hidden="1"/>
    <cellStyle name="Collegamento ipertestuale" xfId="726" builtinId="8" hidden="1"/>
    <cellStyle name="Collegamento ipertestuale" xfId="728" builtinId="8" hidden="1"/>
    <cellStyle name="Collegamento ipertestuale" xfId="730" builtinId="8" hidden="1"/>
    <cellStyle name="Collegamento ipertestuale" xfId="732" builtinId="8" hidden="1"/>
    <cellStyle name="Collegamento ipertestuale" xfId="734" builtinId="8" hidden="1"/>
    <cellStyle name="Collegamento ipertestuale" xfId="736" builtinId="8" hidden="1"/>
    <cellStyle name="Collegamento ipertestuale" xfId="738" builtinId="8" hidden="1"/>
    <cellStyle name="Collegamento ipertestuale" xfId="740" builtinId="8" hidden="1"/>
    <cellStyle name="Collegamento ipertestuale" xfId="742" builtinId="8" hidden="1"/>
    <cellStyle name="Collegamento ipertestuale" xfId="744" builtinId="8" hidden="1"/>
    <cellStyle name="Collegamento ipertestuale" xfId="746" builtinId="8" hidden="1"/>
    <cellStyle name="Collegamento ipertestuale" xfId="748" builtinId="8" hidden="1"/>
    <cellStyle name="Collegamento ipertestuale" xfId="750" builtinId="8" hidden="1"/>
    <cellStyle name="Collegamento ipertestuale" xfId="752" builtinId="8" hidden="1"/>
    <cellStyle name="Collegamento ipertestuale" xfId="754" builtinId="8" hidden="1"/>
    <cellStyle name="Collegamento ipertestuale" xfId="756" builtinId="8" hidden="1"/>
    <cellStyle name="Collegamento ipertestuale" xfId="758" builtinId="8" hidden="1"/>
    <cellStyle name="Collegamento ipertestuale" xfId="760" builtinId="8" hidden="1"/>
    <cellStyle name="Collegamento ipertestuale" xfId="762" builtinId="8" hidden="1"/>
    <cellStyle name="Collegamento ipertestuale" xfId="764" builtinId="8" hidden="1"/>
    <cellStyle name="Collegamento ipertestuale" xfId="766" builtinId="8" hidden="1"/>
    <cellStyle name="Collegamento ipertestuale" xfId="768" builtinId="8" hidden="1"/>
    <cellStyle name="Collegamento ipertestuale" xfId="770" builtinId="8" hidden="1"/>
    <cellStyle name="Collegamento ipertestuale" xfId="772" builtinId="8" hidden="1"/>
    <cellStyle name="Collegamento ipertestuale" xfId="774" builtinId="8" hidden="1"/>
    <cellStyle name="Collegamento ipertestuale" xfId="776" builtinId="8" hidden="1"/>
    <cellStyle name="Collegamento ipertestuale" xfId="778" builtinId="8" hidden="1"/>
    <cellStyle name="Collegamento ipertestuale" xfId="780" builtinId="8" hidden="1"/>
    <cellStyle name="Collegamento ipertestuale" xfId="782" builtinId="8" hidden="1"/>
    <cellStyle name="Collegamento ipertestuale" xfId="784" builtinId="8" hidden="1"/>
    <cellStyle name="Collegamento ipertestuale" xfId="786" builtinId="8" hidden="1"/>
    <cellStyle name="Collegamento ipertestuale" xfId="788" builtinId="8" hidden="1"/>
    <cellStyle name="Collegamento ipertestuale" xfId="790" builtinId="8" hidden="1"/>
    <cellStyle name="Collegamento ipertestuale" xfId="792" builtinId="8" hidden="1"/>
    <cellStyle name="Collegamento ipertestuale" xfId="794" builtinId="8" hidden="1"/>
    <cellStyle name="Collegamento ipertestuale" xfId="796" builtinId="8" hidden="1"/>
    <cellStyle name="Collegamento ipertestuale" xfId="798" builtinId="8" hidden="1"/>
    <cellStyle name="Collegamento ipertestuale" xfId="800" builtinId="8" hidden="1"/>
    <cellStyle name="Collegamento ipertestuale" xfId="802" builtinId="8" hidden="1"/>
    <cellStyle name="Collegamento ipertestuale" xfId="804" builtinId="8" hidden="1"/>
    <cellStyle name="Collegamento ipertestuale" xfId="806" builtinId="8" hidden="1"/>
    <cellStyle name="Collegamento ipertestuale" xfId="808" builtinId="8" hidden="1"/>
    <cellStyle name="Collegamento ipertestuale" xfId="810" builtinId="8" hidden="1"/>
    <cellStyle name="Collegamento ipertestuale" xfId="812" builtinId="8" hidden="1"/>
    <cellStyle name="Collegamento ipertestuale" xfId="814" builtinId="8" hidden="1"/>
    <cellStyle name="Collegamento ipertestuale" xfId="816" builtinId="8" hidden="1"/>
    <cellStyle name="Collegamento ipertestuale" xfId="818" builtinId="8" hidden="1"/>
    <cellStyle name="Collegamento ipertestuale" xfId="820" builtinId="8" hidden="1"/>
    <cellStyle name="Collegamento ipertestuale" xfId="822" builtinId="8" hidden="1"/>
    <cellStyle name="Collegamento ipertestuale" xfId="824" builtinId="8" hidden="1"/>
    <cellStyle name="Collegamento ipertestuale" xfId="826" builtinId="8" hidden="1"/>
    <cellStyle name="Collegamento ipertestuale" xfId="828" builtinId="8" hidden="1"/>
    <cellStyle name="Collegamento ipertestuale" xfId="830" builtinId="8" hidden="1"/>
    <cellStyle name="Collegamento ipertestuale" xfId="832" builtinId="8" hidden="1"/>
    <cellStyle name="Collegamento ipertestuale" xfId="834" builtinId="8" hidden="1"/>
    <cellStyle name="Collegamento ipertestuale" xfId="836" builtinId="8" hidden="1"/>
    <cellStyle name="Collegamento ipertestuale" xfId="838" builtinId="8" hidden="1"/>
    <cellStyle name="Collegamento ipertestuale" xfId="840" builtinId="8" hidden="1"/>
    <cellStyle name="Collegamento ipertestuale" xfId="842" builtinId="8" hidden="1"/>
    <cellStyle name="Collegamento ipertestuale" xfId="844" builtinId="8" hidden="1"/>
    <cellStyle name="Collegamento ipertestuale" xfId="846" builtinId="8" hidden="1"/>
    <cellStyle name="Collegamento ipertestuale" xfId="848" builtinId="8" hidden="1"/>
    <cellStyle name="Collegamento ipertestuale" xfId="850" builtinId="8" hidden="1"/>
    <cellStyle name="Collegamento ipertestuale" xfId="852" builtinId="8" hidden="1"/>
    <cellStyle name="Collegamento ipertestuale" xfId="854" builtinId="8" hidden="1"/>
    <cellStyle name="Collegamento ipertestuale" xfId="856" builtinId="8" hidden="1"/>
    <cellStyle name="Collegamento ipertestuale" xfId="858" builtinId="8" hidden="1"/>
    <cellStyle name="Collegamento ipertestuale" xfId="860" builtinId="8" hidden="1"/>
    <cellStyle name="Collegamento ipertestuale" xfId="862" builtinId="8" hidden="1"/>
    <cellStyle name="Collegamento ipertestuale" xfId="864" builtinId="8" hidden="1"/>
    <cellStyle name="Collegamento ipertestuale" xfId="866" builtinId="8" hidden="1"/>
    <cellStyle name="Collegamento ipertestuale" xfId="868" builtinId="8" hidden="1"/>
    <cellStyle name="Collegamento ipertestuale" xfId="870" builtinId="8" hidden="1"/>
    <cellStyle name="Collegamento ipertestuale" xfId="872" builtinId="8" hidden="1"/>
    <cellStyle name="Collegamento ipertestuale" xfId="874" builtinId="8" hidden="1"/>
    <cellStyle name="Collegamento ipertestuale" xfId="876" builtinId="8" hidden="1"/>
    <cellStyle name="Collegamento ipertestuale" xfId="878" builtinId="8" hidden="1"/>
    <cellStyle name="Collegamento ipertestuale" xfId="880" builtinId="8" hidden="1"/>
    <cellStyle name="Collegamento ipertestuale" xfId="882" builtinId="8" hidden="1"/>
    <cellStyle name="Collegamento ipertestuale" xfId="884" builtinId="8" hidden="1"/>
    <cellStyle name="Collegamento ipertestuale" xfId="886" builtinId="8" hidden="1"/>
    <cellStyle name="Collegamento ipertestuale" xfId="888" builtinId="8" hidden="1"/>
    <cellStyle name="Collegamento ipertestuale" xfId="890" builtinId="8" hidden="1"/>
    <cellStyle name="Collegamento ipertestuale" xfId="892" builtinId="8" hidden="1"/>
    <cellStyle name="Collegamento ipertestuale" xfId="894" builtinId="8" hidden="1"/>
    <cellStyle name="Collegamento ipertestuale" xfId="896" builtinId="8" hidden="1"/>
    <cellStyle name="Collegamento ipertestuale" xfId="898" builtinId="8" hidden="1"/>
    <cellStyle name="Collegamento ipertestuale" xfId="900" builtinId="8" hidden="1"/>
    <cellStyle name="Collegamento ipertestuale" xfId="902" builtinId="8" hidden="1"/>
    <cellStyle name="Collegamento ipertestuale" xfId="904" builtinId="8" hidden="1"/>
    <cellStyle name="Collegamento ipertestuale" xfId="906" builtinId="8" hidden="1"/>
    <cellStyle name="Collegamento ipertestuale" xfId="908" builtinId="8" hidden="1"/>
    <cellStyle name="Collegamento ipertestuale" xfId="910" builtinId="8" hidden="1"/>
    <cellStyle name="Collegamento ipertestuale" xfId="912" builtinId="8" hidden="1"/>
    <cellStyle name="Collegamento visitato" xfId="3" builtinId="9" hidden="1"/>
    <cellStyle name="Collegamento visitato" xfId="5" builtinId="9" hidden="1"/>
    <cellStyle name="Collegamento visitato" xfId="7" builtinId="9" hidden="1"/>
    <cellStyle name="Collegamento visitato" xfId="9" builtinId="9" hidden="1"/>
    <cellStyle name="Collegamento visitato" xfId="11" builtinId="9" hidden="1"/>
    <cellStyle name="Collegamento visitato" xfId="13" builtinId="9" hidden="1"/>
    <cellStyle name="Collegamento visitato" xfId="15" builtinId="9" hidden="1"/>
    <cellStyle name="Collegamento visitato" xfId="17" builtinId="9" hidden="1"/>
    <cellStyle name="Collegamento visitato" xfId="19" builtinId="9" hidden="1"/>
    <cellStyle name="Collegamento visitato" xfId="21" builtinId="9" hidden="1"/>
    <cellStyle name="Collegamento visitato" xfId="23" builtinId="9" hidden="1"/>
    <cellStyle name="Collegamento visitato" xfId="25" builtinId="9" hidden="1"/>
    <cellStyle name="Collegamento visitato" xfId="27" builtinId="9" hidden="1"/>
    <cellStyle name="Collegamento visitato" xfId="29" builtinId="9" hidden="1"/>
    <cellStyle name="Collegamento visitato" xfId="31" builtinId="9" hidden="1"/>
    <cellStyle name="Collegamento visitato" xfId="33" builtinId="9" hidden="1"/>
    <cellStyle name="Collegamento visitato" xfId="35" builtinId="9" hidden="1"/>
    <cellStyle name="Collegamento visitato" xfId="37" builtinId="9" hidden="1"/>
    <cellStyle name="Collegamento visitato" xfId="39" builtinId="9" hidden="1"/>
    <cellStyle name="Collegamento visitato" xfId="41" builtinId="9" hidden="1"/>
    <cellStyle name="Collegamento visitato" xfId="43" builtinId="9" hidden="1"/>
    <cellStyle name="Collegamento visitato" xfId="45" builtinId="9" hidden="1"/>
    <cellStyle name="Collegamento visitato" xfId="47" builtinId="9" hidden="1"/>
    <cellStyle name="Collegamento visitato" xfId="49" builtinId="9" hidden="1"/>
    <cellStyle name="Collegamento visitato" xfId="51" builtinId="9" hidden="1"/>
    <cellStyle name="Collegamento visitato" xfId="53" builtinId="9" hidden="1"/>
    <cellStyle name="Collegamento visitato" xfId="55" builtinId="9" hidden="1"/>
    <cellStyle name="Collegamento visitato" xfId="57" builtinId="9" hidden="1"/>
    <cellStyle name="Collegamento visitato" xfId="59" builtinId="9" hidden="1"/>
    <cellStyle name="Collegamento visitato" xfId="61" builtinId="9" hidden="1"/>
    <cellStyle name="Collegamento visitato" xfId="63" builtinId="9" hidden="1"/>
    <cellStyle name="Collegamento visitato" xfId="65" builtinId="9" hidden="1"/>
    <cellStyle name="Collegamento visitato" xfId="67" builtinId="9" hidden="1"/>
    <cellStyle name="Collegamento visitato" xfId="69" builtinId="9" hidden="1"/>
    <cellStyle name="Collegamento visitato" xfId="71" builtinId="9" hidden="1"/>
    <cellStyle name="Collegamento visitato" xfId="73" builtinId="9" hidden="1"/>
    <cellStyle name="Collegamento visitato" xfId="75" builtinId="9" hidden="1"/>
    <cellStyle name="Collegamento visitato" xfId="77" builtinId="9" hidden="1"/>
    <cellStyle name="Collegamento visitato" xfId="79" builtinId="9" hidden="1"/>
    <cellStyle name="Collegamento visitato" xfId="81" builtinId="9" hidden="1"/>
    <cellStyle name="Collegamento visitato" xfId="83" builtinId="9" hidden="1"/>
    <cellStyle name="Collegamento visitato" xfId="85" builtinId="9" hidden="1"/>
    <cellStyle name="Collegamento visitato" xfId="88" builtinId="9" hidden="1"/>
    <cellStyle name="Collegamento visitato" xfId="90" builtinId="9" hidden="1"/>
    <cellStyle name="Collegamento visitato" xfId="92" builtinId="9" hidden="1"/>
    <cellStyle name="Collegamento visitato" xfId="94" builtinId="9" hidden="1"/>
    <cellStyle name="Collegamento visitato" xfId="96" builtinId="9" hidden="1"/>
    <cellStyle name="Collegamento visitato" xfId="98" builtinId="9" hidden="1"/>
    <cellStyle name="Collegamento visitato" xfId="100" builtinId="9" hidden="1"/>
    <cellStyle name="Collegamento visitato" xfId="102" builtinId="9" hidden="1"/>
    <cellStyle name="Collegamento visitato" xfId="104" builtinId="9" hidden="1"/>
    <cellStyle name="Collegamento visitato" xfId="106" builtinId="9" hidden="1"/>
    <cellStyle name="Collegamento visitato" xfId="108" builtinId="9" hidden="1"/>
    <cellStyle name="Collegamento visitato" xfId="110" builtinId="9" hidden="1"/>
    <cellStyle name="Collegamento visitato" xfId="112" builtinId="9" hidden="1"/>
    <cellStyle name="Collegamento visitato" xfId="114" builtinId="9" hidden="1"/>
    <cellStyle name="Collegamento visitato" xfId="116" builtinId="9" hidden="1"/>
    <cellStyle name="Collegamento visitato" xfId="118" builtinId="9" hidden="1"/>
    <cellStyle name="Collegamento visitato" xfId="120" builtinId="9" hidden="1"/>
    <cellStyle name="Collegamento visitato" xfId="122" builtinId="9" hidden="1"/>
    <cellStyle name="Collegamento visitato" xfId="125" builtinId="9" hidden="1"/>
    <cellStyle name="Collegamento visitato" xfId="127" builtinId="9" hidden="1"/>
    <cellStyle name="Collegamento visitato" xfId="129" builtinId="9" hidden="1"/>
    <cellStyle name="Collegamento visitato" xfId="131" builtinId="9" hidden="1"/>
    <cellStyle name="Collegamento visitato" xfId="133" builtinId="9" hidden="1"/>
    <cellStyle name="Collegamento visitato" xfId="135" builtinId="9" hidden="1"/>
    <cellStyle name="Collegamento visitato" xfId="137" builtinId="9" hidden="1"/>
    <cellStyle name="Collegamento visitato" xfId="139" builtinId="9" hidden="1"/>
    <cellStyle name="Collegamento visitato" xfId="141" builtinId="9" hidden="1"/>
    <cellStyle name="Collegamento visitato" xfId="143" builtinId="9" hidden="1"/>
    <cellStyle name="Collegamento visitato" xfId="145" builtinId="9" hidden="1"/>
    <cellStyle name="Collegamento visitato" xfId="147" builtinId="9" hidden="1"/>
    <cellStyle name="Collegamento visitato" xfId="149" builtinId="9" hidden="1"/>
    <cellStyle name="Collegamento visitato" xfId="151" builtinId="9" hidden="1"/>
    <cellStyle name="Collegamento visitato" xfId="153" builtinId="9" hidden="1"/>
    <cellStyle name="Collegamento visitato" xfId="155" builtinId="9" hidden="1"/>
    <cellStyle name="Collegamento visitato" xfId="157" builtinId="9" hidden="1"/>
    <cellStyle name="Collegamento visitato" xfId="159" builtinId="9" hidden="1"/>
    <cellStyle name="Collegamento visitato" xfId="161" builtinId="9" hidden="1"/>
    <cellStyle name="Collegamento visitato" xfId="163" builtinId="9" hidden="1"/>
    <cellStyle name="Collegamento visitato" xfId="165" builtinId="9" hidden="1"/>
    <cellStyle name="Collegamento visitato" xfId="167" builtinId="9" hidden="1"/>
    <cellStyle name="Collegamento visitato" xfId="169" builtinId="9" hidden="1"/>
    <cellStyle name="Collegamento visitato" xfId="171" builtinId="9" hidden="1"/>
    <cellStyle name="Collegamento visitato" xfId="173" builtinId="9" hidden="1"/>
    <cellStyle name="Collegamento visitato" xfId="175" builtinId="9" hidden="1"/>
    <cellStyle name="Collegamento visitato" xfId="177" builtinId="9" hidden="1"/>
    <cellStyle name="Collegamento visitato" xfId="179" builtinId="9" hidden="1"/>
    <cellStyle name="Collegamento visitato" xfId="181" builtinId="9" hidden="1"/>
    <cellStyle name="Collegamento visitato" xfId="183" builtinId="9" hidden="1"/>
    <cellStyle name="Collegamento visitato" xfId="185" builtinId="9" hidden="1"/>
    <cellStyle name="Collegamento visitato" xfId="187" builtinId="9" hidden="1"/>
    <cellStyle name="Collegamento visitato" xfId="189" builtinId="9" hidden="1"/>
    <cellStyle name="Collegamento visitato" xfId="191" builtinId="9" hidden="1"/>
    <cellStyle name="Collegamento visitato" xfId="193" builtinId="9" hidden="1"/>
    <cellStyle name="Collegamento visitato" xfId="195" builtinId="9" hidden="1"/>
    <cellStyle name="Collegamento visitato" xfId="197" builtinId="9" hidden="1"/>
    <cellStyle name="Collegamento visitato" xfId="199" builtinId="9" hidden="1"/>
    <cellStyle name="Collegamento visitato" xfId="201" builtinId="9" hidden="1"/>
    <cellStyle name="Collegamento visitato" xfId="203" builtinId="9" hidden="1"/>
    <cellStyle name="Collegamento visitato" xfId="205" builtinId="9" hidden="1"/>
    <cellStyle name="Collegamento visitato" xfId="207" builtinId="9" hidden="1"/>
    <cellStyle name="Collegamento visitato" xfId="209" builtinId="9" hidden="1"/>
    <cellStyle name="Collegamento visitato" xfId="211" builtinId="9" hidden="1"/>
    <cellStyle name="Collegamento visitato" xfId="213" builtinId="9" hidden="1"/>
    <cellStyle name="Collegamento visitato" xfId="215" builtinId="9" hidden="1"/>
    <cellStyle name="Collegamento visitato" xfId="217" builtinId="9" hidden="1"/>
    <cellStyle name="Collegamento visitato" xfId="219" builtinId="9" hidden="1"/>
    <cellStyle name="Collegamento visitato" xfId="221" builtinId="9" hidden="1"/>
    <cellStyle name="Collegamento visitato" xfId="223" builtinId="9" hidden="1"/>
    <cellStyle name="Collegamento visitato" xfId="225" builtinId="9" hidden="1"/>
    <cellStyle name="Collegamento visitato" xfId="227" builtinId="9" hidden="1"/>
    <cellStyle name="Collegamento visitato" xfId="229" builtinId="9" hidden="1"/>
    <cellStyle name="Collegamento visitato" xfId="231" builtinId="9" hidden="1"/>
    <cellStyle name="Collegamento visitato" xfId="233" builtinId="9" hidden="1"/>
    <cellStyle name="Collegamento visitato" xfId="235" builtinId="9" hidden="1"/>
    <cellStyle name="Collegamento visitato" xfId="237" builtinId="9" hidden="1"/>
    <cellStyle name="Collegamento visitato" xfId="239" builtinId="9" hidden="1"/>
    <cellStyle name="Collegamento visitato" xfId="241" builtinId="9" hidden="1"/>
    <cellStyle name="Collegamento visitato" xfId="243" builtinId="9" hidden="1"/>
    <cellStyle name="Collegamento visitato" xfId="245" builtinId="9" hidden="1"/>
    <cellStyle name="Collegamento visitato" xfId="247" builtinId="9" hidden="1"/>
    <cellStyle name="Collegamento visitato" xfId="249" builtinId="9" hidden="1"/>
    <cellStyle name="Collegamento visitato" xfId="251" builtinId="9" hidden="1"/>
    <cellStyle name="Collegamento visitato" xfId="253" builtinId="9" hidden="1"/>
    <cellStyle name="Collegamento visitato" xfId="255" builtinId="9" hidden="1"/>
    <cellStyle name="Collegamento visitato" xfId="257" builtinId="9" hidden="1"/>
    <cellStyle name="Collegamento visitato" xfId="259" builtinId="9" hidden="1"/>
    <cellStyle name="Collegamento visitato" xfId="261" builtinId="9" hidden="1"/>
    <cellStyle name="Collegamento visitato" xfId="263" builtinId="9" hidden="1"/>
    <cellStyle name="Collegamento visitato" xfId="265" builtinId="9" hidden="1"/>
    <cellStyle name="Collegamento visitato" xfId="267" builtinId="9" hidden="1"/>
    <cellStyle name="Collegamento visitato" xfId="269" builtinId="9" hidden="1"/>
    <cellStyle name="Collegamento visitato" xfId="271" builtinId="9" hidden="1"/>
    <cellStyle name="Collegamento visitato" xfId="273" builtinId="9" hidden="1"/>
    <cellStyle name="Collegamento visitato" xfId="275" builtinId="9" hidden="1"/>
    <cellStyle name="Collegamento visitato" xfId="277" builtinId="9" hidden="1"/>
    <cellStyle name="Collegamento visitato" xfId="279" builtinId="9" hidden="1"/>
    <cellStyle name="Collegamento visitato" xfId="281" builtinId="9" hidden="1"/>
    <cellStyle name="Collegamento visitato" xfId="283" builtinId="9" hidden="1"/>
    <cellStyle name="Collegamento visitato" xfId="285" builtinId="9" hidden="1"/>
    <cellStyle name="Collegamento visitato" xfId="287" builtinId="9" hidden="1"/>
    <cellStyle name="Collegamento visitato" xfId="289" builtinId="9" hidden="1"/>
    <cellStyle name="Collegamento visitato" xfId="291" builtinId="9" hidden="1"/>
    <cellStyle name="Collegamento visitato" xfId="293" builtinId="9" hidden="1"/>
    <cellStyle name="Collegamento visitato" xfId="295" builtinId="9" hidden="1"/>
    <cellStyle name="Collegamento visitato" xfId="297" builtinId="9" hidden="1"/>
    <cellStyle name="Collegamento visitato" xfId="299" builtinId="9" hidden="1"/>
    <cellStyle name="Collegamento visitato" xfId="301" builtinId="9" hidden="1"/>
    <cellStyle name="Collegamento visitato" xfId="303" builtinId="9" hidden="1"/>
    <cellStyle name="Collegamento visitato" xfId="305" builtinId="9" hidden="1"/>
    <cellStyle name="Collegamento visitato" xfId="307" builtinId="9" hidden="1"/>
    <cellStyle name="Collegamento visitato" xfId="309" builtinId="9" hidden="1"/>
    <cellStyle name="Collegamento visitato" xfId="311" builtinId="9" hidden="1"/>
    <cellStyle name="Collegamento visitato" xfId="313" builtinId="9" hidden="1"/>
    <cellStyle name="Collegamento visitato" xfId="315" builtinId="9" hidden="1"/>
    <cellStyle name="Collegamento visitato" xfId="317" builtinId="9" hidden="1"/>
    <cellStyle name="Collegamento visitato" xfId="319" builtinId="9" hidden="1"/>
    <cellStyle name="Collegamento visitato" xfId="321" builtinId="9" hidden="1"/>
    <cellStyle name="Collegamento visitato" xfId="323" builtinId="9" hidden="1"/>
    <cellStyle name="Collegamento visitato" xfId="325" builtinId="9" hidden="1"/>
    <cellStyle name="Collegamento visitato" xfId="327" builtinId="9" hidden="1"/>
    <cellStyle name="Collegamento visitato" xfId="329" builtinId="9" hidden="1"/>
    <cellStyle name="Collegamento visitato" xfId="331" builtinId="9" hidden="1"/>
    <cellStyle name="Collegamento visitato" xfId="333" builtinId="9" hidden="1"/>
    <cellStyle name="Collegamento visitato" xfId="335" builtinId="9" hidden="1"/>
    <cellStyle name="Collegamento visitato" xfId="337" builtinId="9" hidden="1"/>
    <cellStyle name="Collegamento visitato" xfId="339" builtinId="9" hidden="1"/>
    <cellStyle name="Collegamento visitato" xfId="341" builtinId="9" hidden="1"/>
    <cellStyle name="Collegamento visitato" xfId="343" builtinId="9" hidden="1"/>
    <cellStyle name="Collegamento visitato" xfId="345" builtinId="9" hidden="1"/>
    <cellStyle name="Collegamento visitato" xfId="347" builtinId="9" hidden="1"/>
    <cellStyle name="Collegamento visitato" xfId="349" builtinId="9" hidden="1"/>
    <cellStyle name="Collegamento visitato" xfId="351" builtinId="9" hidden="1"/>
    <cellStyle name="Collegamento visitato" xfId="353" builtinId="9" hidden="1"/>
    <cellStyle name="Collegamento visitato" xfId="355" builtinId="9" hidden="1"/>
    <cellStyle name="Collegamento visitato" xfId="357" builtinId="9" hidden="1"/>
    <cellStyle name="Collegamento visitato" xfId="359" builtinId="9" hidden="1"/>
    <cellStyle name="Collegamento visitato" xfId="361" builtinId="9" hidden="1"/>
    <cellStyle name="Collegamento visitato" xfId="363" builtinId="9" hidden="1"/>
    <cellStyle name="Collegamento visitato" xfId="365" builtinId="9" hidden="1"/>
    <cellStyle name="Collegamento visitato" xfId="367" builtinId="9" hidden="1"/>
    <cellStyle name="Collegamento visitato" xfId="369" builtinId="9" hidden="1"/>
    <cellStyle name="Collegamento visitato" xfId="371" builtinId="9" hidden="1"/>
    <cellStyle name="Collegamento visitato" xfId="373" builtinId="9" hidden="1"/>
    <cellStyle name="Collegamento visitato" xfId="375" builtinId="9" hidden="1"/>
    <cellStyle name="Collegamento visitato" xfId="377" builtinId="9" hidden="1"/>
    <cellStyle name="Collegamento visitato" xfId="379" builtinId="9" hidden="1"/>
    <cellStyle name="Collegamento visitato" xfId="381" builtinId="9" hidden="1"/>
    <cellStyle name="Collegamento visitato" xfId="383" builtinId="9" hidden="1"/>
    <cellStyle name="Collegamento visitato" xfId="385" builtinId="9" hidden="1"/>
    <cellStyle name="Collegamento visitato" xfId="387" builtinId="9" hidden="1"/>
    <cellStyle name="Collegamento visitato" xfId="389" builtinId="9" hidden="1"/>
    <cellStyle name="Collegamento visitato" xfId="391" builtinId="9" hidden="1"/>
    <cellStyle name="Collegamento visitato" xfId="393" builtinId="9" hidden="1"/>
    <cellStyle name="Collegamento visitato" xfId="395" builtinId="9" hidden="1"/>
    <cellStyle name="Collegamento visitato" xfId="397" builtinId="9" hidden="1"/>
    <cellStyle name="Collegamento visitato" xfId="399" builtinId="9" hidden="1"/>
    <cellStyle name="Collegamento visitato" xfId="401" builtinId="9" hidden="1"/>
    <cellStyle name="Collegamento visitato" xfId="403" builtinId="9" hidden="1"/>
    <cellStyle name="Collegamento visitato" xfId="405" builtinId="9" hidden="1"/>
    <cellStyle name="Collegamento visitato" xfId="407" builtinId="9" hidden="1"/>
    <cellStyle name="Collegamento visitato" xfId="409" builtinId="9" hidden="1"/>
    <cellStyle name="Collegamento visitato" xfId="411" builtinId="9" hidden="1"/>
    <cellStyle name="Collegamento visitato" xfId="413" builtinId="9" hidden="1"/>
    <cellStyle name="Collegamento visitato" xfId="415" builtinId="9" hidden="1"/>
    <cellStyle name="Collegamento visitato" xfId="417" builtinId="9" hidden="1"/>
    <cellStyle name="Collegamento visitato" xfId="419" builtinId="9" hidden="1"/>
    <cellStyle name="Collegamento visitato" xfId="421" builtinId="9" hidden="1"/>
    <cellStyle name="Collegamento visitato" xfId="423" builtinId="9" hidden="1"/>
    <cellStyle name="Collegamento visitato" xfId="425" builtinId="9" hidden="1"/>
    <cellStyle name="Collegamento visitato" xfId="427" builtinId="9" hidden="1"/>
    <cellStyle name="Collegamento visitato" xfId="429" builtinId="9" hidden="1"/>
    <cellStyle name="Collegamento visitato" xfId="431" builtinId="9" hidden="1"/>
    <cellStyle name="Collegamento visitato" xfId="433" builtinId="9" hidden="1"/>
    <cellStyle name="Collegamento visitato" xfId="435" builtinId="9" hidden="1"/>
    <cellStyle name="Collegamento visitato" xfId="437" builtinId="9" hidden="1"/>
    <cellStyle name="Collegamento visitato" xfId="439" builtinId="9" hidden="1"/>
    <cellStyle name="Collegamento visitato" xfId="441" builtinId="9" hidden="1"/>
    <cellStyle name="Collegamento visitato" xfId="443" builtinId="9" hidden="1"/>
    <cellStyle name="Collegamento visitato" xfId="445" builtinId="9" hidden="1"/>
    <cellStyle name="Collegamento visitato" xfId="447" builtinId="9" hidden="1"/>
    <cellStyle name="Collegamento visitato" xfId="449" builtinId="9" hidden="1"/>
    <cellStyle name="Collegamento visitato" xfId="451" builtinId="9" hidden="1"/>
    <cellStyle name="Collegamento visitato" xfId="453" builtinId="9" hidden="1"/>
    <cellStyle name="Collegamento visitato" xfId="455" builtinId="9" hidden="1"/>
    <cellStyle name="Collegamento visitato" xfId="457" builtinId="9" hidden="1"/>
    <cellStyle name="Collegamento visitato" xfId="459" builtinId="9" hidden="1"/>
    <cellStyle name="Collegamento visitato" xfId="461" builtinId="9" hidden="1"/>
    <cellStyle name="Collegamento visitato" xfId="463" builtinId="9" hidden="1"/>
    <cellStyle name="Collegamento visitato" xfId="465" builtinId="9" hidden="1"/>
    <cellStyle name="Collegamento visitato" xfId="467" builtinId="9" hidden="1"/>
    <cellStyle name="Collegamento visitato" xfId="469" builtinId="9" hidden="1"/>
    <cellStyle name="Collegamento visitato" xfId="471" builtinId="9" hidden="1"/>
    <cellStyle name="Collegamento visitato" xfId="473" builtinId="9" hidden="1"/>
    <cellStyle name="Collegamento visitato" xfId="475" builtinId="9" hidden="1"/>
    <cellStyle name="Collegamento visitato" xfId="477" builtinId="9" hidden="1"/>
    <cellStyle name="Collegamento visitato" xfId="479" builtinId="9" hidden="1"/>
    <cellStyle name="Collegamento visitato" xfId="481" builtinId="9" hidden="1"/>
    <cellStyle name="Collegamento visitato" xfId="483" builtinId="9" hidden="1"/>
    <cellStyle name="Collegamento visitato" xfId="485" builtinId="9" hidden="1"/>
    <cellStyle name="Collegamento visitato" xfId="487" builtinId="9" hidden="1"/>
    <cellStyle name="Collegamento visitato" xfId="489" builtinId="9" hidden="1"/>
    <cellStyle name="Collegamento visitato" xfId="491" builtinId="9" hidden="1"/>
    <cellStyle name="Collegamento visitato" xfId="493" builtinId="9" hidden="1"/>
    <cellStyle name="Collegamento visitato" xfId="495" builtinId="9" hidden="1"/>
    <cellStyle name="Collegamento visitato" xfId="497" builtinId="9" hidden="1"/>
    <cellStyle name="Collegamento visitato" xfId="499" builtinId="9" hidden="1"/>
    <cellStyle name="Collegamento visitato" xfId="501" builtinId="9" hidden="1"/>
    <cellStyle name="Collegamento visitato" xfId="503" builtinId="9" hidden="1"/>
    <cellStyle name="Collegamento visitato" xfId="505" builtinId="9" hidden="1"/>
    <cellStyle name="Collegamento visitato" xfId="507" builtinId="9" hidden="1"/>
    <cellStyle name="Collegamento visitato" xfId="509" builtinId="9" hidden="1"/>
    <cellStyle name="Collegamento visitato" xfId="511" builtinId="9" hidden="1"/>
    <cellStyle name="Collegamento visitato" xfId="513" builtinId="9" hidden="1"/>
    <cellStyle name="Collegamento visitato" xfId="515" builtinId="9" hidden="1"/>
    <cellStyle name="Collegamento visitato" xfId="517" builtinId="9" hidden="1"/>
    <cellStyle name="Collegamento visitato" xfId="519" builtinId="9" hidden="1"/>
    <cellStyle name="Collegamento visitato" xfId="521" builtinId="9" hidden="1"/>
    <cellStyle name="Collegamento visitato" xfId="523" builtinId="9" hidden="1"/>
    <cellStyle name="Collegamento visitato" xfId="525" builtinId="9" hidden="1"/>
    <cellStyle name="Collegamento visitato" xfId="527" builtinId="9" hidden="1"/>
    <cellStyle name="Collegamento visitato" xfId="529" builtinId="9" hidden="1"/>
    <cellStyle name="Collegamento visitato" xfId="531" builtinId="9" hidden="1"/>
    <cellStyle name="Collegamento visitato" xfId="533" builtinId="9" hidden="1"/>
    <cellStyle name="Collegamento visitato" xfId="535" builtinId="9" hidden="1"/>
    <cellStyle name="Collegamento visitato" xfId="537" builtinId="9" hidden="1"/>
    <cellStyle name="Collegamento visitato" xfId="539" builtinId="9" hidden="1"/>
    <cellStyle name="Collegamento visitato" xfId="541" builtinId="9" hidden="1"/>
    <cellStyle name="Collegamento visitato" xfId="543" builtinId="9" hidden="1"/>
    <cellStyle name="Collegamento visitato" xfId="545" builtinId="9" hidden="1"/>
    <cellStyle name="Collegamento visitato" xfId="547" builtinId="9" hidden="1"/>
    <cellStyle name="Collegamento visitato" xfId="549" builtinId="9" hidden="1"/>
    <cellStyle name="Collegamento visitato" xfId="551" builtinId="9" hidden="1"/>
    <cellStyle name="Collegamento visitato" xfId="553" builtinId="9" hidden="1"/>
    <cellStyle name="Collegamento visitato" xfId="555" builtinId="9" hidden="1"/>
    <cellStyle name="Collegamento visitato" xfId="557" builtinId="9" hidden="1"/>
    <cellStyle name="Collegamento visitato" xfId="559" builtinId="9" hidden="1"/>
    <cellStyle name="Collegamento visitato" xfId="561" builtinId="9" hidden="1"/>
    <cellStyle name="Collegamento visitato" xfId="563" builtinId="9" hidden="1"/>
    <cellStyle name="Collegamento visitato" xfId="565" builtinId="9" hidden="1"/>
    <cellStyle name="Collegamento visitato" xfId="567" builtinId="9" hidden="1"/>
    <cellStyle name="Collegamento visitato" xfId="569" builtinId="9" hidden="1"/>
    <cellStyle name="Collegamento visitato" xfId="571" builtinId="9" hidden="1"/>
    <cellStyle name="Collegamento visitato" xfId="573" builtinId="9" hidden="1"/>
    <cellStyle name="Collegamento visitato" xfId="575" builtinId="9" hidden="1"/>
    <cellStyle name="Collegamento visitato" xfId="577" builtinId="9" hidden="1"/>
    <cellStyle name="Collegamento visitato" xfId="579" builtinId="9" hidden="1"/>
    <cellStyle name="Collegamento visitato" xfId="581" builtinId="9" hidden="1"/>
    <cellStyle name="Collegamento visitato" xfId="583" builtinId="9" hidden="1"/>
    <cellStyle name="Collegamento visitato" xfId="585" builtinId="9" hidden="1"/>
    <cellStyle name="Collegamento visitato" xfId="587" builtinId="9" hidden="1"/>
    <cellStyle name="Collegamento visitato" xfId="589" builtinId="9" hidden="1"/>
    <cellStyle name="Collegamento visitato" xfId="591" builtinId="9" hidden="1"/>
    <cellStyle name="Collegamento visitato" xfId="593" builtinId="9" hidden="1"/>
    <cellStyle name="Collegamento visitato" xfId="595" builtinId="9" hidden="1"/>
    <cellStyle name="Collegamento visitato" xfId="597" builtinId="9" hidden="1"/>
    <cellStyle name="Collegamento visitato" xfId="599" builtinId="9" hidden="1"/>
    <cellStyle name="Collegamento visitato" xfId="601" builtinId="9" hidden="1"/>
    <cellStyle name="Collegamento visitato" xfId="603" builtinId="9" hidden="1"/>
    <cellStyle name="Collegamento visitato" xfId="605" builtinId="9" hidden="1"/>
    <cellStyle name="Collegamento visitato" xfId="607" builtinId="9" hidden="1"/>
    <cellStyle name="Collegamento visitato" xfId="609" builtinId="9" hidden="1"/>
    <cellStyle name="Collegamento visitato" xfId="611" builtinId="9" hidden="1"/>
    <cellStyle name="Collegamento visitato" xfId="613" builtinId="9" hidden="1"/>
    <cellStyle name="Collegamento visitato" xfId="615" builtinId="9" hidden="1"/>
    <cellStyle name="Collegamento visitato" xfId="617" builtinId="9" hidden="1"/>
    <cellStyle name="Collegamento visitato" xfId="619" builtinId="9" hidden="1"/>
    <cellStyle name="Collegamento visitato" xfId="621" builtinId="9" hidden="1"/>
    <cellStyle name="Collegamento visitato" xfId="623" builtinId="9" hidden="1"/>
    <cellStyle name="Collegamento visitato" xfId="625" builtinId="9" hidden="1"/>
    <cellStyle name="Collegamento visitato" xfId="627" builtinId="9" hidden="1"/>
    <cellStyle name="Collegamento visitato" xfId="629" builtinId="9" hidden="1"/>
    <cellStyle name="Collegamento visitato" xfId="631" builtinId="9" hidden="1"/>
    <cellStyle name="Collegamento visitato" xfId="633" builtinId="9" hidden="1"/>
    <cellStyle name="Collegamento visitato" xfId="635" builtinId="9" hidden="1"/>
    <cellStyle name="Collegamento visitato" xfId="637" builtinId="9" hidden="1"/>
    <cellStyle name="Collegamento visitato" xfId="639" builtinId="9" hidden="1"/>
    <cellStyle name="Collegamento visitato" xfId="641" builtinId="9" hidden="1"/>
    <cellStyle name="Collegamento visitato" xfId="643" builtinId="9" hidden="1"/>
    <cellStyle name="Collegamento visitato" xfId="645" builtinId="9" hidden="1"/>
    <cellStyle name="Collegamento visitato" xfId="647" builtinId="9" hidden="1"/>
    <cellStyle name="Collegamento visitato" xfId="649" builtinId="9" hidden="1"/>
    <cellStyle name="Collegamento visitato" xfId="651" builtinId="9" hidden="1"/>
    <cellStyle name="Collegamento visitato" xfId="653" builtinId="9" hidden="1"/>
    <cellStyle name="Collegamento visitato" xfId="655" builtinId="9" hidden="1"/>
    <cellStyle name="Collegamento visitato" xfId="657" builtinId="9" hidden="1"/>
    <cellStyle name="Collegamento visitato" xfId="659" builtinId="9" hidden="1"/>
    <cellStyle name="Collegamento visitato" xfId="661" builtinId="9" hidden="1"/>
    <cellStyle name="Collegamento visitato" xfId="663" builtinId="9" hidden="1"/>
    <cellStyle name="Collegamento visitato" xfId="665" builtinId="9" hidden="1"/>
    <cellStyle name="Collegamento visitato" xfId="667" builtinId="9" hidden="1"/>
    <cellStyle name="Collegamento visitato" xfId="669" builtinId="9" hidden="1"/>
    <cellStyle name="Collegamento visitato" xfId="671" builtinId="9" hidden="1"/>
    <cellStyle name="Collegamento visitato" xfId="673" builtinId="9" hidden="1"/>
    <cellStyle name="Collegamento visitato" xfId="675" builtinId="9" hidden="1"/>
    <cellStyle name="Collegamento visitato" xfId="677" builtinId="9" hidden="1"/>
    <cellStyle name="Collegamento visitato" xfId="679" builtinId="9" hidden="1"/>
    <cellStyle name="Collegamento visitato" xfId="681" builtinId="9" hidden="1"/>
    <cellStyle name="Collegamento visitato" xfId="683" builtinId="9" hidden="1"/>
    <cellStyle name="Collegamento visitato" xfId="685" builtinId="9" hidden="1"/>
    <cellStyle name="Collegamento visitato" xfId="687" builtinId="9" hidden="1"/>
    <cellStyle name="Collegamento visitato" xfId="689" builtinId="9" hidden="1"/>
    <cellStyle name="Collegamento visitato" xfId="691" builtinId="9" hidden="1"/>
    <cellStyle name="Collegamento visitato" xfId="693" builtinId="9" hidden="1"/>
    <cellStyle name="Collegamento visitato" xfId="695" builtinId="9" hidden="1"/>
    <cellStyle name="Collegamento visitato" xfId="697" builtinId="9" hidden="1"/>
    <cellStyle name="Collegamento visitato" xfId="699" builtinId="9" hidden="1"/>
    <cellStyle name="Collegamento visitato" xfId="701" builtinId="9" hidden="1"/>
    <cellStyle name="Collegamento visitato" xfId="703" builtinId="9" hidden="1"/>
    <cellStyle name="Collegamento visitato" xfId="705" builtinId="9" hidden="1"/>
    <cellStyle name="Collegamento visitato" xfId="707" builtinId="9" hidden="1"/>
    <cellStyle name="Collegamento visitato" xfId="709" builtinId="9" hidden="1"/>
    <cellStyle name="Collegamento visitato" xfId="711" builtinId="9" hidden="1"/>
    <cellStyle name="Collegamento visitato" xfId="713" builtinId="9" hidden="1"/>
    <cellStyle name="Collegamento visitato" xfId="715" builtinId="9" hidden="1"/>
    <cellStyle name="Collegamento visitato" xfId="717" builtinId="9" hidden="1"/>
    <cellStyle name="Collegamento visitato" xfId="719" builtinId="9" hidden="1"/>
    <cellStyle name="Collegamento visitato" xfId="721" builtinId="9" hidden="1"/>
    <cellStyle name="Collegamento visitato" xfId="723" builtinId="9" hidden="1"/>
    <cellStyle name="Collegamento visitato" xfId="725" builtinId="9" hidden="1"/>
    <cellStyle name="Collegamento visitato" xfId="727" builtinId="9" hidden="1"/>
    <cellStyle name="Collegamento visitato" xfId="729" builtinId="9" hidden="1"/>
    <cellStyle name="Collegamento visitato" xfId="731" builtinId="9" hidden="1"/>
    <cellStyle name="Collegamento visitato" xfId="733" builtinId="9" hidden="1"/>
    <cellStyle name="Collegamento visitato" xfId="735" builtinId="9" hidden="1"/>
    <cellStyle name="Collegamento visitato" xfId="737" builtinId="9" hidden="1"/>
    <cellStyle name="Collegamento visitato" xfId="739" builtinId="9" hidden="1"/>
    <cellStyle name="Collegamento visitato" xfId="741" builtinId="9" hidden="1"/>
    <cellStyle name="Collegamento visitato" xfId="743" builtinId="9" hidden="1"/>
    <cellStyle name="Collegamento visitato" xfId="745" builtinId="9" hidden="1"/>
    <cellStyle name="Collegamento visitato" xfId="747" builtinId="9" hidden="1"/>
    <cellStyle name="Collegamento visitato" xfId="749" builtinId="9" hidden="1"/>
    <cellStyle name="Collegamento visitato" xfId="751" builtinId="9" hidden="1"/>
    <cellStyle name="Collegamento visitato" xfId="753" builtinId="9" hidden="1"/>
    <cellStyle name="Collegamento visitato" xfId="755" builtinId="9" hidden="1"/>
    <cellStyle name="Collegamento visitato" xfId="757" builtinId="9" hidden="1"/>
    <cellStyle name="Collegamento visitato" xfId="759" builtinId="9" hidden="1"/>
    <cellStyle name="Collegamento visitato" xfId="761" builtinId="9" hidden="1"/>
    <cellStyle name="Collegamento visitato" xfId="763" builtinId="9" hidden="1"/>
    <cellStyle name="Collegamento visitato" xfId="765" builtinId="9" hidden="1"/>
    <cellStyle name="Collegamento visitato" xfId="767" builtinId="9" hidden="1"/>
    <cellStyle name="Collegamento visitato" xfId="769" builtinId="9" hidden="1"/>
    <cellStyle name="Collegamento visitato" xfId="771" builtinId="9" hidden="1"/>
    <cellStyle name="Collegamento visitato" xfId="773" builtinId="9" hidden="1"/>
    <cellStyle name="Collegamento visitato" xfId="775" builtinId="9" hidden="1"/>
    <cellStyle name="Collegamento visitato" xfId="777" builtinId="9" hidden="1"/>
    <cellStyle name="Collegamento visitato" xfId="779" builtinId="9" hidden="1"/>
    <cellStyle name="Collegamento visitato" xfId="781" builtinId="9" hidden="1"/>
    <cellStyle name="Collegamento visitato" xfId="783" builtinId="9" hidden="1"/>
    <cellStyle name="Collegamento visitato" xfId="785" builtinId="9" hidden="1"/>
    <cellStyle name="Collegamento visitato" xfId="787" builtinId="9" hidden="1"/>
    <cellStyle name="Collegamento visitato" xfId="789" builtinId="9" hidden="1"/>
    <cellStyle name="Collegamento visitato" xfId="791" builtinId="9" hidden="1"/>
    <cellStyle name="Collegamento visitato" xfId="793" builtinId="9" hidden="1"/>
    <cellStyle name="Collegamento visitato" xfId="795" builtinId="9" hidden="1"/>
    <cellStyle name="Collegamento visitato" xfId="797" builtinId="9" hidden="1"/>
    <cellStyle name="Collegamento visitato" xfId="799" builtinId="9" hidden="1"/>
    <cellStyle name="Collegamento visitato" xfId="801" builtinId="9" hidden="1"/>
    <cellStyle name="Collegamento visitato" xfId="803" builtinId="9" hidden="1"/>
    <cellStyle name="Collegamento visitato" xfId="805" builtinId="9" hidden="1"/>
    <cellStyle name="Collegamento visitato" xfId="807" builtinId="9" hidden="1"/>
    <cellStyle name="Collegamento visitato" xfId="809" builtinId="9" hidden="1"/>
    <cellStyle name="Collegamento visitato" xfId="811" builtinId="9" hidden="1"/>
    <cellStyle name="Collegamento visitato" xfId="813" builtinId="9" hidden="1"/>
    <cellStyle name="Collegamento visitato" xfId="815" builtinId="9" hidden="1"/>
    <cellStyle name="Collegamento visitato" xfId="817" builtinId="9" hidden="1"/>
    <cellStyle name="Collegamento visitato" xfId="819" builtinId="9" hidden="1"/>
    <cellStyle name="Collegamento visitato" xfId="821" builtinId="9" hidden="1"/>
    <cellStyle name="Collegamento visitato" xfId="823" builtinId="9" hidden="1"/>
    <cellStyle name="Collegamento visitato" xfId="825" builtinId="9" hidden="1"/>
    <cellStyle name="Collegamento visitato" xfId="827" builtinId="9" hidden="1"/>
    <cellStyle name="Collegamento visitato" xfId="829" builtinId="9" hidden="1"/>
    <cellStyle name="Collegamento visitato" xfId="831" builtinId="9" hidden="1"/>
    <cellStyle name="Collegamento visitato" xfId="833" builtinId="9" hidden="1"/>
    <cellStyle name="Collegamento visitato" xfId="835" builtinId="9" hidden="1"/>
    <cellStyle name="Collegamento visitato" xfId="837" builtinId="9" hidden="1"/>
    <cellStyle name="Collegamento visitato" xfId="839" builtinId="9" hidden="1"/>
    <cellStyle name="Collegamento visitato" xfId="841" builtinId="9" hidden="1"/>
    <cellStyle name="Collegamento visitato" xfId="843" builtinId="9" hidden="1"/>
    <cellStyle name="Collegamento visitato" xfId="845" builtinId="9" hidden="1"/>
    <cellStyle name="Collegamento visitato" xfId="847" builtinId="9" hidden="1"/>
    <cellStyle name="Collegamento visitato" xfId="849" builtinId="9" hidden="1"/>
    <cellStyle name="Collegamento visitato" xfId="851" builtinId="9" hidden="1"/>
    <cellStyle name="Collegamento visitato" xfId="853" builtinId="9" hidden="1"/>
    <cellStyle name="Collegamento visitato" xfId="855" builtinId="9" hidden="1"/>
    <cellStyle name="Collegamento visitato" xfId="857" builtinId="9" hidden="1"/>
    <cellStyle name="Collegamento visitato" xfId="859" builtinId="9" hidden="1"/>
    <cellStyle name="Collegamento visitato" xfId="861" builtinId="9" hidden="1"/>
    <cellStyle name="Collegamento visitato" xfId="863" builtinId="9" hidden="1"/>
    <cellStyle name="Collegamento visitato" xfId="865" builtinId="9" hidden="1"/>
    <cellStyle name="Collegamento visitato" xfId="867" builtinId="9" hidden="1"/>
    <cellStyle name="Collegamento visitato" xfId="869" builtinId="9" hidden="1"/>
    <cellStyle name="Collegamento visitato" xfId="871" builtinId="9" hidden="1"/>
    <cellStyle name="Collegamento visitato" xfId="873" builtinId="9" hidden="1"/>
    <cellStyle name="Collegamento visitato" xfId="875" builtinId="9" hidden="1"/>
    <cellStyle name="Collegamento visitato" xfId="877" builtinId="9" hidden="1"/>
    <cellStyle name="Collegamento visitato" xfId="879" builtinId="9" hidden="1"/>
    <cellStyle name="Collegamento visitato" xfId="881" builtinId="9" hidden="1"/>
    <cellStyle name="Collegamento visitato" xfId="883" builtinId="9" hidden="1"/>
    <cellStyle name="Collegamento visitato" xfId="885" builtinId="9" hidden="1"/>
    <cellStyle name="Collegamento visitato" xfId="887" builtinId="9" hidden="1"/>
    <cellStyle name="Collegamento visitato" xfId="889" builtinId="9" hidden="1"/>
    <cellStyle name="Collegamento visitato" xfId="891" builtinId="9" hidden="1"/>
    <cellStyle name="Collegamento visitato" xfId="893" builtinId="9" hidden="1"/>
    <cellStyle name="Collegamento visitato" xfId="895" builtinId="9" hidden="1"/>
    <cellStyle name="Collegamento visitato" xfId="897" builtinId="9" hidden="1"/>
    <cellStyle name="Collegamento visitato" xfId="899" builtinId="9" hidden="1"/>
    <cellStyle name="Collegamento visitato" xfId="901" builtinId="9" hidden="1"/>
    <cellStyle name="Collegamento visitato" xfId="903" builtinId="9" hidden="1"/>
    <cellStyle name="Collegamento visitato" xfId="905" builtinId="9" hidden="1"/>
    <cellStyle name="Collegamento visitato" xfId="907" builtinId="9" hidden="1"/>
    <cellStyle name="Collegamento visitato" xfId="909" builtinId="9" hidden="1"/>
    <cellStyle name="Collegamento visitato" xfId="911" builtinId="9" hidden="1"/>
    <cellStyle name="Collegamento visitato" xfId="913" builtinId="9" hidden="1"/>
    <cellStyle name="Normale" xfId="0" builtinId="0"/>
    <cellStyle name="Nota" xfId="86" builtinId="10"/>
    <cellStyle name="Percentuale" xfId="123" builtinId="5"/>
    <cellStyle name="Valido" xfId="1" builtinId="26"/>
  </cellStyles>
  <dxfs count="23">
    <dxf>
      <font>
        <condense val="0"/>
        <extend val="0"/>
        <color indexed="10"/>
      </font>
      <fill>
        <patternFill>
          <bgColor indexed="10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ont>
        <condense val="0"/>
        <extend val="0"/>
        <color auto="1"/>
      </font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22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3"/>
      </font>
    </dxf>
    <dxf>
      <font>
        <condense val="0"/>
        <extend val="0"/>
        <color indexed="37"/>
      </font>
    </dxf>
    <dxf>
      <font>
        <condense val="0"/>
        <extend val="0"/>
        <color indexed="32"/>
      </font>
    </dxf>
    <dxf>
      <font>
        <condense val="0"/>
        <extend val="0"/>
        <color indexed="58"/>
      </font>
    </dxf>
    <dxf>
      <font>
        <condense val="0"/>
        <extend val="0"/>
        <color indexed="10"/>
      </font>
      <fill>
        <patternFill patternType="none">
          <bgColor indexed="65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KPI 1: Protezione Logica</a:t>
            </a:r>
          </a:p>
        </c:rich>
      </c:tx>
      <c:layout>
        <c:manualLayout>
          <c:xMode val="edge"/>
          <c:yMode val="edge"/>
          <c:x val="0.354344122657581"/>
          <c:y val="0.0326086956521739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8556850229606"/>
          <c:y val="0.171195652173913"/>
          <c:w val="0.82989795160724"/>
          <c:h val="0.739130434782608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Sintesi!$T$32:$T$77</c:f>
              <c:numCache>
                <c:formatCode>0.00</c:formatCode>
                <c:ptCount val="4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0.8</c:v>
                </c:pt>
                <c:pt idx="4">
                  <c:v>1.0</c:v>
                </c:pt>
                <c:pt idx="5">
                  <c:v>1.8</c:v>
                </c:pt>
                <c:pt idx="6">
                  <c:v>4.4</c:v>
                </c:pt>
                <c:pt idx="7">
                  <c:v>4.6</c:v>
                </c:pt>
                <c:pt idx="8">
                  <c:v>4.8</c:v>
                </c:pt>
                <c:pt idx="9">
                  <c:v>5.0</c:v>
                </c:pt>
                <c:pt idx="10">
                  <c:v>5.2</c:v>
                </c:pt>
                <c:pt idx="11">
                  <c:v>5.4</c:v>
                </c:pt>
                <c:pt idx="12">
                  <c:v>5.6</c:v>
                </c:pt>
                <c:pt idx="13">
                  <c:v>5.6</c:v>
                </c:pt>
                <c:pt idx="14">
                  <c:v>5.6</c:v>
                </c:pt>
                <c:pt idx="15">
                  <c:v>5.8</c:v>
                </c:pt>
                <c:pt idx="16">
                  <c:v>6.2</c:v>
                </c:pt>
                <c:pt idx="17">
                  <c:v>6.2</c:v>
                </c:pt>
                <c:pt idx="18">
                  <c:v>6.5</c:v>
                </c:pt>
                <c:pt idx="19">
                  <c:v>6.6</c:v>
                </c:pt>
                <c:pt idx="20">
                  <c:v>6.7</c:v>
                </c:pt>
                <c:pt idx="21">
                  <c:v>6.7</c:v>
                </c:pt>
                <c:pt idx="22">
                  <c:v>6.8</c:v>
                </c:pt>
                <c:pt idx="23">
                  <c:v>6.9</c:v>
                </c:pt>
                <c:pt idx="24">
                  <c:v>6.9</c:v>
                </c:pt>
                <c:pt idx="25">
                  <c:v>6.9</c:v>
                </c:pt>
                <c:pt idx="26">
                  <c:v>7.0</c:v>
                </c:pt>
                <c:pt idx="27">
                  <c:v>7.1</c:v>
                </c:pt>
                <c:pt idx="28">
                  <c:v>7.1</c:v>
                </c:pt>
                <c:pt idx="29">
                  <c:v>7.2</c:v>
                </c:pt>
                <c:pt idx="30">
                  <c:v>7.4</c:v>
                </c:pt>
                <c:pt idx="31">
                  <c:v>7.4</c:v>
                </c:pt>
                <c:pt idx="32">
                  <c:v>7.5</c:v>
                </c:pt>
                <c:pt idx="33">
                  <c:v>7.5</c:v>
                </c:pt>
                <c:pt idx="34">
                  <c:v>7.7</c:v>
                </c:pt>
                <c:pt idx="35">
                  <c:v>7.7</c:v>
                </c:pt>
                <c:pt idx="36">
                  <c:v>7.7</c:v>
                </c:pt>
                <c:pt idx="37">
                  <c:v>7.7</c:v>
                </c:pt>
                <c:pt idx="38">
                  <c:v>7.8</c:v>
                </c:pt>
                <c:pt idx="39">
                  <c:v>8.1</c:v>
                </c:pt>
                <c:pt idx="40">
                  <c:v>8.1</c:v>
                </c:pt>
                <c:pt idx="41">
                  <c:v>8.3</c:v>
                </c:pt>
                <c:pt idx="42">
                  <c:v>8.4</c:v>
                </c:pt>
                <c:pt idx="43">
                  <c:v>8.5</c:v>
                </c:pt>
                <c:pt idx="44">
                  <c:v>8.5</c:v>
                </c:pt>
                <c:pt idx="45">
                  <c:v>8.6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785448"/>
        <c:axId val="655795240"/>
      </c:scatterChart>
      <c:valAx>
        <c:axId val="655785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655795240"/>
        <c:crosses val="autoZero"/>
        <c:crossBetween val="midCat"/>
      </c:valAx>
      <c:valAx>
        <c:axId val="655795240"/>
        <c:scaling>
          <c:orientation val="minMax"/>
          <c:max val="10.0"/>
        </c:scaling>
        <c:delete val="0"/>
        <c:axPos val="l"/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655785448"/>
        <c:crosses val="autoZero"/>
        <c:crossBetween val="midCat"/>
        <c:majorUnit val="1.0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KPI 2: Protezione Fisica dell'infrastruttura</a:t>
            </a:r>
          </a:p>
        </c:rich>
      </c:tx>
      <c:layout>
        <c:manualLayout>
          <c:xMode val="edge"/>
          <c:yMode val="edge"/>
          <c:x val="0.125319961603265"/>
          <c:y val="0.03252032520325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2015915119363"/>
          <c:y val="0.218579818188125"/>
          <c:w val="0.824933687002653"/>
          <c:h val="0.69125867501994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Sintesi!$U$32:$U$77</c:f>
              <c:numCache>
                <c:formatCode>0.0</c:formatCode>
                <c:ptCount val="46"/>
                <c:pt idx="0">
                  <c:v>0.0</c:v>
                </c:pt>
                <c:pt idx="1">
                  <c:v>1.111111111111111</c:v>
                </c:pt>
                <c:pt idx="2">
                  <c:v>1.111111111111111</c:v>
                </c:pt>
                <c:pt idx="3">
                  <c:v>1.111111111111111</c:v>
                </c:pt>
                <c:pt idx="4">
                  <c:v>2.666666666666666</c:v>
                </c:pt>
                <c:pt idx="5">
                  <c:v>3.0</c:v>
                </c:pt>
                <c:pt idx="6">
                  <c:v>3.666666666666666</c:v>
                </c:pt>
                <c:pt idx="7">
                  <c:v>3.888888888888889</c:v>
                </c:pt>
                <c:pt idx="8">
                  <c:v>4.0</c:v>
                </c:pt>
                <c:pt idx="9">
                  <c:v>4.333333333333332</c:v>
                </c:pt>
                <c:pt idx="10">
                  <c:v>4.555555555555555</c:v>
                </c:pt>
                <c:pt idx="11">
                  <c:v>4.555555555555555</c:v>
                </c:pt>
                <c:pt idx="12">
                  <c:v>4.555555555555555</c:v>
                </c:pt>
                <c:pt idx="13">
                  <c:v>5.222222222222222</c:v>
                </c:pt>
                <c:pt idx="14">
                  <c:v>5.444444444444444</c:v>
                </c:pt>
                <c:pt idx="15">
                  <c:v>5.666666666666667</c:v>
                </c:pt>
                <c:pt idx="16">
                  <c:v>6.111111111111111</c:v>
                </c:pt>
                <c:pt idx="17">
                  <c:v>6.777777777777778</c:v>
                </c:pt>
                <c:pt idx="18">
                  <c:v>6.888888888888889</c:v>
                </c:pt>
                <c:pt idx="19">
                  <c:v>7.333333333333332</c:v>
                </c:pt>
                <c:pt idx="20">
                  <c:v>7.333333333333332</c:v>
                </c:pt>
                <c:pt idx="21">
                  <c:v>7.333333333333332</c:v>
                </c:pt>
                <c:pt idx="22">
                  <c:v>7.444444444444444</c:v>
                </c:pt>
                <c:pt idx="23">
                  <c:v>7.444444444444444</c:v>
                </c:pt>
                <c:pt idx="24">
                  <c:v>7.777777777777778</c:v>
                </c:pt>
                <c:pt idx="25">
                  <c:v>7.888888888888889</c:v>
                </c:pt>
                <c:pt idx="26">
                  <c:v>7.888888888888889</c:v>
                </c:pt>
                <c:pt idx="27">
                  <c:v>7.888888888888889</c:v>
                </c:pt>
                <c:pt idx="28">
                  <c:v>8.0</c:v>
                </c:pt>
                <c:pt idx="29">
                  <c:v>8.0</c:v>
                </c:pt>
                <c:pt idx="30">
                  <c:v>8.0</c:v>
                </c:pt>
                <c:pt idx="31">
                  <c:v>8.222222222222221</c:v>
                </c:pt>
                <c:pt idx="32">
                  <c:v>8.222222222222221</c:v>
                </c:pt>
                <c:pt idx="33">
                  <c:v>8.444444444444444</c:v>
                </c:pt>
                <c:pt idx="34">
                  <c:v>8.444444444444444</c:v>
                </c:pt>
                <c:pt idx="35">
                  <c:v>8.444444444444444</c:v>
                </c:pt>
                <c:pt idx="36">
                  <c:v>8.444444444444444</c:v>
                </c:pt>
                <c:pt idx="37">
                  <c:v>8.555555555555555</c:v>
                </c:pt>
                <c:pt idx="38">
                  <c:v>8.555555555555555</c:v>
                </c:pt>
                <c:pt idx="39">
                  <c:v>8.555555555555555</c:v>
                </c:pt>
                <c:pt idx="40">
                  <c:v>8.666666666666665</c:v>
                </c:pt>
                <c:pt idx="41">
                  <c:v>8.88888888888889</c:v>
                </c:pt>
                <c:pt idx="42">
                  <c:v>8.88888888888889</c:v>
                </c:pt>
                <c:pt idx="43">
                  <c:v>8.88888888888889</c:v>
                </c:pt>
                <c:pt idx="44">
                  <c:v>9.111111111111111</c:v>
                </c:pt>
                <c:pt idx="45">
                  <c:v>9.111111111111111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875304"/>
        <c:axId val="655880792"/>
      </c:scatterChart>
      <c:valAx>
        <c:axId val="655875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655880792"/>
        <c:crosses val="autoZero"/>
        <c:crossBetween val="midCat"/>
      </c:valAx>
      <c:valAx>
        <c:axId val="655880792"/>
        <c:scaling>
          <c:orientation val="minMax"/>
          <c:max val="10.0"/>
          <c:min val="0.0"/>
        </c:scaling>
        <c:delete val="0"/>
        <c:axPos val="l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655875304"/>
        <c:crosses val="autoZero"/>
        <c:crossBetween val="midCat"/>
        <c:majorUnit val="1.0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KPI 3: Sicurezza dei servizi</a:t>
            </a:r>
          </a:p>
        </c:rich>
      </c:tx>
      <c:layout>
        <c:manualLayout>
          <c:xMode val="edge"/>
          <c:yMode val="edge"/>
          <c:x val="0.335581787521079"/>
          <c:y val="0.03217158176943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6751413724686"/>
          <c:y val="0.182065217391304"/>
          <c:w val="0.832488341341236"/>
          <c:h val="0.72826086956521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Sintesi!$V$32:$V$77</c:f>
              <c:numCache>
                <c:formatCode>0.0</c:formatCode>
                <c:ptCount val="46"/>
                <c:pt idx="0">
                  <c:v>0.0</c:v>
                </c:pt>
                <c:pt idx="1">
                  <c:v>0.0</c:v>
                </c:pt>
                <c:pt idx="2">
                  <c:v>0.222222222222222</c:v>
                </c:pt>
                <c:pt idx="3">
                  <c:v>0.222222222222222</c:v>
                </c:pt>
                <c:pt idx="4">
                  <c:v>0.222222222222222</c:v>
                </c:pt>
                <c:pt idx="5">
                  <c:v>2.0</c:v>
                </c:pt>
                <c:pt idx="6">
                  <c:v>2.888888888888889</c:v>
                </c:pt>
                <c:pt idx="7">
                  <c:v>2.888888888888889</c:v>
                </c:pt>
                <c:pt idx="8">
                  <c:v>3.666666666666666</c:v>
                </c:pt>
                <c:pt idx="9">
                  <c:v>3.666666666666666</c:v>
                </c:pt>
                <c:pt idx="10">
                  <c:v>4.222222222222222</c:v>
                </c:pt>
                <c:pt idx="11">
                  <c:v>4.222222222222222</c:v>
                </c:pt>
                <c:pt idx="12">
                  <c:v>4.444444444444444</c:v>
                </c:pt>
                <c:pt idx="13">
                  <c:v>4.444444444444444</c:v>
                </c:pt>
                <c:pt idx="14">
                  <c:v>4.444444444444444</c:v>
                </c:pt>
                <c:pt idx="15">
                  <c:v>5.111111111111111</c:v>
                </c:pt>
                <c:pt idx="16">
                  <c:v>5.111111111111111</c:v>
                </c:pt>
                <c:pt idx="17">
                  <c:v>5.444444444444444</c:v>
                </c:pt>
                <c:pt idx="18">
                  <c:v>5.555555555555555</c:v>
                </c:pt>
                <c:pt idx="19">
                  <c:v>5.555555555555555</c:v>
                </c:pt>
                <c:pt idx="20">
                  <c:v>5.555555555555555</c:v>
                </c:pt>
                <c:pt idx="21">
                  <c:v>6.222222222222222</c:v>
                </c:pt>
                <c:pt idx="22">
                  <c:v>6.222222222222222</c:v>
                </c:pt>
                <c:pt idx="23">
                  <c:v>6.222222222222222</c:v>
                </c:pt>
                <c:pt idx="24">
                  <c:v>6.555555555555555</c:v>
                </c:pt>
                <c:pt idx="25">
                  <c:v>6.555555555555555</c:v>
                </c:pt>
                <c:pt idx="26">
                  <c:v>6.666666666666667</c:v>
                </c:pt>
                <c:pt idx="27">
                  <c:v>6.666666666666667</c:v>
                </c:pt>
                <c:pt idx="28">
                  <c:v>6.666666666666667</c:v>
                </c:pt>
                <c:pt idx="29">
                  <c:v>6.666666666666667</c:v>
                </c:pt>
                <c:pt idx="30">
                  <c:v>6.666666666666667</c:v>
                </c:pt>
                <c:pt idx="31">
                  <c:v>6.888888888888889</c:v>
                </c:pt>
                <c:pt idx="32">
                  <c:v>7.222222222222222</c:v>
                </c:pt>
                <c:pt idx="33">
                  <c:v>7.333333333333332</c:v>
                </c:pt>
                <c:pt idx="34">
                  <c:v>7.333333333333332</c:v>
                </c:pt>
                <c:pt idx="35">
                  <c:v>7.333333333333332</c:v>
                </c:pt>
                <c:pt idx="36">
                  <c:v>7.333333333333332</c:v>
                </c:pt>
                <c:pt idx="37">
                  <c:v>7.333333333333332</c:v>
                </c:pt>
                <c:pt idx="38">
                  <c:v>7.555555555555555</c:v>
                </c:pt>
                <c:pt idx="39">
                  <c:v>7.777777777777778</c:v>
                </c:pt>
                <c:pt idx="40">
                  <c:v>7.777777777777778</c:v>
                </c:pt>
                <c:pt idx="41">
                  <c:v>8.0</c:v>
                </c:pt>
                <c:pt idx="42">
                  <c:v>8.0</c:v>
                </c:pt>
                <c:pt idx="43">
                  <c:v>8.111111111111111</c:v>
                </c:pt>
                <c:pt idx="44">
                  <c:v>8.444444444444444</c:v>
                </c:pt>
                <c:pt idx="45">
                  <c:v>8.444444444444444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5910104"/>
        <c:axId val="655915512"/>
      </c:scatterChart>
      <c:valAx>
        <c:axId val="655910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655915512"/>
        <c:crosses val="autoZero"/>
        <c:crossBetween val="midCat"/>
      </c:valAx>
      <c:valAx>
        <c:axId val="655915512"/>
        <c:scaling>
          <c:orientation val="minMax"/>
          <c:max val="10.0"/>
        </c:scaling>
        <c:delete val="0"/>
        <c:axPos val="l"/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655910104"/>
        <c:crosses val="autoZero"/>
        <c:crossBetween val="midCat"/>
        <c:majorUnit val="1.0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KPI 4:Organizzazione per la sicurezza</a:t>
            </a:r>
          </a:p>
        </c:rich>
      </c:tx>
      <c:layout>
        <c:manualLayout>
          <c:xMode val="edge"/>
          <c:yMode val="edge"/>
          <c:x val="0.197026022304833"/>
          <c:y val="0.0294117647058823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0966542750929371"/>
          <c:y val="0.245099212523038"/>
          <c:w val="0.802973977695168"/>
          <c:h val="0.421570645539625"/>
        </c:manualLayout>
      </c:layout>
      <c:pie3DChart>
        <c:varyColors val="1"/>
        <c:ser>
          <c:idx val="0"/>
          <c:order val="0"/>
          <c:tx>
            <c:v>KPI4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1"/>
              <c:layout>
                <c:manualLayout>
                  <c:x val="-0.0802931046258623"/>
                  <c:y val="-0.10818022747156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Sintesi!$B$24:$B$27</c:f>
              <c:strCache>
                <c:ptCount val="4"/>
                <c:pt idx="0">
                  <c:v>Scarso</c:v>
                </c:pt>
                <c:pt idx="1">
                  <c:v>Basso</c:v>
                </c:pt>
                <c:pt idx="2">
                  <c:v>Medio</c:v>
                </c:pt>
                <c:pt idx="3">
                  <c:v>Alto</c:v>
                </c:pt>
              </c:strCache>
            </c:strRef>
          </c:cat>
          <c:val>
            <c:numRef>
              <c:f>Sintesi!$Q$24:$Q$27</c:f>
              <c:numCache>
                <c:formatCode>General</c:formatCode>
                <c:ptCount val="4"/>
                <c:pt idx="0">
                  <c:v>7.0</c:v>
                </c:pt>
                <c:pt idx="1">
                  <c:v>5.0</c:v>
                </c:pt>
                <c:pt idx="2">
                  <c:v>13.0</c:v>
                </c:pt>
                <c:pt idx="3">
                  <c:v>21.0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0371747211896"/>
          <c:y val="0.745101606070038"/>
          <c:w val="0.799256505576206"/>
          <c:h val="0.1960793700184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KPI 4: Organizzazione per la sicurezza</a:t>
            </a:r>
          </a:p>
        </c:rich>
      </c:tx>
      <c:layout>
        <c:manualLayout>
          <c:xMode val="edge"/>
          <c:yMode val="edge"/>
          <c:x val="0.163316582914573"/>
          <c:y val="0.0326086956521739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577889447236"/>
          <c:y val="0.171195652173913"/>
          <c:w val="0.831658291457287"/>
          <c:h val="0.739130434782608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yVal>
            <c:numRef>
              <c:f>Sintesi!$W$32:$W$77</c:f>
              <c:numCache>
                <c:formatCode>0.0</c:formatCode>
                <c:ptCount val="46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0.153846153846154</c:v>
                </c:pt>
                <c:pt idx="4">
                  <c:v>0.153846153846154</c:v>
                </c:pt>
                <c:pt idx="5">
                  <c:v>0.153846153846154</c:v>
                </c:pt>
                <c:pt idx="6">
                  <c:v>0.153846153846154</c:v>
                </c:pt>
                <c:pt idx="7">
                  <c:v>0.615384615384615</c:v>
                </c:pt>
                <c:pt idx="8">
                  <c:v>1.076923076923077</c:v>
                </c:pt>
                <c:pt idx="9">
                  <c:v>2.461538461538462</c:v>
                </c:pt>
                <c:pt idx="10">
                  <c:v>2.615384615384615</c:v>
                </c:pt>
                <c:pt idx="11">
                  <c:v>2.76923076923077</c:v>
                </c:pt>
                <c:pt idx="12">
                  <c:v>2.923076923076923</c:v>
                </c:pt>
                <c:pt idx="13">
                  <c:v>3.230769230769231</c:v>
                </c:pt>
                <c:pt idx="14">
                  <c:v>3.230769230769231</c:v>
                </c:pt>
                <c:pt idx="15">
                  <c:v>3.384615384615385</c:v>
                </c:pt>
                <c:pt idx="16">
                  <c:v>3.538461538461538</c:v>
                </c:pt>
                <c:pt idx="17">
                  <c:v>3.538461538461538</c:v>
                </c:pt>
                <c:pt idx="18">
                  <c:v>4.0</c:v>
                </c:pt>
                <c:pt idx="19">
                  <c:v>4.153846153846154</c:v>
                </c:pt>
                <c:pt idx="20">
                  <c:v>4.153846153846154</c:v>
                </c:pt>
                <c:pt idx="21">
                  <c:v>4.153846153846154</c:v>
                </c:pt>
                <c:pt idx="22">
                  <c:v>4.615384615384615</c:v>
                </c:pt>
                <c:pt idx="23">
                  <c:v>4.76923076923077</c:v>
                </c:pt>
                <c:pt idx="24">
                  <c:v>4.76923076923077</c:v>
                </c:pt>
                <c:pt idx="25">
                  <c:v>5.076923076923076</c:v>
                </c:pt>
                <c:pt idx="26">
                  <c:v>5.538461538461538</c:v>
                </c:pt>
                <c:pt idx="27">
                  <c:v>5.538461538461538</c:v>
                </c:pt>
                <c:pt idx="28">
                  <c:v>5.846153846153846</c:v>
                </c:pt>
                <c:pt idx="29">
                  <c:v>5.846153846153846</c:v>
                </c:pt>
                <c:pt idx="30">
                  <c:v>6.0</c:v>
                </c:pt>
                <c:pt idx="31">
                  <c:v>6.307692307692307</c:v>
                </c:pt>
                <c:pt idx="32">
                  <c:v>6.461538461538462</c:v>
                </c:pt>
                <c:pt idx="33">
                  <c:v>6.615384615384615</c:v>
                </c:pt>
                <c:pt idx="34">
                  <c:v>6.76923076923077</c:v>
                </c:pt>
                <c:pt idx="35">
                  <c:v>6.923076923076923</c:v>
                </c:pt>
                <c:pt idx="36">
                  <c:v>7.23076923076923</c:v>
                </c:pt>
                <c:pt idx="37">
                  <c:v>7.23076923076923</c:v>
                </c:pt>
                <c:pt idx="38">
                  <c:v>7.23076923076923</c:v>
                </c:pt>
                <c:pt idx="39">
                  <c:v>7.538461538461538</c:v>
                </c:pt>
                <c:pt idx="40">
                  <c:v>7.538461538461538</c:v>
                </c:pt>
                <c:pt idx="41">
                  <c:v>7.846153846153846</c:v>
                </c:pt>
                <c:pt idx="42">
                  <c:v>8.0</c:v>
                </c:pt>
                <c:pt idx="43">
                  <c:v>8.0</c:v>
                </c:pt>
                <c:pt idx="44">
                  <c:v>8.461538461538461</c:v>
                </c:pt>
                <c:pt idx="45">
                  <c:v>8.461538461538461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427160"/>
        <c:axId val="646432600"/>
      </c:scatterChart>
      <c:valAx>
        <c:axId val="646427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646432600"/>
        <c:crosses val="autoZero"/>
        <c:crossBetween val="midCat"/>
      </c:valAx>
      <c:valAx>
        <c:axId val="646432600"/>
        <c:scaling>
          <c:orientation val="minMax"/>
          <c:max val="10.0"/>
          <c:min val="0.0"/>
        </c:scaling>
        <c:delete val="0"/>
        <c:axPos val="l"/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646427160"/>
        <c:crosses val="autoZero"/>
        <c:crossBetween val="midCat"/>
        <c:majorUnit val="1.0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KPI 3: Sicurezza dei servizi</a:t>
            </a:r>
          </a:p>
        </c:rich>
      </c:tx>
      <c:layout>
        <c:manualLayout>
          <c:xMode val="edge"/>
          <c:yMode val="edge"/>
          <c:x val="0.177122158623161"/>
          <c:y val="0.0428571428571429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21771437117009"/>
          <c:y val="0.271429833658081"/>
          <c:w val="0.776139310999409"/>
          <c:h val="0.39841469816273"/>
        </c:manualLayout>
      </c:layout>
      <c:pie3DChart>
        <c:varyColors val="1"/>
        <c:ser>
          <c:idx val="0"/>
          <c:order val="0"/>
          <c:tx>
            <c:v>KPI3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1"/>
              <c:layout>
                <c:manualLayout>
                  <c:x val="-0.093683163736214"/>
                  <c:y val="-0.10547460771728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Sintesi!$B$24:$B$27</c:f>
              <c:strCache>
                <c:ptCount val="4"/>
                <c:pt idx="0">
                  <c:v>Scarso</c:v>
                </c:pt>
                <c:pt idx="1">
                  <c:v>Basso</c:v>
                </c:pt>
                <c:pt idx="2">
                  <c:v>Medio</c:v>
                </c:pt>
                <c:pt idx="3">
                  <c:v>Alto</c:v>
                </c:pt>
              </c:strCache>
            </c:strRef>
          </c:cat>
          <c:val>
            <c:numRef>
              <c:f>Sintesi!$N$24:$N$27</c:f>
              <c:numCache>
                <c:formatCode>General</c:formatCode>
                <c:ptCount val="4"/>
                <c:pt idx="0">
                  <c:v>3.0</c:v>
                </c:pt>
                <c:pt idx="1">
                  <c:v>4.0</c:v>
                </c:pt>
                <c:pt idx="2">
                  <c:v>17.0</c:v>
                </c:pt>
                <c:pt idx="3">
                  <c:v>22.0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21771437117009"/>
          <c:y val="0.752384451192575"/>
          <c:w val="0.773632226962214"/>
          <c:h val="0.18396405131149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.0" l="0.75" r="0.75" t="1.0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KPI 2: Sicurezza dell'infrastruttura</a:t>
            </a:r>
          </a:p>
        </c:rich>
      </c:tx>
      <c:layout>
        <c:manualLayout>
          <c:xMode val="edge"/>
          <c:yMode val="edge"/>
          <c:x val="0.296704450405238"/>
          <c:y val="0.0287081339712919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3553519751316"/>
          <c:y val="0.277511961722488"/>
          <c:w val="0.769233520896008"/>
          <c:h val="0.397129186602871"/>
        </c:manualLayout>
      </c:layout>
      <c:pie3DChart>
        <c:varyColors val="1"/>
        <c:ser>
          <c:idx val="0"/>
          <c:order val="0"/>
          <c:tx>
            <c:v>KPI2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1"/>
              <c:layout>
                <c:manualLayout>
                  <c:x val="-0.034464922653899"/>
                  <c:y val="-0.033773625186803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0.105191274167652"/>
                  <c:y val="-0.074895327079330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Sintesi!$B$24:$B$27</c:f>
              <c:strCache>
                <c:ptCount val="4"/>
                <c:pt idx="0">
                  <c:v>Scarso</c:v>
                </c:pt>
                <c:pt idx="1">
                  <c:v>Basso</c:v>
                </c:pt>
                <c:pt idx="2">
                  <c:v>Medio</c:v>
                </c:pt>
                <c:pt idx="3">
                  <c:v>Alto</c:v>
                </c:pt>
              </c:strCache>
            </c:strRef>
          </c:cat>
          <c:val>
            <c:numRef>
              <c:f>Sintesi!$K$24:$K$27</c:f>
              <c:numCache>
                <c:formatCode>General</c:formatCode>
                <c:ptCount val="4"/>
                <c:pt idx="0">
                  <c:v>5.0</c:v>
                </c:pt>
                <c:pt idx="1">
                  <c:v>0.0</c:v>
                </c:pt>
                <c:pt idx="2">
                  <c:v>4.0</c:v>
                </c:pt>
                <c:pt idx="3">
                  <c:v>37.0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13553519751316"/>
          <c:y val="0.755980861244019"/>
          <c:w val="0.772896537662183"/>
          <c:h val="0.20095693779904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.0" l="0.75" r="0.75" t="1.0" header="0.5" footer="0.5"/>
    <c:pageSetup paperSize="9" orientation="landscape" horizontalDpi="1200" verticalDpi="12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KPI 1: Protezione Logica</a:t>
            </a:r>
          </a:p>
        </c:rich>
      </c:tx>
      <c:layout>
        <c:manualLayout>
          <c:xMode val="edge"/>
          <c:yMode val="edge"/>
          <c:x val="0.210909090909091"/>
          <c:y val="0.043478260869565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9090909090909"/>
          <c:y val="0.251208914595196"/>
          <c:w val="0.763636363636364"/>
          <c:h val="0.400968075219257"/>
        </c:manualLayout>
      </c:layout>
      <c:pie3DChart>
        <c:varyColors val="1"/>
        <c:ser>
          <c:idx val="0"/>
          <c:order val="0"/>
          <c:tx>
            <c:v>kpi1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2"/>
            <c:bubble3D val="0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Pt>
            <c:idx val="3"/>
            <c:bubble3D val="0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Sintesi!$B$24:$B$27</c:f>
              <c:strCache>
                <c:ptCount val="4"/>
                <c:pt idx="0">
                  <c:v>Scarso</c:v>
                </c:pt>
                <c:pt idx="1">
                  <c:v>Basso</c:v>
                </c:pt>
                <c:pt idx="2">
                  <c:v>Medio</c:v>
                </c:pt>
                <c:pt idx="3">
                  <c:v>Alto</c:v>
                </c:pt>
              </c:strCache>
            </c:strRef>
          </c:cat>
          <c:val>
            <c:numRef>
              <c:f>Sintesi!$H$24:$H$27</c:f>
              <c:numCache>
                <c:formatCode>General</c:formatCode>
                <c:ptCount val="4"/>
                <c:pt idx="0">
                  <c:v>1.0</c:v>
                </c:pt>
                <c:pt idx="1">
                  <c:v>1.0</c:v>
                </c:pt>
                <c:pt idx="2">
                  <c:v>12.0</c:v>
                </c:pt>
                <c:pt idx="3">
                  <c:v>32.0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9090909090909"/>
          <c:y val="0.763288625116174"/>
          <c:w val="0.774545454545456"/>
          <c:h val="0.19323762661168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.0" l="0.75" r="0.75" t="1.0" header="0.5" footer="0.5"/>
    <c:pageSetup paperSize="9" orientation="landscape" horizontalDpi="1200" verticalDpi="120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37"/>
      <c:rotY val="20"/>
      <c:depthPercent val="100"/>
      <c:rAngAx val="1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0686150362178344"/>
          <c:y val="0.133928960684526"/>
          <c:w val="0.908513905476881"/>
          <c:h val="0.51488244885384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Sintesi!$AO$79</c:f>
              <c:strCache>
                <c:ptCount val="1"/>
                <c:pt idx="0">
                  <c:v>Scarso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Sintesi!$AN$80:$AN$83</c:f>
              <c:strCache>
                <c:ptCount val="4"/>
                <c:pt idx="0">
                  <c:v>KPI 1</c:v>
                </c:pt>
                <c:pt idx="1">
                  <c:v>KPI 2</c:v>
                </c:pt>
                <c:pt idx="2">
                  <c:v>KPI 3</c:v>
                </c:pt>
                <c:pt idx="3">
                  <c:v>KPI 4</c:v>
                </c:pt>
              </c:strCache>
            </c:strRef>
          </c:cat>
          <c:val>
            <c:numRef>
              <c:f>Sintesi!$AO$80:$AO$83</c:f>
              <c:numCache>
                <c:formatCode>General</c:formatCode>
                <c:ptCount val="4"/>
                <c:pt idx="0">
                  <c:v>1.0</c:v>
                </c:pt>
                <c:pt idx="1">
                  <c:v>5.0</c:v>
                </c:pt>
                <c:pt idx="2">
                  <c:v>3.0</c:v>
                </c:pt>
                <c:pt idx="3">
                  <c:v>7.0</c:v>
                </c:pt>
              </c:numCache>
            </c:numRef>
          </c:val>
        </c:ser>
        <c:ser>
          <c:idx val="1"/>
          <c:order val="1"/>
          <c:tx>
            <c:strRef>
              <c:f>Sintesi!$AP$79</c:f>
              <c:strCache>
                <c:ptCount val="1"/>
                <c:pt idx="0">
                  <c:v>Basso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Sintesi!$AN$80:$AN$83</c:f>
              <c:strCache>
                <c:ptCount val="4"/>
                <c:pt idx="0">
                  <c:v>KPI 1</c:v>
                </c:pt>
                <c:pt idx="1">
                  <c:v>KPI 2</c:v>
                </c:pt>
                <c:pt idx="2">
                  <c:v>KPI 3</c:v>
                </c:pt>
                <c:pt idx="3">
                  <c:v>KPI 4</c:v>
                </c:pt>
              </c:strCache>
            </c:strRef>
          </c:cat>
          <c:val>
            <c:numRef>
              <c:f>Sintesi!$AP$80:$AP$83</c:f>
              <c:numCache>
                <c:formatCode>General</c:formatCode>
                <c:ptCount val="4"/>
                <c:pt idx="0">
                  <c:v>1.0</c:v>
                </c:pt>
                <c:pt idx="1">
                  <c:v>0.0</c:v>
                </c:pt>
                <c:pt idx="2">
                  <c:v>4.0</c:v>
                </c:pt>
                <c:pt idx="3">
                  <c:v>5.0</c:v>
                </c:pt>
              </c:numCache>
            </c:numRef>
          </c:val>
        </c:ser>
        <c:ser>
          <c:idx val="2"/>
          <c:order val="2"/>
          <c:tx>
            <c:strRef>
              <c:f>Sintesi!$AQ$79</c:f>
              <c:strCache>
                <c:ptCount val="1"/>
                <c:pt idx="0">
                  <c:v>Medio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Sintesi!$AN$80:$AN$83</c:f>
              <c:strCache>
                <c:ptCount val="4"/>
                <c:pt idx="0">
                  <c:v>KPI 1</c:v>
                </c:pt>
                <c:pt idx="1">
                  <c:v>KPI 2</c:v>
                </c:pt>
                <c:pt idx="2">
                  <c:v>KPI 3</c:v>
                </c:pt>
                <c:pt idx="3">
                  <c:v>KPI 4</c:v>
                </c:pt>
              </c:strCache>
            </c:strRef>
          </c:cat>
          <c:val>
            <c:numRef>
              <c:f>Sintesi!$AQ$80:$AQ$83</c:f>
              <c:numCache>
                <c:formatCode>General</c:formatCode>
                <c:ptCount val="4"/>
                <c:pt idx="0">
                  <c:v>12.0</c:v>
                </c:pt>
                <c:pt idx="1">
                  <c:v>4.0</c:v>
                </c:pt>
                <c:pt idx="2">
                  <c:v>17.0</c:v>
                </c:pt>
                <c:pt idx="3">
                  <c:v>13.0</c:v>
                </c:pt>
              </c:numCache>
            </c:numRef>
          </c:val>
        </c:ser>
        <c:ser>
          <c:idx val="3"/>
          <c:order val="3"/>
          <c:tx>
            <c:strRef>
              <c:f>Sintesi!$AR$79</c:f>
              <c:strCache>
                <c:ptCount val="1"/>
                <c:pt idx="0">
                  <c:v>Alto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1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Sintesi!$AN$80:$AN$83</c:f>
              <c:strCache>
                <c:ptCount val="4"/>
                <c:pt idx="0">
                  <c:v>KPI 1</c:v>
                </c:pt>
                <c:pt idx="1">
                  <c:v>KPI 2</c:v>
                </c:pt>
                <c:pt idx="2">
                  <c:v>KPI 3</c:v>
                </c:pt>
                <c:pt idx="3">
                  <c:v>KPI 4</c:v>
                </c:pt>
              </c:strCache>
            </c:strRef>
          </c:cat>
          <c:val>
            <c:numRef>
              <c:f>Sintesi!$AR$80:$AR$83</c:f>
              <c:numCache>
                <c:formatCode>General</c:formatCode>
                <c:ptCount val="4"/>
                <c:pt idx="0">
                  <c:v>32.0</c:v>
                </c:pt>
                <c:pt idx="1">
                  <c:v>37.0</c:v>
                </c:pt>
                <c:pt idx="2">
                  <c:v>22.0</c:v>
                </c:pt>
                <c:pt idx="3">
                  <c:v>21.0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56061560"/>
        <c:axId val="656064904"/>
        <c:axId val="0"/>
      </c:bar3DChart>
      <c:catAx>
        <c:axId val="656061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656064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60649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65606156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12579609436801"/>
          <c:y val="0.785716569349215"/>
          <c:w val="0.423126056676645"/>
          <c:h val="0.1309527615582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.0" l="0.75" r="0.75" t="1.0" header="0.5" footer="0.5"/>
    <c:pageSetup paperSize="9" orientation="landscape" horizontalDpi="1200" verticalDpi="12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KPI 4:Organizzazione per la sicurezza</a:t>
            </a:r>
          </a:p>
        </c:rich>
      </c:tx>
      <c:layout>
        <c:manualLayout>
          <c:xMode val="edge"/>
          <c:yMode val="edge"/>
          <c:x val="0.204167541557305"/>
          <c:y val="0.028571428571428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9167192249317"/>
          <c:y val="0.33333488343975"/>
          <c:w val="0.787503204358742"/>
          <c:h val="0.442859202284237"/>
        </c:manualLayout>
      </c:layout>
      <c:barChart>
        <c:barDir val="col"/>
        <c:grouping val="clustered"/>
        <c:varyColors val="0"/>
        <c:ser>
          <c:idx val="0"/>
          <c:order val="0"/>
          <c:tx>
            <c:v>KPI4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Sintesi!$B$24:$B$27</c:f>
              <c:strCache>
                <c:ptCount val="4"/>
                <c:pt idx="0">
                  <c:v>Scarso</c:v>
                </c:pt>
                <c:pt idx="1">
                  <c:v>Basso</c:v>
                </c:pt>
                <c:pt idx="2">
                  <c:v>Medio</c:v>
                </c:pt>
                <c:pt idx="3">
                  <c:v>Alto</c:v>
                </c:pt>
              </c:strCache>
            </c:strRef>
          </c:cat>
          <c:val>
            <c:numRef>
              <c:f>Sintesi!$Q$24:$Q$27</c:f>
              <c:numCache>
                <c:formatCode>General</c:formatCode>
                <c:ptCount val="4"/>
                <c:pt idx="0">
                  <c:v>7.0</c:v>
                </c:pt>
                <c:pt idx="1">
                  <c:v>5.0</c:v>
                </c:pt>
                <c:pt idx="2">
                  <c:v>13.0</c:v>
                </c:pt>
                <c:pt idx="3">
                  <c:v>21.0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656086200"/>
        <c:axId val="656095256"/>
      </c:barChart>
      <c:catAx>
        <c:axId val="656086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656095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60952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65608620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KPI 3: Sicurezza dei servizi</a:t>
            </a:r>
          </a:p>
        </c:rich>
      </c:tx>
      <c:layout>
        <c:manualLayout>
          <c:xMode val="edge"/>
          <c:yMode val="edge"/>
          <c:x val="0.176471029356625"/>
          <c:y val="0.0412844036697248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848989481416"/>
          <c:y val="0.293577981651376"/>
          <c:w val="0.802522654860357"/>
          <c:h val="0.495412844036697"/>
        </c:manualLayout>
      </c:layout>
      <c:barChart>
        <c:barDir val="col"/>
        <c:grouping val="clustered"/>
        <c:varyColors val="0"/>
        <c:ser>
          <c:idx val="0"/>
          <c:order val="0"/>
          <c:tx>
            <c:v>KPI3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Sintesi!$B$24:$B$27</c:f>
              <c:strCache>
                <c:ptCount val="4"/>
                <c:pt idx="0">
                  <c:v>Scarso</c:v>
                </c:pt>
                <c:pt idx="1">
                  <c:v>Basso</c:v>
                </c:pt>
                <c:pt idx="2">
                  <c:v>Medio</c:v>
                </c:pt>
                <c:pt idx="3">
                  <c:v>Alto</c:v>
                </c:pt>
              </c:strCache>
            </c:strRef>
          </c:cat>
          <c:val>
            <c:numRef>
              <c:f>Sintesi!$N$24:$N$27</c:f>
              <c:numCache>
                <c:formatCode>General</c:formatCode>
                <c:ptCount val="4"/>
                <c:pt idx="0">
                  <c:v>3.0</c:v>
                </c:pt>
                <c:pt idx="1">
                  <c:v>4.0</c:v>
                </c:pt>
                <c:pt idx="2">
                  <c:v>17.0</c:v>
                </c:pt>
                <c:pt idx="3">
                  <c:v>22.0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656123608"/>
        <c:axId val="656132712"/>
      </c:barChart>
      <c:catAx>
        <c:axId val="656123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656132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61327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65612360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.0" l="0.75" r="0.75" t="1.0" header="0.5" footer="0.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KPI 2: Sicurezza dell'infrastruttura</a:t>
            </a:r>
          </a:p>
        </c:rich>
      </c:tx>
      <c:layout>
        <c:manualLayout>
          <c:xMode val="edge"/>
          <c:yMode val="edge"/>
          <c:x val="0.28205262803688"/>
          <c:y val="0.0229357798165138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5299751684995"/>
          <c:y val="0.394495412844037"/>
          <c:w val="0.752139891075267"/>
          <c:h val="0.385321100917432"/>
        </c:manualLayout>
      </c:layout>
      <c:barChart>
        <c:barDir val="col"/>
        <c:grouping val="clustered"/>
        <c:varyColors val="0"/>
        <c:ser>
          <c:idx val="0"/>
          <c:order val="0"/>
          <c:tx>
            <c:v>KPI2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Sintesi!$B$24:$B$27</c:f>
              <c:strCache>
                <c:ptCount val="4"/>
                <c:pt idx="0">
                  <c:v>Scarso</c:v>
                </c:pt>
                <c:pt idx="1">
                  <c:v>Basso</c:v>
                </c:pt>
                <c:pt idx="2">
                  <c:v>Medio</c:v>
                </c:pt>
                <c:pt idx="3">
                  <c:v>Alto</c:v>
                </c:pt>
              </c:strCache>
            </c:strRef>
          </c:cat>
          <c:val>
            <c:numRef>
              <c:f>Sintesi!$K$24:$K$27</c:f>
              <c:numCache>
                <c:formatCode>General</c:formatCode>
                <c:ptCount val="4"/>
                <c:pt idx="0">
                  <c:v>5.0</c:v>
                </c:pt>
                <c:pt idx="1">
                  <c:v>0.0</c:v>
                </c:pt>
                <c:pt idx="2">
                  <c:v>4.0</c:v>
                </c:pt>
                <c:pt idx="3">
                  <c:v>37.0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646527672"/>
        <c:axId val="646537544"/>
      </c:barChart>
      <c:catAx>
        <c:axId val="646527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646537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65375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64652767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.0" l="0.75" r="0.75" t="1.0" header="0.5" footer="0.5"/>
    <c:pageSetup paperSize="9" orientation="landscape" horizontalDpi="1200" verticalDpi="12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it-IT"/>
              <a:t>KPI 1: Protezione Logica</a:t>
            </a:r>
          </a:p>
        </c:rich>
      </c:tx>
      <c:layout>
        <c:manualLayout>
          <c:xMode val="edge"/>
          <c:yMode val="edge"/>
          <c:x val="0.211618692891604"/>
          <c:y val="0.043478260869565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2780352008947"/>
          <c:y val="0.256039855260489"/>
          <c:w val="0.800831498053962"/>
          <c:h val="0.512079710520978"/>
        </c:manualLayout>
      </c:layout>
      <c:barChart>
        <c:barDir val="col"/>
        <c:grouping val="clustered"/>
        <c:varyColors val="0"/>
        <c:ser>
          <c:idx val="0"/>
          <c:order val="0"/>
          <c:tx>
            <c:v>kpi1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Sintesi!$B$24:$B$27</c:f>
              <c:strCache>
                <c:ptCount val="4"/>
                <c:pt idx="0">
                  <c:v>Scarso</c:v>
                </c:pt>
                <c:pt idx="1">
                  <c:v>Basso</c:v>
                </c:pt>
                <c:pt idx="2">
                  <c:v>Medio</c:v>
                </c:pt>
                <c:pt idx="3">
                  <c:v>Alto</c:v>
                </c:pt>
              </c:strCache>
            </c:strRef>
          </c:cat>
          <c:val>
            <c:numRef>
              <c:f>Sintesi!$H$24:$H$27</c:f>
              <c:numCache>
                <c:formatCode>General</c:formatCode>
                <c:ptCount val="4"/>
                <c:pt idx="0">
                  <c:v>1.0</c:v>
                </c:pt>
                <c:pt idx="1">
                  <c:v>1.0</c:v>
                </c:pt>
                <c:pt idx="2">
                  <c:v>12.0</c:v>
                </c:pt>
                <c:pt idx="3">
                  <c:v>32.0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646576040"/>
        <c:axId val="646585240"/>
      </c:barChart>
      <c:catAx>
        <c:axId val="646576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646585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65852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it-IT"/>
          </a:p>
        </c:txPr>
        <c:crossAx val="6465760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it-IT"/>
    </a:p>
  </c:txPr>
  <c:printSettings>
    <c:headerFooter alignWithMargins="0"/>
    <c:pageMargins b="1.0" l="0.75" r="0.75" t="1.0" header="0.5" footer="0.5"/>
    <c:pageSetup paperSize="9" orientation="landscape" horizontalDpi="1200" verticalDpi="12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000"/>
            </a:pPr>
            <a:r>
              <a:rPr lang="it-IT"/>
              <a:t>Quesiti relativi al KPI1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97344871794875"/>
          <c:y val="0.303165"/>
          <c:w val="0.414015384615385"/>
          <c:h val="0.53822"/>
        </c:manualLayout>
      </c:layout>
      <c:radarChart>
        <c:radarStyle val="filled"/>
        <c:varyColors val="0"/>
        <c:ser>
          <c:idx val="0"/>
          <c:order val="0"/>
          <c:dLbls>
            <c:delete val="1"/>
          </c:dLbls>
          <c:cat>
            <c:strRef>
              <c:f>Sintesi!$C$83:$L$83</c:f>
              <c:strCache>
                <c:ptCount val="10"/>
                <c:pt idx="0">
                  <c:v>KPI 1.1</c:v>
                </c:pt>
                <c:pt idx="1">
                  <c:v>KPI 1.2</c:v>
                </c:pt>
                <c:pt idx="2">
                  <c:v>KPI 1.3</c:v>
                </c:pt>
                <c:pt idx="3">
                  <c:v>KPI 1.3a</c:v>
                </c:pt>
                <c:pt idx="4">
                  <c:v>KPI 1.4</c:v>
                </c:pt>
                <c:pt idx="5">
                  <c:v>KPI 1.5</c:v>
                </c:pt>
                <c:pt idx="6">
                  <c:v>KPI 1.6</c:v>
                </c:pt>
                <c:pt idx="7">
                  <c:v>KPI 1.7</c:v>
                </c:pt>
                <c:pt idx="8">
                  <c:v>KPI 1.8</c:v>
                </c:pt>
                <c:pt idx="9">
                  <c:v>KPI 1.9</c:v>
                </c:pt>
              </c:strCache>
            </c:strRef>
          </c:cat>
          <c:val>
            <c:numRef>
              <c:f>Sintesi!$C$84:$L$84</c:f>
              <c:numCache>
                <c:formatCode>0.00</c:formatCode>
                <c:ptCount val="10"/>
                <c:pt idx="0">
                  <c:v>6.782608695652173</c:v>
                </c:pt>
                <c:pt idx="1">
                  <c:v>9.130434782608695</c:v>
                </c:pt>
                <c:pt idx="2">
                  <c:v>7.173913043478261</c:v>
                </c:pt>
                <c:pt idx="3">
                  <c:v>4.695652173913044</c:v>
                </c:pt>
                <c:pt idx="4">
                  <c:v>9.304347826086956</c:v>
                </c:pt>
                <c:pt idx="5">
                  <c:v>7.869565217391305</c:v>
                </c:pt>
                <c:pt idx="6">
                  <c:v>6.956521739130434</c:v>
                </c:pt>
                <c:pt idx="7">
                  <c:v>4.956521739130434</c:v>
                </c:pt>
                <c:pt idx="8">
                  <c:v>8.956521739130435</c:v>
                </c:pt>
                <c:pt idx="9">
                  <c:v>8.478260869565216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646627864"/>
        <c:axId val="646630872"/>
      </c:radarChart>
      <c:catAx>
        <c:axId val="646627864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it-IT"/>
          </a:p>
        </c:txPr>
        <c:crossAx val="646630872"/>
        <c:crosses val="autoZero"/>
        <c:auto val="0"/>
        <c:lblAlgn val="ctr"/>
        <c:lblOffset val="100"/>
        <c:noMultiLvlLbl val="0"/>
      </c:catAx>
      <c:valAx>
        <c:axId val="646630872"/>
        <c:scaling>
          <c:orientation val="minMax"/>
          <c:max val="10.0"/>
        </c:scaling>
        <c:delete val="0"/>
        <c:axPos val="l"/>
        <c:majorGridlines/>
        <c:numFmt formatCode="0" sourceLinked="0"/>
        <c:majorTickMark val="none"/>
        <c:minorTickMark val="none"/>
        <c:tickLblPos val="nextTo"/>
        <c:txPr>
          <a:bodyPr rot="0" vert="horz"/>
          <a:lstStyle/>
          <a:p>
            <a:pPr>
              <a:defRPr i="1">
                <a:solidFill>
                  <a:srgbClr val="FF0000"/>
                </a:solidFill>
              </a:defRPr>
            </a:pPr>
            <a:endParaRPr lang="it-IT"/>
          </a:p>
        </c:txPr>
        <c:crossAx val="646627864"/>
        <c:crosses val="autoZero"/>
        <c:crossBetween val="between"/>
        <c:majorUnit val="2.0"/>
        <c:minorUnit val="1.0"/>
      </c:valAx>
    </c:plotArea>
    <c:plotVisOnly val="1"/>
    <c:dispBlanksAs val="gap"/>
    <c:showDLblsOverMax val="0"/>
  </c:chart>
  <c:printSettings>
    <c:headerFooter alignWithMargins="0"/>
    <c:pageMargins b="1.0" l="0.750000000000002" r="0.750000000000002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000"/>
            </a:pPr>
            <a:r>
              <a:rPr lang="it-IT"/>
              <a:t>Quesiti relativi al KPI2
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97344871794875"/>
          <c:y val="0.303165"/>
          <c:w val="0.414015384615385"/>
          <c:h val="0.53822"/>
        </c:manualLayout>
      </c:layout>
      <c:radarChart>
        <c:radarStyle val="filled"/>
        <c:varyColors val="0"/>
        <c:ser>
          <c:idx val="0"/>
          <c:order val="0"/>
          <c:dLbls>
            <c:delete val="1"/>
          </c:dLbls>
          <c:cat>
            <c:strRef>
              <c:f>Sintesi!$C$85:$K$85</c:f>
              <c:strCache>
                <c:ptCount val="9"/>
                <c:pt idx="0">
                  <c:v>KPI 2.1</c:v>
                </c:pt>
                <c:pt idx="1">
                  <c:v>KPI 2.2</c:v>
                </c:pt>
                <c:pt idx="2">
                  <c:v>KPI 2.3</c:v>
                </c:pt>
                <c:pt idx="3">
                  <c:v>KPI 2.4</c:v>
                </c:pt>
                <c:pt idx="4">
                  <c:v>KPI 2.5</c:v>
                </c:pt>
                <c:pt idx="5">
                  <c:v>KPI 2.6</c:v>
                </c:pt>
                <c:pt idx="6">
                  <c:v>KPI 2.7</c:v>
                </c:pt>
                <c:pt idx="7">
                  <c:v>KPI 2.8</c:v>
                </c:pt>
                <c:pt idx="8">
                  <c:v>KPI 2.9</c:v>
                </c:pt>
              </c:strCache>
            </c:strRef>
          </c:cat>
          <c:val>
            <c:numRef>
              <c:f>Sintesi!$C$86:$K$86</c:f>
              <c:numCache>
                <c:formatCode>0.00</c:formatCode>
                <c:ptCount val="9"/>
                <c:pt idx="0">
                  <c:v>9.130434782608695</c:v>
                </c:pt>
                <c:pt idx="1">
                  <c:v>8.91304347826087</c:v>
                </c:pt>
                <c:pt idx="2">
                  <c:v>6.956521739130434</c:v>
                </c:pt>
                <c:pt idx="3">
                  <c:v>7.717391304347826</c:v>
                </c:pt>
                <c:pt idx="4">
                  <c:v>5.565217391304347</c:v>
                </c:pt>
                <c:pt idx="5">
                  <c:v>7.782608695652173</c:v>
                </c:pt>
                <c:pt idx="6">
                  <c:v>9.217391304347826</c:v>
                </c:pt>
                <c:pt idx="7">
                  <c:v>7.391304347826087</c:v>
                </c:pt>
                <c:pt idx="8">
                  <c:v>8.956521739130435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646667336"/>
        <c:axId val="646670344"/>
      </c:radarChart>
      <c:catAx>
        <c:axId val="646667336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it-IT"/>
          </a:p>
        </c:txPr>
        <c:crossAx val="646670344"/>
        <c:crosses val="autoZero"/>
        <c:auto val="0"/>
        <c:lblAlgn val="ctr"/>
        <c:lblOffset val="100"/>
        <c:noMultiLvlLbl val="0"/>
      </c:catAx>
      <c:valAx>
        <c:axId val="646670344"/>
        <c:scaling>
          <c:orientation val="minMax"/>
          <c:max val="10.0"/>
        </c:scaling>
        <c:delete val="0"/>
        <c:axPos val="l"/>
        <c:majorGridlines/>
        <c:numFmt formatCode="0" sourceLinked="0"/>
        <c:majorTickMark val="none"/>
        <c:minorTickMark val="none"/>
        <c:tickLblPos val="nextTo"/>
        <c:txPr>
          <a:bodyPr rot="0" vert="horz"/>
          <a:lstStyle/>
          <a:p>
            <a:pPr>
              <a:defRPr i="1">
                <a:solidFill>
                  <a:srgbClr val="FF0000"/>
                </a:solidFill>
              </a:defRPr>
            </a:pPr>
            <a:endParaRPr lang="it-IT"/>
          </a:p>
        </c:txPr>
        <c:crossAx val="646667336"/>
        <c:crosses val="autoZero"/>
        <c:crossBetween val="between"/>
        <c:majorUnit val="2.0"/>
        <c:minorUnit val="1.0"/>
      </c:valAx>
    </c:plotArea>
    <c:plotVisOnly val="1"/>
    <c:dispBlanksAs val="gap"/>
    <c:showDLblsOverMax val="0"/>
  </c:chart>
  <c:printSettings>
    <c:headerFooter alignWithMargins="0"/>
    <c:pageMargins b="1.0" l="0.750000000000002" r="0.750000000000002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000"/>
            </a:pPr>
            <a:r>
              <a:rPr lang="it-IT"/>
              <a:t>Quesiti relativi al KPI3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97344871794875"/>
          <c:y val="0.303165"/>
          <c:w val="0.414015384615385"/>
          <c:h val="0.53822"/>
        </c:manualLayout>
      </c:layout>
      <c:radarChart>
        <c:radarStyle val="filled"/>
        <c:varyColors val="0"/>
        <c:ser>
          <c:idx val="0"/>
          <c:order val="0"/>
          <c:dLbls>
            <c:delete val="1"/>
          </c:dLbls>
          <c:cat>
            <c:strRef>
              <c:f>Sintesi!$C$87:$K$87</c:f>
              <c:strCache>
                <c:ptCount val="9"/>
                <c:pt idx="0">
                  <c:v>KPI 3.1</c:v>
                </c:pt>
                <c:pt idx="1">
                  <c:v>KPI 3.2</c:v>
                </c:pt>
                <c:pt idx="2">
                  <c:v>KPI 3.3</c:v>
                </c:pt>
                <c:pt idx="3">
                  <c:v>KPI 3.4</c:v>
                </c:pt>
                <c:pt idx="4">
                  <c:v>KPI 3.5</c:v>
                </c:pt>
                <c:pt idx="5">
                  <c:v>KPI 3.6</c:v>
                </c:pt>
                <c:pt idx="6">
                  <c:v>KPI 3.7</c:v>
                </c:pt>
                <c:pt idx="7">
                  <c:v>KPI 3.8</c:v>
                </c:pt>
                <c:pt idx="8">
                  <c:v>KPI 3.9</c:v>
                </c:pt>
              </c:strCache>
            </c:strRef>
          </c:cat>
          <c:val>
            <c:numRef>
              <c:f>Sintesi!$C$88:$K$88</c:f>
              <c:numCache>
                <c:formatCode>0.00</c:formatCode>
                <c:ptCount val="9"/>
                <c:pt idx="0">
                  <c:v>4.347826086956521</c:v>
                </c:pt>
                <c:pt idx="1">
                  <c:v>5.304347826086956</c:v>
                </c:pt>
                <c:pt idx="2">
                  <c:v>4.0</c:v>
                </c:pt>
                <c:pt idx="3">
                  <c:v>6.521739130434782</c:v>
                </c:pt>
                <c:pt idx="4">
                  <c:v>8.043478260869565</c:v>
                </c:pt>
                <c:pt idx="5">
                  <c:v>7.826086956521739</c:v>
                </c:pt>
                <c:pt idx="6">
                  <c:v>8.478260869565216</c:v>
                </c:pt>
                <c:pt idx="7">
                  <c:v>9.347826086956521</c:v>
                </c:pt>
                <c:pt idx="8">
                  <c:v>8.0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646706216"/>
        <c:axId val="646709224"/>
      </c:radarChart>
      <c:catAx>
        <c:axId val="646706216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it-IT"/>
          </a:p>
        </c:txPr>
        <c:crossAx val="646709224"/>
        <c:crosses val="autoZero"/>
        <c:auto val="0"/>
        <c:lblAlgn val="ctr"/>
        <c:lblOffset val="100"/>
        <c:noMultiLvlLbl val="0"/>
      </c:catAx>
      <c:valAx>
        <c:axId val="646709224"/>
        <c:scaling>
          <c:orientation val="minMax"/>
          <c:max val="10.0"/>
        </c:scaling>
        <c:delete val="0"/>
        <c:axPos val="l"/>
        <c:majorGridlines/>
        <c:numFmt formatCode="0" sourceLinked="0"/>
        <c:majorTickMark val="none"/>
        <c:minorTickMark val="none"/>
        <c:tickLblPos val="nextTo"/>
        <c:txPr>
          <a:bodyPr rot="0" vert="horz"/>
          <a:lstStyle/>
          <a:p>
            <a:pPr>
              <a:defRPr i="1">
                <a:solidFill>
                  <a:srgbClr val="FF0000"/>
                </a:solidFill>
              </a:defRPr>
            </a:pPr>
            <a:endParaRPr lang="it-IT"/>
          </a:p>
        </c:txPr>
        <c:crossAx val="646706216"/>
        <c:crosses val="autoZero"/>
        <c:crossBetween val="between"/>
        <c:majorUnit val="2.0"/>
        <c:minorUnit val="1.0"/>
      </c:valAx>
    </c:plotArea>
    <c:plotVisOnly val="1"/>
    <c:dispBlanksAs val="gap"/>
    <c:showDLblsOverMax val="0"/>
  </c:chart>
  <c:printSettings>
    <c:headerFooter alignWithMargins="0"/>
    <c:pageMargins b="1.0" l="0.750000000000002" r="0.750000000000002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000"/>
            </a:pPr>
            <a:r>
              <a:rPr lang="it-IT"/>
              <a:t>Quesiti relativi al KPI4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297344871794875"/>
          <c:y val="0.303165"/>
          <c:w val="0.414015384615385"/>
          <c:h val="0.53822"/>
        </c:manualLayout>
      </c:layout>
      <c:radarChart>
        <c:radarStyle val="filled"/>
        <c:varyColors val="0"/>
        <c:ser>
          <c:idx val="0"/>
          <c:order val="0"/>
          <c:dLbls>
            <c:delete val="1"/>
          </c:dLbls>
          <c:cat>
            <c:strRef>
              <c:f>Sintesi!$C$89:$O$89</c:f>
              <c:strCache>
                <c:ptCount val="13"/>
                <c:pt idx="0">
                  <c:v>KPI 4.1</c:v>
                </c:pt>
                <c:pt idx="1">
                  <c:v>KPI 4.2</c:v>
                </c:pt>
                <c:pt idx="2">
                  <c:v>KPI 4.3</c:v>
                </c:pt>
                <c:pt idx="3">
                  <c:v>KPI 4.4</c:v>
                </c:pt>
                <c:pt idx="4">
                  <c:v>KPI 4.5</c:v>
                </c:pt>
                <c:pt idx="5">
                  <c:v>KPI 4.6</c:v>
                </c:pt>
                <c:pt idx="6">
                  <c:v>KPI 4.7</c:v>
                </c:pt>
                <c:pt idx="7">
                  <c:v>KPI 4.8</c:v>
                </c:pt>
                <c:pt idx="8">
                  <c:v>KPI 4.9</c:v>
                </c:pt>
                <c:pt idx="9">
                  <c:v>KPI 4.10</c:v>
                </c:pt>
                <c:pt idx="10">
                  <c:v>KPI 4.11</c:v>
                </c:pt>
                <c:pt idx="11">
                  <c:v>KPI 4.12</c:v>
                </c:pt>
                <c:pt idx="12">
                  <c:v>KPI 4.13</c:v>
                </c:pt>
              </c:strCache>
            </c:strRef>
          </c:cat>
          <c:val>
            <c:numRef>
              <c:f>Sintesi!$C$90:$O$90</c:f>
              <c:numCache>
                <c:formatCode>0.00</c:formatCode>
                <c:ptCount val="13"/>
                <c:pt idx="0">
                  <c:v>5.434782608695652</c:v>
                </c:pt>
                <c:pt idx="1">
                  <c:v>6.304347826086956</c:v>
                </c:pt>
                <c:pt idx="2">
                  <c:v>4.347826086956521</c:v>
                </c:pt>
                <c:pt idx="3">
                  <c:v>6.956521739130434</c:v>
                </c:pt>
                <c:pt idx="4">
                  <c:v>6.521739130434782</c:v>
                </c:pt>
                <c:pt idx="5">
                  <c:v>7.608695652173913</c:v>
                </c:pt>
                <c:pt idx="6">
                  <c:v>7.826086956521739</c:v>
                </c:pt>
                <c:pt idx="7">
                  <c:v>7.521739130434782</c:v>
                </c:pt>
                <c:pt idx="8">
                  <c:v>8.043478260869565</c:v>
                </c:pt>
                <c:pt idx="9">
                  <c:v>2.782608695652174</c:v>
                </c:pt>
                <c:pt idx="10">
                  <c:v>5.739130434782608</c:v>
                </c:pt>
                <c:pt idx="11">
                  <c:v>6.739130434782608</c:v>
                </c:pt>
                <c:pt idx="12">
                  <c:v>3.91304347826087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646744424"/>
        <c:axId val="646747496"/>
      </c:radarChart>
      <c:catAx>
        <c:axId val="646744424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900"/>
            </a:pPr>
            <a:endParaRPr lang="it-IT"/>
          </a:p>
        </c:txPr>
        <c:crossAx val="646747496"/>
        <c:crosses val="autoZero"/>
        <c:auto val="0"/>
        <c:lblAlgn val="ctr"/>
        <c:lblOffset val="100"/>
        <c:noMultiLvlLbl val="0"/>
      </c:catAx>
      <c:valAx>
        <c:axId val="646747496"/>
        <c:scaling>
          <c:orientation val="minMax"/>
          <c:max val="10.0"/>
        </c:scaling>
        <c:delete val="0"/>
        <c:axPos val="l"/>
        <c:majorGridlines/>
        <c:numFmt formatCode="0" sourceLinked="0"/>
        <c:majorTickMark val="none"/>
        <c:minorTickMark val="none"/>
        <c:tickLblPos val="nextTo"/>
        <c:txPr>
          <a:bodyPr rot="0" vert="horz"/>
          <a:lstStyle/>
          <a:p>
            <a:pPr>
              <a:defRPr i="1">
                <a:solidFill>
                  <a:srgbClr val="FF0000"/>
                </a:solidFill>
              </a:defRPr>
            </a:pPr>
            <a:endParaRPr lang="it-IT"/>
          </a:p>
        </c:txPr>
        <c:crossAx val="646744424"/>
        <c:crosses val="autoZero"/>
        <c:crossBetween val="between"/>
        <c:majorUnit val="2.0"/>
        <c:minorUnit val="1.0"/>
      </c:valAx>
    </c:plotArea>
    <c:plotVisOnly val="1"/>
    <c:dispBlanksAs val="gap"/>
    <c:showDLblsOverMax val="0"/>
  </c:chart>
  <c:printSettings>
    <c:headerFooter alignWithMargins="0"/>
    <c:pageMargins b="1.0" l="0.750000000000002" r="0.750000000000002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100"/>
            </a:pPr>
            <a:r>
              <a:rPr lang="it-IT" sz="1100"/>
              <a:t>KPI 4:Organizzazione per la sicurezza</a:t>
            </a:r>
          </a:p>
        </c:rich>
      </c:tx>
      <c:layout>
        <c:manualLayout>
          <c:xMode val="edge"/>
          <c:yMode val="edge"/>
          <c:x val="0.180882039573821"/>
          <c:y val="0.0428569151924954"/>
        </c:manualLayout>
      </c:layout>
      <c:overlay val="0"/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0724885844748859"/>
          <c:y val="0.298663580246914"/>
          <c:w val="0.86704299847793"/>
          <c:h val="0.455138374485597"/>
        </c:manualLayout>
      </c:layout>
      <c:pie3DChart>
        <c:varyColors val="1"/>
        <c:ser>
          <c:idx val="0"/>
          <c:order val="0"/>
          <c:explosion val="8"/>
          <c:dLbls>
            <c:dLbl>
              <c:idx val="0"/>
              <c:layout>
                <c:manualLayout>
                  <c:x val="-0.19450768992967"/>
                  <c:y val="-0.0880136779662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0.0145633356519051"/>
                  <c:y val="0.044069250231336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0.0239933534276219"/>
                  <c:y val="0.025040037621776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.0344562404870625"/>
                  <c:y val="-0.11612602880658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txPr>
              <a:bodyPr/>
              <a:lstStyle/>
              <a:p>
                <a:pPr>
                  <a:defRPr sz="1200"/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Sintesi!$B$24:$B$27</c:f>
              <c:strCache>
                <c:ptCount val="4"/>
                <c:pt idx="0">
                  <c:v>Scarso</c:v>
                </c:pt>
                <c:pt idx="1">
                  <c:v>Basso</c:v>
                </c:pt>
                <c:pt idx="2">
                  <c:v>Medio</c:v>
                </c:pt>
                <c:pt idx="3">
                  <c:v>Alto</c:v>
                </c:pt>
              </c:strCache>
            </c:strRef>
          </c:cat>
          <c:val>
            <c:numRef>
              <c:f>Sintesi!$Q$24:$Q$27</c:f>
              <c:numCache>
                <c:formatCode>General</c:formatCode>
                <c:ptCount val="4"/>
                <c:pt idx="0">
                  <c:v>7.0</c:v>
                </c:pt>
                <c:pt idx="1">
                  <c:v>5.0</c:v>
                </c:pt>
                <c:pt idx="2">
                  <c:v>13.0</c:v>
                </c:pt>
                <c:pt idx="3">
                  <c:v>21.0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legend>
      <c:legendPos val="r"/>
      <c:layout>
        <c:manualLayout>
          <c:xMode val="edge"/>
          <c:yMode val="edge"/>
          <c:x val="2.52136752136766E-5"/>
          <c:y val="0.81692695473251"/>
          <c:w val="0.98240811965812"/>
          <c:h val="0.180953222438721"/>
        </c:manualLayout>
      </c:layout>
      <c:overlay val="0"/>
    </c:legend>
    <c:plotVisOnly val="1"/>
    <c:dispBlanksAs val="zero"/>
    <c:showDLblsOverMax val="0"/>
  </c:chart>
  <c:spPr>
    <a:gradFill rotWithShape="1">
      <a:gsLst>
        <a:gs pos="0">
          <a:srgbClr val="4F81BD">
            <a:shade val="51000"/>
            <a:satMod val="130000"/>
          </a:srgbClr>
        </a:gs>
        <a:gs pos="80000">
          <a:srgbClr val="4F81BD">
            <a:shade val="93000"/>
            <a:satMod val="130000"/>
          </a:srgbClr>
        </a:gs>
        <a:gs pos="100000">
          <a:srgbClr val="4F81BD">
            <a:shade val="94000"/>
            <a:satMod val="135000"/>
          </a:srgbClr>
        </a:gs>
      </a:gsLst>
      <a:lin ang="16200000" scaled="0"/>
    </a:gradFill>
    <a:ln>
      <a:noFill/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ysClr val="window" lastClr="FFFFFF"/>
          </a:solidFill>
          <a:latin typeface="+mn-lt"/>
          <a:ea typeface="+mn-ea"/>
          <a:cs typeface="+mn-cs"/>
        </a:defRPr>
      </a:pPr>
      <a:endParaRPr lang="it-IT"/>
    </a:p>
  </c:txPr>
  <c:printSettings>
    <c:headerFooter alignWithMargins="0"/>
    <c:pageMargins b="1.0" l="0.750000000000002" r="0.750000000000002" t="1.0" header="0.5" footer="0.5"/>
    <c:pageSetup paperSize="9" orientation="landscape" horizontalDpi="1200" verticalDpi="1200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100"/>
            </a:pPr>
            <a:r>
              <a:rPr lang="it-IT" sz="1100"/>
              <a:t>KPI 3: Sicurezza dei servizi</a:t>
            </a:r>
          </a:p>
        </c:rich>
      </c:tx>
      <c:layout>
        <c:manualLayout>
          <c:xMode val="edge"/>
          <c:yMode val="edge"/>
          <c:x val="0.20348288121184"/>
          <c:y val="0.0614495162091914"/>
        </c:manualLayout>
      </c:layout>
      <c:overlay val="0"/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0724885844748859"/>
          <c:y val="0.298663580246914"/>
          <c:w val="0.86704299847793"/>
          <c:h val="0.455138374485597"/>
        </c:manualLayout>
      </c:layout>
      <c:pie3DChart>
        <c:varyColors val="1"/>
        <c:ser>
          <c:idx val="0"/>
          <c:order val="0"/>
          <c:explosion val="8"/>
          <c:dLbls>
            <c:dLbl>
              <c:idx val="0"/>
              <c:layout>
                <c:manualLayout>
                  <c:x val="-0.119988020712574"/>
                  <c:y val="-0.043223128733447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0.0289010654490107"/>
                  <c:y val="0.048438271604938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.0647462600521851"/>
                  <c:y val="-0.30539214858338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txPr>
              <a:bodyPr/>
              <a:lstStyle/>
              <a:p>
                <a:pPr>
                  <a:defRPr sz="1200"/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Sintesi!$B$24:$B$27</c:f>
              <c:strCache>
                <c:ptCount val="4"/>
                <c:pt idx="0">
                  <c:v>Scarso</c:v>
                </c:pt>
                <c:pt idx="1">
                  <c:v>Basso</c:v>
                </c:pt>
                <c:pt idx="2">
                  <c:v>Medio</c:v>
                </c:pt>
                <c:pt idx="3">
                  <c:v>Alto</c:v>
                </c:pt>
              </c:strCache>
            </c:strRef>
          </c:cat>
          <c:val>
            <c:numRef>
              <c:f>Sintesi!$N$24:$N$27</c:f>
              <c:numCache>
                <c:formatCode>General</c:formatCode>
                <c:ptCount val="4"/>
                <c:pt idx="0">
                  <c:v>3.0</c:v>
                </c:pt>
                <c:pt idx="1">
                  <c:v>4.0</c:v>
                </c:pt>
                <c:pt idx="2">
                  <c:v>17.0</c:v>
                </c:pt>
                <c:pt idx="3">
                  <c:v>22.0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legend>
      <c:legendPos val="r"/>
      <c:layout>
        <c:manualLayout>
          <c:xMode val="edge"/>
          <c:yMode val="edge"/>
          <c:x val="2.52136752136766E-5"/>
          <c:y val="0.81692695473251"/>
          <c:w val="0.98240811965812"/>
          <c:h val="0.180953222438721"/>
        </c:manualLayout>
      </c:layout>
      <c:overlay val="0"/>
    </c:legend>
    <c:plotVisOnly val="1"/>
    <c:dispBlanksAs val="zero"/>
    <c:showDLblsOverMax val="0"/>
  </c:chart>
  <c:spPr>
    <a:gradFill rotWithShape="1">
      <a:gsLst>
        <a:gs pos="0">
          <a:srgbClr val="4F81BD">
            <a:shade val="51000"/>
            <a:satMod val="130000"/>
          </a:srgbClr>
        </a:gs>
        <a:gs pos="80000">
          <a:srgbClr val="4F81BD">
            <a:shade val="93000"/>
            <a:satMod val="130000"/>
          </a:srgbClr>
        </a:gs>
        <a:gs pos="100000">
          <a:srgbClr val="4F81BD">
            <a:shade val="94000"/>
            <a:satMod val="135000"/>
          </a:srgbClr>
        </a:gs>
      </a:gsLst>
      <a:lin ang="16200000" scaled="0"/>
    </a:gradFill>
    <a:ln>
      <a:noFill/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ysClr val="window" lastClr="FFFFFF"/>
          </a:solidFill>
          <a:latin typeface="+mn-lt"/>
          <a:ea typeface="+mn-ea"/>
          <a:cs typeface="+mn-cs"/>
        </a:defRPr>
      </a:pPr>
      <a:endParaRPr lang="it-IT"/>
    </a:p>
  </c:txPr>
  <c:printSettings>
    <c:headerFooter alignWithMargins="0"/>
    <c:pageMargins b="1.0" l="0.750000000000002" r="0.750000000000002" t="1.0" header="0.5" footer="0.5"/>
    <c:pageSetup paperSize="9" orientation="landscape" horizontalDpi="1200" verticalDpi="1200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100"/>
            </a:pPr>
            <a:r>
              <a:rPr lang="it-IT" sz="1100"/>
              <a:t>KPI 2: Sicurezza dell'infrastruttura</a:t>
            </a:r>
          </a:p>
        </c:rich>
      </c:tx>
      <c:layout>
        <c:manualLayout>
          <c:xMode val="edge"/>
          <c:yMode val="edge"/>
          <c:x val="0.11708285029755"/>
          <c:y val="0.048680328778379"/>
        </c:manualLayout>
      </c:layout>
      <c:overlay val="0"/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0724885844748859"/>
          <c:y val="0.298663580246914"/>
          <c:w val="0.86704299847793"/>
          <c:h val="0.455138374485597"/>
        </c:manualLayout>
      </c:layout>
      <c:pie3DChart>
        <c:varyColors val="1"/>
        <c:ser>
          <c:idx val="0"/>
          <c:order val="0"/>
          <c:explosion val="8"/>
          <c:dLbls>
            <c:dLbl>
              <c:idx val="0"/>
              <c:layout>
                <c:manualLayout>
                  <c:x val="-0.0702661500924291"/>
                  <c:y val="-0.035622480877951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0.00333681119097303"/>
                  <c:y val="-0.073646833770304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0.0202471333256557"/>
                  <c:y val="-0.077125264103915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0.0503459362288896"/>
                  <c:y val="-0.4091986763413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txPr>
              <a:bodyPr/>
              <a:lstStyle/>
              <a:p>
                <a:pPr>
                  <a:defRPr sz="1200"/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Sintesi!$B$24:$B$27</c:f>
              <c:strCache>
                <c:ptCount val="4"/>
                <c:pt idx="0">
                  <c:v>Scarso</c:v>
                </c:pt>
                <c:pt idx="1">
                  <c:v>Basso</c:v>
                </c:pt>
                <c:pt idx="2">
                  <c:v>Medio</c:v>
                </c:pt>
                <c:pt idx="3">
                  <c:v>Alto</c:v>
                </c:pt>
              </c:strCache>
            </c:strRef>
          </c:cat>
          <c:val>
            <c:numRef>
              <c:f>Sintesi!$K$24:$K$27</c:f>
              <c:numCache>
                <c:formatCode>General</c:formatCode>
                <c:ptCount val="4"/>
                <c:pt idx="0">
                  <c:v>5.0</c:v>
                </c:pt>
                <c:pt idx="1">
                  <c:v>0.0</c:v>
                </c:pt>
                <c:pt idx="2">
                  <c:v>4.0</c:v>
                </c:pt>
                <c:pt idx="3">
                  <c:v>37.0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legend>
      <c:legendPos val="r"/>
      <c:layout>
        <c:manualLayout>
          <c:xMode val="edge"/>
          <c:yMode val="edge"/>
          <c:x val="0.00980831324359166"/>
          <c:y val="0.816926966482785"/>
          <c:w val="0.98240811965812"/>
          <c:h val="0.180953222438721"/>
        </c:manualLayout>
      </c:layout>
      <c:overlay val="0"/>
    </c:legend>
    <c:plotVisOnly val="1"/>
    <c:dispBlanksAs val="zero"/>
    <c:showDLblsOverMax val="0"/>
  </c:chart>
  <c:spPr>
    <a:gradFill rotWithShape="1">
      <a:gsLst>
        <a:gs pos="0">
          <a:srgbClr val="4F81BD">
            <a:shade val="51000"/>
            <a:satMod val="130000"/>
          </a:srgbClr>
        </a:gs>
        <a:gs pos="80000">
          <a:srgbClr val="4F81BD">
            <a:shade val="93000"/>
            <a:satMod val="130000"/>
          </a:srgbClr>
        </a:gs>
        <a:gs pos="100000">
          <a:srgbClr val="4F81BD">
            <a:shade val="94000"/>
            <a:satMod val="135000"/>
          </a:srgbClr>
        </a:gs>
      </a:gsLst>
      <a:lin ang="16200000" scaled="0"/>
    </a:gradFill>
    <a:ln>
      <a:noFill/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ysClr val="window" lastClr="FFFFFF"/>
          </a:solidFill>
          <a:latin typeface="+mn-lt"/>
          <a:ea typeface="+mn-ea"/>
          <a:cs typeface="+mn-cs"/>
        </a:defRPr>
      </a:pPr>
      <a:endParaRPr lang="it-IT"/>
    </a:p>
  </c:txPr>
  <c:printSettings>
    <c:headerFooter alignWithMargins="0"/>
    <c:pageMargins b="1.0" l="0.750000000000002" r="0.750000000000002" t="1.0" header="0.5" footer="0.5"/>
    <c:pageSetup paperSize="9" orientation="landscape" horizontalDpi="1200" verticalDpi="120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100"/>
            </a:pPr>
            <a:r>
              <a:rPr lang="it-IT" sz="1100"/>
              <a:t>KPI 1: Protezione Logica</a:t>
            </a:r>
          </a:p>
        </c:rich>
      </c:tx>
      <c:layout>
        <c:manualLayout>
          <c:xMode val="edge"/>
          <c:yMode val="edge"/>
          <c:x val="0.244409923487132"/>
          <c:y val="0.055210520231645"/>
        </c:manualLayout>
      </c:layout>
      <c:overlay val="0"/>
    </c:title>
    <c:autoTitleDeleted val="0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0724885844748859"/>
          <c:y val="0.298663580246914"/>
          <c:w val="0.86704299847793"/>
          <c:h val="0.455138374485597"/>
        </c:manualLayout>
      </c:layout>
      <c:pie3DChart>
        <c:varyColors val="1"/>
        <c:ser>
          <c:idx val="0"/>
          <c:order val="0"/>
          <c:explosion val="8"/>
          <c:dLbls>
            <c:dLbl>
              <c:idx val="0"/>
              <c:layout>
                <c:manualLayout>
                  <c:x val="-0.0854683514954788"/>
                  <c:y val="-0.01899315357106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0.0332283564905911"/>
                  <c:y val="0.1187345488140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.0183084247579076"/>
                  <c:y val="-0.34174890945384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#,##0" sourceLinked="0"/>
            <c:txPr>
              <a:bodyPr/>
              <a:lstStyle/>
              <a:p>
                <a:pPr>
                  <a:defRPr sz="1200"/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Sintesi!$B$24:$B$27</c:f>
              <c:strCache>
                <c:ptCount val="4"/>
                <c:pt idx="0">
                  <c:v>Scarso</c:v>
                </c:pt>
                <c:pt idx="1">
                  <c:v>Basso</c:v>
                </c:pt>
                <c:pt idx="2">
                  <c:v>Medio</c:v>
                </c:pt>
                <c:pt idx="3">
                  <c:v>Alto</c:v>
                </c:pt>
              </c:strCache>
            </c:strRef>
          </c:cat>
          <c:val>
            <c:numRef>
              <c:f>Sintesi!$H$24:$H$27</c:f>
              <c:numCache>
                <c:formatCode>General</c:formatCode>
                <c:ptCount val="4"/>
                <c:pt idx="0">
                  <c:v>1.0</c:v>
                </c:pt>
                <c:pt idx="1">
                  <c:v>1.0</c:v>
                </c:pt>
                <c:pt idx="2">
                  <c:v>12.0</c:v>
                </c:pt>
                <c:pt idx="3">
                  <c:v>32.0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legend>
      <c:legendPos val="r"/>
      <c:layout>
        <c:manualLayout>
          <c:xMode val="edge"/>
          <c:yMode val="edge"/>
          <c:x val="2.52136752136766E-5"/>
          <c:y val="0.81692695473251"/>
          <c:w val="0.98240811965812"/>
          <c:h val="0.180953222438721"/>
        </c:manualLayout>
      </c:layout>
      <c:overlay val="0"/>
    </c:legend>
    <c:plotVisOnly val="1"/>
    <c:dispBlanksAs val="zero"/>
    <c:showDLblsOverMax val="0"/>
  </c:chart>
  <c:spPr>
    <a:gradFill rotWithShape="1">
      <a:gsLst>
        <a:gs pos="0">
          <a:srgbClr val="4F81BD">
            <a:shade val="51000"/>
            <a:satMod val="130000"/>
          </a:srgbClr>
        </a:gs>
        <a:gs pos="80000">
          <a:srgbClr val="4F81BD">
            <a:shade val="93000"/>
            <a:satMod val="130000"/>
          </a:srgbClr>
        </a:gs>
        <a:gs pos="100000">
          <a:srgbClr val="4F81BD">
            <a:shade val="94000"/>
            <a:satMod val="135000"/>
          </a:srgbClr>
        </a:gs>
      </a:gsLst>
      <a:lin ang="16200000" scaled="0"/>
    </a:gradFill>
    <a:ln>
      <a:noFill/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ysClr val="window" lastClr="FFFFFF"/>
          </a:solidFill>
          <a:latin typeface="+mn-lt"/>
          <a:ea typeface="+mn-ea"/>
          <a:cs typeface="+mn-cs"/>
        </a:defRPr>
      </a:pPr>
      <a:endParaRPr lang="it-IT"/>
    </a:p>
  </c:txPr>
  <c:printSettings>
    <c:headerFooter alignWithMargins="0"/>
    <c:pageMargins b="1.0" l="0.750000000000002" r="0.750000000000002" t="1.0" header="0.5" footer="0.5"/>
    <c:pageSetup paperSize="9" orientation="landscape" horizontalDpi="1200" verticalDpi="120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15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0313530630537162"/>
          <c:y val="0.242730184755228"/>
          <c:w val="0.967647683128846"/>
          <c:h val="0.507377188858854"/>
        </c:manualLayout>
      </c:layout>
      <c:pie3DChart>
        <c:varyColors val="1"/>
        <c:ser>
          <c:idx val="0"/>
          <c:order val="0"/>
          <c:explosion val="16"/>
          <c:dPt>
            <c:idx val="0"/>
            <c:bubble3D val="0"/>
          </c:dPt>
          <c:dPt>
            <c:idx val="1"/>
            <c:bubble3D val="0"/>
          </c:dPt>
          <c:dPt>
            <c:idx val="2"/>
            <c:bubble3D val="0"/>
          </c:dPt>
          <c:dPt>
            <c:idx val="3"/>
            <c:bubble3D val="0"/>
          </c:dPt>
          <c:dLbls>
            <c:dLbl>
              <c:idx val="0"/>
              <c:layout>
                <c:manualLayout>
                  <c:x val="-0.00516139520874318"/>
                  <c:y val="-0.076331825126336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dLbl>
              <c:idx val="1"/>
              <c:layout>
                <c:manualLayout>
                  <c:x val="0.113096878793533"/>
                  <c:y val="0.01491068859715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dLbl>
              <c:idx val="2"/>
              <c:layout>
                <c:manualLayout>
                  <c:x val="-0.0289010654490107"/>
                  <c:y val="0.048438271604938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dLbl>
              <c:idx val="3"/>
              <c:layout>
                <c:manualLayout>
                  <c:x val="0.0344562404870625"/>
                  <c:y val="-0.11612602880658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</c:dLbl>
            <c:numFmt formatCode="#,##0" sourceLinked="0"/>
            <c:txPr>
              <a:bodyPr/>
              <a:lstStyle/>
              <a:p>
                <a:pPr>
                  <a:defRPr sz="1400"/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1"/>
          </c:dLbls>
          <c:cat>
            <c:strRef>
              <c:f>Sintesi!$L$98:$L$101</c:f>
              <c:strCache>
                <c:ptCount val="4"/>
                <c:pt idx="0">
                  <c:v>Grandi</c:v>
                </c:pt>
                <c:pt idx="1">
                  <c:v>Medie</c:v>
                </c:pt>
                <c:pt idx="2">
                  <c:v>Piccole</c:v>
                </c:pt>
                <c:pt idx="3">
                  <c:v>N.C.</c:v>
                </c:pt>
              </c:strCache>
            </c:strRef>
          </c:cat>
          <c:val>
            <c:numRef>
              <c:f>Sintesi!$M$98:$M$101</c:f>
              <c:numCache>
                <c:formatCode>0</c:formatCode>
                <c:ptCount val="4"/>
                <c:pt idx="0">
                  <c:v>6.0</c:v>
                </c:pt>
                <c:pt idx="1">
                  <c:v>30.0</c:v>
                </c:pt>
                <c:pt idx="2">
                  <c:v>9.0</c:v>
                </c:pt>
                <c:pt idx="3">
                  <c:v>1.0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legend>
      <c:legendPos val="r"/>
      <c:legendEntry>
        <c:idx val="0"/>
        <c:txPr>
          <a:bodyPr/>
          <a:lstStyle/>
          <a:p>
            <a:pPr>
              <a:defRPr sz="1200">
                <a:solidFill>
                  <a:sysClr val="window" lastClr="FFFFFF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legendEntry>
      <c:legendEntry>
        <c:idx val="1"/>
        <c:txPr>
          <a:bodyPr/>
          <a:lstStyle/>
          <a:p>
            <a:pPr>
              <a:defRPr sz="1200">
                <a:solidFill>
                  <a:sysClr val="window" lastClr="FFFFFF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legendEntry>
      <c:legendEntry>
        <c:idx val="2"/>
        <c:txPr>
          <a:bodyPr/>
          <a:lstStyle/>
          <a:p>
            <a:pPr>
              <a:defRPr sz="1200">
                <a:solidFill>
                  <a:sysClr val="window" lastClr="FFFFFF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legendEntry>
      <c:legendEntry>
        <c:idx val="3"/>
        <c:txPr>
          <a:bodyPr/>
          <a:lstStyle/>
          <a:p>
            <a:pPr>
              <a:defRPr sz="1200">
                <a:solidFill>
                  <a:sysClr val="window" lastClr="FFFFFF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</c:legendEntry>
      <c:layout>
        <c:manualLayout>
          <c:xMode val="edge"/>
          <c:yMode val="edge"/>
          <c:x val="2.52136752136766E-5"/>
          <c:y val="0.81692695473251"/>
          <c:w val="0.998413512580726"/>
          <c:h val="0.180953222438721"/>
        </c:manualLayout>
      </c:layout>
      <c:overlay val="0"/>
      <c:spPr>
        <a:gradFill rotWithShape="1">
          <a:gsLst>
            <a:gs pos="0">
              <a:srgbClr val="4F81BD">
                <a:shade val="51000"/>
                <a:satMod val="130000"/>
              </a:srgbClr>
            </a:gs>
            <a:gs pos="80000">
              <a:srgbClr val="4F81BD">
                <a:shade val="93000"/>
                <a:satMod val="130000"/>
              </a:srgbClr>
            </a:gs>
            <a:gs pos="100000">
              <a:srgbClr val="4F81BD">
                <a:shade val="94000"/>
                <a:satMod val="135000"/>
              </a:srgbClr>
            </a:gs>
          </a:gsLst>
          <a:lin ang="16200000" scaled="0"/>
        </a:grad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c:spPr>
      <c:txPr>
        <a:bodyPr/>
        <a:lstStyle/>
        <a:p>
          <a:pPr>
            <a:defRPr sz="1200">
              <a:solidFill>
                <a:sysClr val="window" lastClr="FFFFFF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</c:chart>
  <c:spPr>
    <a:gradFill rotWithShape="1">
      <a:gsLst>
        <a:gs pos="0">
          <a:srgbClr val="4F81BD">
            <a:shade val="51000"/>
            <a:satMod val="130000"/>
          </a:srgbClr>
        </a:gs>
        <a:gs pos="80000">
          <a:srgbClr val="4F81BD">
            <a:shade val="93000"/>
            <a:satMod val="130000"/>
          </a:srgbClr>
        </a:gs>
        <a:gs pos="100000">
          <a:srgbClr val="4F81BD">
            <a:shade val="94000"/>
            <a:satMod val="135000"/>
          </a:srgbClr>
        </a:gs>
      </a:gsLst>
      <a:lin ang="16200000" scaled="0"/>
    </a:gradFill>
    <a:ln>
      <a:noFill/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ysClr val="window" lastClr="FFFFFF"/>
          </a:solidFill>
          <a:latin typeface="+mn-lt"/>
          <a:ea typeface="+mn-ea"/>
          <a:cs typeface="+mn-cs"/>
        </a:defRPr>
      </a:pPr>
      <a:endParaRPr lang="it-IT"/>
    </a:p>
  </c:txPr>
  <c:printSettings>
    <c:headerFooter alignWithMargins="0"/>
    <c:pageMargins b="1.0" l="0.750000000000002" r="0.750000000000002" t="1.0" header="0.5" footer="0.5"/>
    <c:pageSetup paperSize="9" orientation="landscape" horizontalDpi="1200" verticalDpi="1200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70"/>
      <c:rotY val="20"/>
      <c:depthPercent val="100"/>
      <c:rAngAx val="1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0648301415785185"/>
          <c:y val="0.0460112353173601"/>
          <c:w val="0.806188925081433"/>
          <c:h val="0.857142857142858"/>
        </c:manualLayout>
      </c:layout>
      <c:bar3DChart>
        <c:barDir val="col"/>
        <c:grouping val="standard"/>
        <c:varyColors val="0"/>
        <c:ser>
          <c:idx val="0"/>
          <c:order val="0"/>
          <c:tx>
            <c:strRef>
              <c:f>Sintesi!$L$98</c:f>
              <c:strCache>
                <c:ptCount val="1"/>
                <c:pt idx="0">
                  <c:v>Grandi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Sintesi!$N$97:$Q$97</c:f>
              <c:strCache>
                <c:ptCount val="4"/>
                <c:pt idx="0">
                  <c:v>KPI 1</c:v>
                </c:pt>
                <c:pt idx="1">
                  <c:v>KPI 2</c:v>
                </c:pt>
                <c:pt idx="2">
                  <c:v>KPI 3</c:v>
                </c:pt>
                <c:pt idx="3">
                  <c:v>KPI 4</c:v>
                </c:pt>
              </c:strCache>
            </c:strRef>
          </c:cat>
          <c:val>
            <c:numRef>
              <c:f>Sintesi!$N$98:$Q$98</c:f>
              <c:numCache>
                <c:formatCode>0.00</c:formatCode>
                <c:ptCount val="4"/>
                <c:pt idx="0">
                  <c:v>8.5</c:v>
                </c:pt>
                <c:pt idx="1">
                  <c:v>8.555555555555555</c:v>
                </c:pt>
                <c:pt idx="2">
                  <c:v>8.037037037037036</c:v>
                </c:pt>
                <c:pt idx="3">
                  <c:v>8.23076923076923</c:v>
                </c:pt>
              </c:numCache>
            </c:numRef>
          </c:val>
        </c:ser>
        <c:ser>
          <c:idx val="1"/>
          <c:order val="1"/>
          <c:tx>
            <c:strRef>
              <c:f>Sintesi!$L$99</c:f>
              <c:strCache>
                <c:ptCount val="1"/>
                <c:pt idx="0">
                  <c:v>Medie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Sintesi!$N$97:$Q$97</c:f>
              <c:strCache>
                <c:ptCount val="4"/>
                <c:pt idx="0">
                  <c:v>KPI 1</c:v>
                </c:pt>
                <c:pt idx="1">
                  <c:v>KPI 2</c:v>
                </c:pt>
                <c:pt idx="2">
                  <c:v>KPI 3</c:v>
                </c:pt>
                <c:pt idx="3">
                  <c:v>KPI 4</c:v>
                </c:pt>
              </c:strCache>
            </c:strRef>
          </c:cat>
          <c:val>
            <c:numRef>
              <c:f>Sintesi!$N$99:$Q$99</c:f>
              <c:numCache>
                <c:formatCode>0.00</c:formatCode>
                <c:ptCount val="4"/>
                <c:pt idx="0">
                  <c:v>7.566666666666665</c:v>
                </c:pt>
                <c:pt idx="1">
                  <c:v>8.511111111111111</c:v>
                </c:pt>
                <c:pt idx="2">
                  <c:v>7.03333333333333</c:v>
                </c:pt>
                <c:pt idx="3">
                  <c:v>5.779487179487178</c:v>
                </c:pt>
              </c:numCache>
            </c:numRef>
          </c:val>
        </c:ser>
        <c:ser>
          <c:idx val="2"/>
          <c:order val="2"/>
          <c:tx>
            <c:strRef>
              <c:f>Sintesi!$L$100</c:f>
              <c:strCache>
                <c:ptCount val="1"/>
                <c:pt idx="0">
                  <c:v>Piccole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Sintesi!$N$97:$Q$97</c:f>
              <c:strCache>
                <c:ptCount val="4"/>
                <c:pt idx="0">
                  <c:v>KPI 1</c:v>
                </c:pt>
                <c:pt idx="1">
                  <c:v>KPI 2</c:v>
                </c:pt>
                <c:pt idx="2">
                  <c:v>KPI 3</c:v>
                </c:pt>
                <c:pt idx="3">
                  <c:v>KPI 4</c:v>
                </c:pt>
              </c:strCache>
            </c:strRef>
          </c:cat>
          <c:val>
            <c:numRef>
              <c:f>Sintesi!$N$100:$Q$100</c:f>
              <c:numCache>
                <c:formatCode>0.00</c:formatCode>
                <c:ptCount val="4"/>
                <c:pt idx="0">
                  <c:v>7.088888888888889</c:v>
                </c:pt>
                <c:pt idx="1">
                  <c:v>6.48148148148148</c:v>
                </c:pt>
                <c:pt idx="2">
                  <c:v>6.308641975308642</c:v>
                </c:pt>
                <c:pt idx="3">
                  <c:v>6.581196581196583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46037128"/>
        <c:axId val="646033800"/>
        <c:axId val="646030136"/>
      </c:bar3DChart>
      <c:catAx>
        <c:axId val="646037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it-IT"/>
          </a:p>
        </c:txPr>
        <c:crossAx val="6460338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646033800"/>
        <c:scaling>
          <c:orientation val="minMax"/>
          <c:max val="10.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it-IT"/>
          </a:p>
        </c:txPr>
        <c:crossAx val="646037128"/>
        <c:crosses val="autoZero"/>
        <c:crossBetween val="between"/>
      </c:valAx>
      <c:serAx>
        <c:axId val="646030136"/>
        <c:scaling>
          <c:orientation val="maxMin"/>
        </c:scaling>
        <c:delete val="0"/>
        <c:axPos val="b"/>
        <c:majorTickMark val="out"/>
        <c:minorTickMark val="none"/>
        <c:tickLblPos val="nextTo"/>
        <c:crossAx val="646033800"/>
        <c:crosses val="autoZero"/>
        <c:tickLblSkip val="1"/>
        <c:tickMarkSkip val="1"/>
      </c:serAx>
    </c:plotArea>
    <c:legend>
      <c:legendPos val="r"/>
      <c:layout>
        <c:manualLayout>
          <c:xMode val="edge"/>
          <c:yMode val="edge"/>
          <c:x val="0.872940938998201"/>
          <c:y val="0.420918367346941"/>
          <c:w val="0.103645003248155"/>
          <c:h val="0.18619919689047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it-IT"/>
        </a:p>
      </c:txPr>
    </c:legend>
    <c:plotVisOnly val="1"/>
    <c:dispBlanksAs val="gap"/>
    <c:showDLblsOverMax val="0"/>
  </c:chart>
  <c:spPr>
    <a:gradFill rotWithShape="1">
      <a:gsLst>
        <a:gs pos="0">
          <a:schemeClr val="accent5">
            <a:shade val="51000"/>
            <a:satMod val="130000"/>
          </a:schemeClr>
        </a:gs>
        <a:gs pos="80000">
          <a:schemeClr val="accent5">
            <a:shade val="93000"/>
            <a:satMod val="130000"/>
          </a:schemeClr>
        </a:gs>
        <a:gs pos="100000">
          <a:schemeClr val="accent5">
            <a:shade val="94000"/>
            <a:satMod val="135000"/>
          </a:schemeClr>
        </a:gs>
      </a:gsLst>
      <a:lin ang="16200000" scaled="0"/>
    </a:gradFill>
    <a:ln>
      <a:noFill/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it-IT"/>
    </a:p>
  </c:txPr>
  <c:printSettings>
    <c:headerFooter alignWithMargins="0"/>
    <c:pageMargins b="1.0" l="0.750000000000002" r="0.750000000000002" t="1.0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ndard"/>
        <c:varyColors val="0"/>
        <c:ser>
          <c:idx val="1"/>
          <c:order val="0"/>
          <c:tx>
            <c:strRef>
              <c:f>Sintesi!$AJ$96</c:f>
              <c:strCache>
                <c:ptCount val="1"/>
                <c:pt idx="0">
                  <c:v>2007</c:v>
                </c:pt>
              </c:strCache>
            </c:strRef>
          </c:tx>
          <c:invertIfNegative val="0"/>
          <c:cat>
            <c:strRef>
              <c:f>Sintesi!$N$97:$Q$97</c:f>
              <c:strCache>
                <c:ptCount val="4"/>
                <c:pt idx="0">
                  <c:v>KPI 1</c:v>
                </c:pt>
                <c:pt idx="1">
                  <c:v>KPI 2</c:v>
                </c:pt>
                <c:pt idx="2">
                  <c:v>KPI 3</c:v>
                </c:pt>
                <c:pt idx="3">
                  <c:v>KPI 4</c:v>
                </c:pt>
              </c:strCache>
            </c:strRef>
          </c:cat>
          <c:val>
            <c:numRef>
              <c:f>Sintesi!$AL$102:$AO$102</c:f>
              <c:numCache>
                <c:formatCode>0.00</c:formatCode>
                <c:ptCount val="4"/>
                <c:pt idx="0">
                  <c:v>7.322183317771553</c:v>
                </c:pt>
                <c:pt idx="1">
                  <c:v>7.499005775149566</c:v>
                </c:pt>
                <c:pt idx="2">
                  <c:v>6.84967320261438</c:v>
                </c:pt>
                <c:pt idx="3">
                  <c:v>6.066951566951566</c:v>
                </c:pt>
              </c:numCache>
            </c:numRef>
          </c:val>
        </c:ser>
        <c:ser>
          <c:idx val="0"/>
          <c:order val="1"/>
          <c:tx>
            <c:strRef>
              <c:f>Sintesi!$AB$96</c:f>
              <c:strCache>
                <c:ptCount val="1"/>
                <c:pt idx="0">
                  <c:v>2008</c:v>
                </c:pt>
              </c:strCache>
            </c:strRef>
          </c:tx>
          <c:invertIfNegative val="0"/>
          <c:cat>
            <c:strRef>
              <c:f>Sintesi!$N$97:$Q$97</c:f>
              <c:strCache>
                <c:ptCount val="4"/>
                <c:pt idx="0">
                  <c:v>KPI 1</c:v>
                </c:pt>
                <c:pt idx="1">
                  <c:v>KPI 2</c:v>
                </c:pt>
                <c:pt idx="2">
                  <c:v>KPI 3</c:v>
                </c:pt>
                <c:pt idx="3">
                  <c:v>KPI 4</c:v>
                </c:pt>
              </c:strCache>
            </c:strRef>
          </c:cat>
          <c:val>
            <c:numRef>
              <c:f>Sintesi!$AD$102:$AG$102</c:f>
              <c:numCache>
                <c:formatCode>0.00</c:formatCode>
                <c:ptCount val="4"/>
                <c:pt idx="0">
                  <c:v>7.313369963369964</c:v>
                </c:pt>
                <c:pt idx="1">
                  <c:v>7.704924704924704</c:v>
                </c:pt>
                <c:pt idx="2">
                  <c:v>6.859584859584859</c:v>
                </c:pt>
                <c:pt idx="3">
                  <c:v>6.37897999436461</c:v>
                </c:pt>
              </c:numCache>
            </c:numRef>
          </c:val>
        </c:ser>
        <c:ser>
          <c:idx val="2"/>
          <c:order val="2"/>
          <c:tx>
            <c:strRef>
              <c:f>Sintesi!$T$96</c:f>
              <c:strCache>
                <c:ptCount val="1"/>
                <c:pt idx="0">
                  <c:v>2009</c:v>
                </c:pt>
              </c:strCache>
            </c:strRef>
          </c:tx>
          <c:invertIfNegative val="0"/>
          <c:cat>
            <c:strRef>
              <c:f>Sintesi!$N$97:$Q$97</c:f>
              <c:strCache>
                <c:ptCount val="4"/>
                <c:pt idx="0">
                  <c:v>KPI 1</c:v>
                </c:pt>
                <c:pt idx="1">
                  <c:v>KPI 2</c:v>
                </c:pt>
                <c:pt idx="2">
                  <c:v>KPI 3</c:v>
                </c:pt>
                <c:pt idx="3">
                  <c:v>KPI 4</c:v>
                </c:pt>
              </c:strCache>
            </c:strRef>
          </c:cat>
          <c:val>
            <c:numRef>
              <c:f>Sintesi!$V$102:$Y$102</c:f>
              <c:numCache>
                <c:formatCode>0.00</c:formatCode>
                <c:ptCount val="4"/>
                <c:pt idx="0">
                  <c:v>7.716666666666667</c:v>
                </c:pt>
                <c:pt idx="1">
                  <c:v>8.209689487467263</c:v>
                </c:pt>
                <c:pt idx="2">
                  <c:v>6.60811821922933</c:v>
                </c:pt>
                <c:pt idx="3">
                  <c:v>6.052059052059053</c:v>
                </c:pt>
              </c:numCache>
            </c:numRef>
          </c:val>
        </c:ser>
        <c:ser>
          <c:idx val="3"/>
          <c:order val="3"/>
          <c:tx>
            <c:strRef>
              <c:f>Sintesi!$L$96</c:f>
              <c:strCache>
                <c:ptCount val="1"/>
                <c:pt idx="0">
                  <c:v>2010</c:v>
                </c:pt>
              </c:strCache>
            </c:strRef>
          </c:tx>
          <c:invertIfNegative val="0"/>
          <c:cat>
            <c:strRef>
              <c:f>Sintesi!$N$97:$Q$97</c:f>
              <c:strCache>
                <c:ptCount val="4"/>
                <c:pt idx="0">
                  <c:v>KPI 1</c:v>
                </c:pt>
                <c:pt idx="1">
                  <c:v>KPI 2</c:v>
                </c:pt>
                <c:pt idx="2">
                  <c:v>KPI 3</c:v>
                </c:pt>
                <c:pt idx="3">
                  <c:v>KPI 4</c:v>
                </c:pt>
              </c:strCache>
            </c:strRef>
          </c:cat>
          <c:val>
            <c:numRef>
              <c:f>Sintesi!$N$102:$Q$102</c:f>
              <c:numCache>
                <c:formatCode>0.00</c:formatCode>
                <c:ptCount val="4"/>
                <c:pt idx="0">
                  <c:v>7.718518518518518</c:v>
                </c:pt>
                <c:pt idx="1">
                  <c:v>7.849382716049383</c:v>
                </c:pt>
                <c:pt idx="2">
                  <c:v>7.12633744855967</c:v>
                </c:pt>
                <c:pt idx="3">
                  <c:v>6.863817663817664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45991416"/>
        <c:axId val="645988280"/>
        <c:axId val="645985128"/>
      </c:bar3DChart>
      <c:catAx>
        <c:axId val="645991416"/>
        <c:scaling>
          <c:orientation val="minMax"/>
        </c:scaling>
        <c:delete val="0"/>
        <c:axPos val="b"/>
        <c:majorTickMark val="out"/>
        <c:minorTickMark val="none"/>
        <c:tickLblPos val="nextTo"/>
        <c:crossAx val="645988280"/>
        <c:crosses val="autoZero"/>
        <c:auto val="1"/>
        <c:lblAlgn val="ctr"/>
        <c:lblOffset val="100"/>
        <c:noMultiLvlLbl val="0"/>
      </c:catAx>
      <c:valAx>
        <c:axId val="645988280"/>
        <c:scaling>
          <c:orientation val="minMax"/>
          <c:max val="10.0"/>
          <c:min val="5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645991416"/>
        <c:crosses val="autoZero"/>
        <c:crossBetween val="between"/>
      </c:valAx>
      <c:serAx>
        <c:axId val="645985128"/>
        <c:scaling>
          <c:orientation val="minMax"/>
        </c:scaling>
        <c:delete val="0"/>
        <c:axPos val="b"/>
        <c:majorTickMark val="out"/>
        <c:minorTickMark val="none"/>
        <c:tickLblPos val="nextTo"/>
        <c:crossAx val="645988280"/>
        <c:crosses val="autoZero"/>
      </c:ser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view3D>
      <c:rotX val="15"/>
      <c:rotY val="2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Sintesi!$L$98</c:f>
              <c:strCache>
                <c:ptCount val="1"/>
                <c:pt idx="0">
                  <c:v>Grandi</c:v>
                </c:pt>
              </c:strCache>
            </c:strRef>
          </c:tx>
          <c:invertIfNegative val="0"/>
          <c:cat>
            <c:strRef>
              <c:f>Sintesi!$N$97:$Q$97</c:f>
              <c:strCache>
                <c:ptCount val="4"/>
                <c:pt idx="0">
                  <c:v>KPI 1</c:v>
                </c:pt>
                <c:pt idx="1">
                  <c:v>KPI 2</c:v>
                </c:pt>
                <c:pt idx="2">
                  <c:v>KPI 3</c:v>
                </c:pt>
                <c:pt idx="3">
                  <c:v>KPI 4</c:v>
                </c:pt>
              </c:strCache>
            </c:strRef>
          </c:cat>
          <c:val>
            <c:numRef>
              <c:f>Sintesi!$N$98:$Q$98</c:f>
              <c:numCache>
                <c:formatCode>0.00</c:formatCode>
                <c:ptCount val="4"/>
                <c:pt idx="0">
                  <c:v>8.5</c:v>
                </c:pt>
                <c:pt idx="1">
                  <c:v>8.555555555555555</c:v>
                </c:pt>
                <c:pt idx="2">
                  <c:v>8.037037037037036</c:v>
                </c:pt>
                <c:pt idx="3">
                  <c:v>8.23076923076923</c:v>
                </c:pt>
              </c:numCache>
            </c:numRef>
          </c:val>
        </c:ser>
        <c:ser>
          <c:idx val="1"/>
          <c:order val="1"/>
          <c:tx>
            <c:strRef>
              <c:f>Sintesi!$L$99</c:f>
              <c:strCache>
                <c:ptCount val="1"/>
                <c:pt idx="0">
                  <c:v>Medie</c:v>
                </c:pt>
              </c:strCache>
            </c:strRef>
          </c:tx>
          <c:invertIfNegative val="0"/>
          <c:cat>
            <c:strRef>
              <c:f>Sintesi!$N$97:$Q$97</c:f>
              <c:strCache>
                <c:ptCount val="4"/>
                <c:pt idx="0">
                  <c:v>KPI 1</c:v>
                </c:pt>
                <c:pt idx="1">
                  <c:v>KPI 2</c:v>
                </c:pt>
                <c:pt idx="2">
                  <c:v>KPI 3</c:v>
                </c:pt>
                <c:pt idx="3">
                  <c:v>KPI 4</c:v>
                </c:pt>
              </c:strCache>
            </c:strRef>
          </c:cat>
          <c:val>
            <c:numRef>
              <c:f>Sintesi!$N$99:$Q$99</c:f>
              <c:numCache>
                <c:formatCode>0.00</c:formatCode>
                <c:ptCount val="4"/>
                <c:pt idx="0">
                  <c:v>7.566666666666665</c:v>
                </c:pt>
                <c:pt idx="1">
                  <c:v>8.511111111111111</c:v>
                </c:pt>
                <c:pt idx="2">
                  <c:v>7.03333333333333</c:v>
                </c:pt>
                <c:pt idx="3">
                  <c:v>5.779487179487178</c:v>
                </c:pt>
              </c:numCache>
            </c:numRef>
          </c:val>
        </c:ser>
        <c:ser>
          <c:idx val="2"/>
          <c:order val="2"/>
          <c:tx>
            <c:strRef>
              <c:f>Sintesi!$L$100</c:f>
              <c:strCache>
                <c:ptCount val="1"/>
                <c:pt idx="0">
                  <c:v>Piccole</c:v>
                </c:pt>
              </c:strCache>
            </c:strRef>
          </c:tx>
          <c:invertIfNegative val="0"/>
          <c:cat>
            <c:strRef>
              <c:f>Sintesi!$N$97:$Q$97</c:f>
              <c:strCache>
                <c:ptCount val="4"/>
                <c:pt idx="0">
                  <c:v>KPI 1</c:v>
                </c:pt>
                <c:pt idx="1">
                  <c:v>KPI 2</c:v>
                </c:pt>
                <c:pt idx="2">
                  <c:v>KPI 3</c:v>
                </c:pt>
                <c:pt idx="3">
                  <c:v>KPI 4</c:v>
                </c:pt>
              </c:strCache>
            </c:strRef>
          </c:cat>
          <c:val>
            <c:numRef>
              <c:f>Sintesi!$N$100:$Q$100</c:f>
              <c:numCache>
                <c:formatCode>0.00</c:formatCode>
                <c:ptCount val="4"/>
                <c:pt idx="0">
                  <c:v>7.088888888888889</c:v>
                </c:pt>
                <c:pt idx="1">
                  <c:v>6.48148148148148</c:v>
                </c:pt>
                <c:pt idx="2">
                  <c:v>6.308641975308642</c:v>
                </c:pt>
                <c:pt idx="3">
                  <c:v>6.581196581196583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56182888"/>
        <c:axId val="656185864"/>
        <c:axId val="0"/>
      </c:bar3DChart>
      <c:catAx>
        <c:axId val="656182888"/>
        <c:scaling>
          <c:orientation val="minMax"/>
        </c:scaling>
        <c:delete val="0"/>
        <c:axPos val="l"/>
        <c:majorTickMark val="out"/>
        <c:minorTickMark val="none"/>
        <c:tickLblPos val="nextTo"/>
        <c:crossAx val="656185864"/>
        <c:crosses val="autoZero"/>
        <c:auto val="1"/>
        <c:lblAlgn val="ctr"/>
        <c:lblOffset val="100"/>
        <c:noMultiLvlLbl val="0"/>
      </c:catAx>
      <c:valAx>
        <c:axId val="656185864"/>
        <c:scaling>
          <c:orientation val="minMax"/>
          <c:min val="3.0"/>
        </c:scaling>
        <c:delete val="0"/>
        <c:axPos val="b"/>
        <c:majorGridlines/>
        <c:numFmt formatCode="0.00" sourceLinked="1"/>
        <c:majorTickMark val="out"/>
        <c:minorTickMark val="none"/>
        <c:tickLblPos val="nextTo"/>
        <c:crossAx val="6561828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effectLst/>
    <a:scene3d>
      <a:camera prst="orthographicFront"/>
      <a:lightRig rig="threePt" dir="t"/>
    </a:scene3d>
    <a:sp3d>
      <a:bevelT w="63500"/>
    </a:sp3d>
  </c:spPr>
  <c:printSettings>
    <c:headerFooter/>
    <c:pageMargins b="1.0" l="0.75" r="0.75" t="1.0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/>
      <c:bubbleChart>
        <c:varyColors val="0"/>
        <c:ser>
          <c:idx val="0"/>
          <c:order val="0"/>
          <c:tx>
            <c:strRef>
              <c:f>Sintesi!$AN$80</c:f>
              <c:strCache>
                <c:ptCount val="1"/>
                <c:pt idx="0">
                  <c:v>KPI 1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-0.0441436809516102"/>
                  <c:y val="-0.0073530189425133"/>
                </c:manualLayout>
              </c:layout>
              <c:showLegendKey val="0"/>
              <c:showVal val="0"/>
              <c:showCatName val="0"/>
              <c:showSerName val="0"/>
              <c:showPercent val="0"/>
              <c:showBubbleSize val="1"/>
            </c:dLbl>
            <c:dLbl>
              <c:idx val="1"/>
              <c:layout>
                <c:manualLayout>
                  <c:x val="-0.0426031401763402"/>
                  <c:y val="-0.00424995239580876"/>
                </c:manualLayout>
              </c:layout>
              <c:showLegendKey val="0"/>
              <c:showVal val="0"/>
              <c:showCatName val="0"/>
              <c:showSerName val="0"/>
              <c:showPercent val="0"/>
              <c:showBubbleSize val="1"/>
            </c:dLbl>
            <c:dLbl>
              <c:idx val="2"/>
              <c:layout>
                <c:manualLayout>
                  <c:x val="-0.0706648121080673"/>
                  <c:y val="-2.88073774541365E-7"/>
                </c:manualLayout>
              </c:layout>
              <c:showLegendKey val="0"/>
              <c:showVal val="0"/>
              <c:showCatName val="0"/>
              <c:showSerName val="0"/>
              <c:showPercent val="0"/>
              <c:showBubbleSize val="1"/>
            </c:dLbl>
            <c:dLbl>
              <c:idx val="3"/>
              <c:layout>
                <c:manualLayout>
                  <c:x val="-0.0937974444811165"/>
                  <c:y val="-0.0110473411798868"/>
                </c:manualLayout>
              </c:layout>
              <c:spPr/>
              <c:txPr>
                <a:bodyPr anchor="ctr" anchorCtr="1"/>
                <a:lstStyle/>
                <a:p>
                  <a:pPr>
                    <a:defRPr sz="1400">
                      <a:solidFill>
                        <a:sysClr val="windowText" lastClr="000000"/>
                      </a:solidFill>
                    </a:defRPr>
                  </a:pPr>
                  <a:endParaRPr lang="it-IT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</c:dLbl>
            <c:txPr>
              <a:bodyPr/>
              <a:lstStyle/>
              <a:p>
                <a:pPr>
                  <a:defRPr sz="1400">
                    <a:solidFill>
                      <a:sysClr val="windowText" lastClr="000000"/>
                    </a:solidFill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Sintesi!$AO$85:$AR$85</c:f>
              <c:numCache>
                <c:formatCode>General</c:formatCode>
                <c:ptCount val="4"/>
                <c:pt idx="0">
                  <c:v>4.0</c:v>
                </c:pt>
                <c:pt idx="1">
                  <c:v>4.0</c:v>
                </c:pt>
                <c:pt idx="2">
                  <c:v>4.0</c:v>
                </c:pt>
                <c:pt idx="3">
                  <c:v>4.0</c:v>
                </c:pt>
              </c:numCache>
            </c:numRef>
          </c:xVal>
          <c:yVal>
            <c:numRef>
              <c:f>Sintesi!$AO$84:$AR$84</c:f>
              <c:numCache>
                <c:formatCode>General</c:formatCode>
                <c:ptCount val="4"/>
                <c:pt idx="0">
                  <c:v>4.0</c:v>
                </c:pt>
                <c:pt idx="1">
                  <c:v>5.0</c:v>
                </c:pt>
                <c:pt idx="2">
                  <c:v>7.0</c:v>
                </c:pt>
                <c:pt idx="3">
                  <c:v>9.0</c:v>
                </c:pt>
              </c:numCache>
            </c:numRef>
          </c:yVal>
          <c:bubbleSize>
            <c:numRef>
              <c:f>Sintesi!$AO$80:$AR$80</c:f>
              <c:numCache>
                <c:formatCode>General</c:formatCode>
                <c:ptCount val="4"/>
                <c:pt idx="0">
                  <c:v>1.0</c:v>
                </c:pt>
                <c:pt idx="1">
                  <c:v>1.0</c:v>
                </c:pt>
                <c:pt idx="2">
                  <c:v>12.0</c:v>
                </c:pt>
                <c:pt idx="3">
                  <c:v>32.0</c:v>
                </c:pt>
              </c:numCache>
            </c:numRef>
          </c:bubbleSize>
          <c:bubble3D val="0"/>
        </c:ser>
        <c:ser>
          <c:idx val="1"/>
          <c:order val="1"/>
          <c:tx>
            <c:strRef>
              <c:f>Sintesi!$AN$81</c:f>
              <c:strCache>
                <c:ptCount val="1"/>
                <c:pt idx="0">
                  <c:v>KPI 2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-0.0500880129504769"/>
                  <c:y val="-0.00389475743179925"/>
                </c:manualLayout>
              </c:layout>
              <c:showLegendKey val="0"/>
              <c:showVal val="0"/>
              <c:showCatName val="0"/>
              <c:showSerName val="0"/>
              <c:showPercent val="0"/>
              <c:showBubbleSize val="1"/>
            </c:dLbl>
            <c:dLbl>
              <c:idx val="1"/>
              <c:layout>
                <c:manualLayout>
                  <c:x val="-0.0402847847611863"/>
                  <c:y val="0.00641252222129078"/>
                </c:manualLayout>
              </c:layout>
              <c:showLegendKey val="0"/>
              <c:showVal val="0"/>
              <c:showCatName val="0"/>
              <c:showSerName val="0"/>
              <c:showPercent val="0"/>
              <c:showBubbleSize val="1"/>
            </c:dLbl>
            <c:dLbl>
              <c:idx val="2"/>
              <c:layout>
                <c:manualLayout>
                  <c:x val="-0.056363650651453"/>
                  <c:y val="-0.00805137392465667"/>
                </c:manualLayout>
              </c:layout>
              <c:showLegendKey val="0"/>
              <c:showVal val="0"/>
              <c:showCatName val="0"/>
              <c:showSerName val="0"/>
              <c:showPercent val="0"/>
              <c:showBubbleSize val="1"/>
            </c:dLbl>
            <c:dLbl>
              <c:idx val="3"/>
              <c:layout>
                <c:manualLayout>
                  <c:x val="-0.0992704355069389"/>
                  <c:y val="-0.00746255112949406"/>
                </c:manualLayout>
              </c:layout>
              <c:showLegendKey val="0"/>
              <c:showVal val="0"/>
              <c:showCatName val="0"/>
              <c:showSerName val="0"/>
              <c:showPercent val="0"/>
              <c:showBubbleSize val="1"/>
            </c:dLbl>
            <c:txPr>
              <a:bodyPr/>
              <a:lstStyle/>
              <a:p>
                <a:pPr>
                  <a:defRPr sz="1400">
                    <a:solidFill>
                      <a:sysClr val="windowText" lastClr="000000"/>
                    </a:solidFill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Sintesi!$AO$86:$AR$86</c:f>
              <c:numCache>
                <c:formatCode>General</c:formatCode>
                <c:ptCount val="4"/>
                <c:pt idx="0">
                  <c:v>8.0</c:v>
                </c:pt>
                <c:pt idx="1">
                  <c:v>8.0</c:v>
                </c:pt>
                <c:pt idx="2">
                  <c:v>8.0</c:v>
                </c:pt>
                <c:pt idx="3">
                  <c:v>8.0</c:v>
                </c:pt>
              </c:numCache>
            </c:numRef>
          </c:xVal>
          <c:yVal>
            <c:numRef>
              <c:f>Sintesi!$AO$84:$AR$84</c:f>
              <c:numCache>
                <c:formatCode>General</c:formatCode>
                <c:ptCount val="4"/>
                <c:pt idx="0">
                  <c:v>4.0</c:v>
                </c:pt>
                <c:pt idx="1">
                  <c:v>5.0</c:v>
                </c:pt>
                <c:pt idx="2">
                  <c:v>7.0</c:v>
                </c:pt>
                <c:pt idx="3">
                  <c:v>9.0</c:v>
                </c:pt>
              </c:numCache>
            </c:numRef>
          </c:yVal>
          <c:bubbleSize>
            <c:numRef>
              <c:f>Sintesi!$AO$81:$AR$81</c:f>
              <c:numCache>
                <c:formatCode>General</c:formatCode>
                <c:ptCount val="4"/>
                <c:pt idx="0">
                  <c:v>5.0</c:v>
                </c:pt>
                <c:pt idx="1">
                  <c:v>0.0</c:v>
                </c:pt>
                <c:pt idx="2">
                  <c:v>4.0</c:v>
                </c:pt>
                <c:pt idx="3">
                  <c:v>37.0</c:v>
                </c:pt>
              </c:numCache>
            </c:numRef>
          </c:bubbleSize>
          <c:bubble3D val="0"/>
        </c:ser>
        <c:ser>
          <c:idx val="2"/>
          <c:order val="2"/>
          <c:tx>
            <c:strRef>
              <c:f>Sintesi!$AN$82</c:f>
              <c:strCache>
                <c:ptCount val="1"/>
                <c:pt idx="0">
                  <c:v>KPI 3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-0.0419676152935538"/>
                  <c:y val="0.00336494087199761"/>
                </c:manualLayout>
              </c:layout>
              <c:showLegendKey val="0"/>
              <c:showVal val="0"/>
              <c:showCatName val="0"/>
              <c:showSerName val="0"/>
              <c:showPercent val="0"/>
              <c:showBubbleSize val="1"/>
            </c:dLbl>
            <c:dLbl>
              <c:idx val="1"/>
              <c:layout>
                <c:manualLayout>
                  <c:x val="-0.0453197053512204"/>
                  <c:y val="-0.00735273309976156"/>
                </c:manualLayout>
              </c:layout>
              <c:showLegendKey val="0"/>
              <c:showVal val="0"/>
              <c:showCatName val="0"/>
              <c:showSerName val="0"/>
              <c:showPercent val="0"/>
              <c:showBubbleSize val="1"/>
            </c:dLbl>
            <c:dLbl>
              <c:idx val="2"/>
              <c:layout>
                <c:manualLayout>
                  <c:x val="-0.0748407582667644"/>
                  <c:y val="0.0"/>
                </c:manualLayout>
              </c:layout>
              <c:showLegendKey val="0"/>
              <c:showVal val="0"/>
              <c:showCatName val="0"/>
              <c:showSerName val="0"/>
              <c:showPercent val="0"/>
              <c:showBubbleSize val="1"/>
            </c:dLbl>
            <c:dLbl>
              <c:idx val="3"/>
              <c:layout>
                <c:manualLayout>
                  <c:x val="-0.0817596303456081"/>
                  <c:y val="-0.00733493444737223"/>
                </c:manualLayout>
              </c:layout>
              <c:showLegendKey val="0"/>
              <c:showVal val="0"/>
              <c:showCatName val="0"/>
              <c:showSerName val="0"/>
              <c:showPercent val="0"/>
              <c:showBubbleSize val="1"/>
            </c:dLbl>
            <c:txPr>
              <a:bodyPr/>
              <a:lstStyle/>
              <a:p>
                <a:pPr>
                  <a:defRPr sz="1400">
                    <a:solidFill>
                      <a:sysClr val="windowText" lastClr="000000"/>
                    </a:solidFill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Sintesi!$AO$87:$AR$87</c:f>
              <c:numCache>
                <c:formatCode>General</c:formatCode>
                <c:ptCount val="4"/>
                <c:pt idx="0">
                  <c:v>12.0</c:v>
                </c:pt>
                <c:pt idx="1">
                  <c:v>12.0</c:v>
                </c:pt>
                <c:pt idx="2">
                  <c:v>12.0</c:v>
                </c:pt>
                <c:pt idx="3">
                  <c:v>12.0</c:v>
                </c:pt>
              </c:numCache>
            </c:numRef>
          </c:xVal>
          <c:yVal>
            <c:numRef>
              <c:f>Sintesi!$AO$84:$AR$84</c:f>
              <c:numCache>
                <c:formatCode>General</c:formatCode>
                <c:ptCount val="4"/>
                <c:pt idx="0">
                  <c:v>4.0</c:v>
                </c:pt>
                <c:pt idx="1">
                  <c:v>5.0</c:v>
                </c:pt>
                <c:pt idx="2">
                  <c:v>7.0</c:v>
                </c:pt>
                <c:pt idx="3">
                  <c:v>9.0</c:v>
                </c:pt>
              </c:numCache>
            </c:numRef>
          </c:yVal>
          <c:bubbleSize>
            <c:numRef>
              <c:f>Sintesi!$AO$82:$AR$82</c:f>
              <c:numCache>
                <c:formatCode>General</c:formatCode>
                <c:ptCount val="4"/>
                <c:pt idx="0">
                  <c:v>3.0</c:v>
                </c:pt>
                <c:pt idx="1">
                  <c:v>4.0</c:v>
                </c:pt>
                <c:pt idx="2">
                  <c:v>17.0</c:v>
                </c:pt>
                <c:pt idx="3">
                  <c:v>22.0</c:v>
                </c:pt>
              </c:numCache>
            </c:numRef>
          </c:bubbleSize>
          <c:bubble3D val="0"/>
        </c:ser>
        <c:ser>
          <c:idx val="3"/>
          <c:order val="3"/>
          <c:tx>
            <c:strRef>
              <c:f>Sintesi!$AN$83</c:f>
              <c:strCache>
                <c:ptCount val="1"/>
                <c:pt idx="0">
                  <c:v>KPI 4</c:v>
                </c:pt>
              </c:strCache>
            </c:strRef>
          </c:tx>
          <c:invertIfNegative val="0"/>
          <c:dLbls>
            <c:dLbl>
              <c:idx val="0"/>
              <c:layout>
                <c:manualLayout>
                  <c:x val="-0.0499633434575214"/>
                  <c:y val="0.0071049074341124"/>
                </c:manualLayout>
              </c:layout>
              <c:showLegendKey val="0"/>
              <c:showVal val="0"/>
              <c:showCatName val="0"/>
              <c:showSerName val="0"/>
              <c:showPercent val="0"/>
              <c:showBubbleSize val="1"/>
            </c:dLbl>
            <c:dLbl>
              <c:idx val="1"/>
              <c:layout>
                <c:manualLayout>
                  <c:x val="-0.0452979081207663"/>
                  <c:y val="-0.00757144301627069"/>
                </c:manualLayout>
              </c:layout>
              <c:showLegendKey val="0"/>
              <c:showVal val="0"/>
              <c:showCatName val="0"/>
              <c:showSerName val="0"/>
              <c:showPercent val="0"/>
              <c:showBubbleSize val="1"/>
            </c:dLbl>
            <c:dLbl>
              <c:idx val="2"/>
              <c:layout>
                <c:manualLayout>
                  <c:x val="-0.0676203715164383"/>
                  <c:y val="-0.00808191795912855"/>
                </c:manualLayout>
              </c:layout>
              <c:showLegendKey val="0"/>
              <c:showVal val="0"/>
              <c:showCatName val="0"/>
              <c:showSerName val="0"/>
              <c:showPercent val="0"/>
              <c:showBubbleSize val="1"/>
            </c:dLbl>
            <c:dLbl>
              <c:idx val="3"/>
              <c:layout>
                <c:manualLayout>
                  <c:x val="-0.0806896443333805"/>
                  <c:y val="0.00311177291259584"/>
                </c:manualLayout>
              </c:layout>
              <c:showLegendKey val="0"/>
              <c:showVal val="0"/>
              <c:showCatName val="0"/>
              <c:showSerName val="0"/>
              <c:showPercent val="0"/>
              <c:showBubbleSize val="1"/>
            </c:dLbl>
            <c:txPr>
              <a:bodyPr/>
              <a:lstStyle/>
              <a:p>
                <a:pPr>
                  <a:defRPr sz="1400">
                    <a:solidFill>
                      <a:sysClr val="windowText" lastClr="000000"/>
                    </a:solidFill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Sintesi!$AO$88:$AR$88</c:f>
              <c:numCache>
                <c:formatCode>General</c:formatCode>
                <c:ptCount val="4"/>
                <c:pt idx="0">
                  <c:v>16.0</c:v>
                </c:pt>
                <c:pt idx="1">
                  <c:v>16.0</c:v>
                </c:pt>
                <c:pt idx="2">
                  <c:v>16.0</c:v>
                </c:pt>
                <c:pt idx="3">
                  <c:v>16.0</c:v>
                </c:pt>
              </c:numCache>
            </c:numRef>
          </c:xVal>
          <c:yVal>
            <c:numRef>
              <c:f>Sintesi!$AO$84:$AR$84</c:f>
              <c:numCache>
                <c:formatCode>General</c:formatCode>
                <c:ptCount val="4"/>
                <c:pt idx="0">
                  <c:v>4.0</c:v>
                </c:pt>
                <c:pt idx="1">
                  <c:v>5.0</c:v>
                </c:pt>
                <c:pt idx="2">
                  <c:v>7.0</c:v>
                </c:pt>
                <c:pt idx="3">
                  <c:v>9.0</c:v>
                </c:pt>
              </c:numCache>
            </c:numRef>
          </c:yVal>
          <c:bubbleSize>
            <c:numRef>
              <c:f>Sintesi!$AO$83:$AR$83</c:f>
              <c:numCache>
                <c:formatCode>General</c:formatCode>
                <c:ptCount val="4"/>
                <c:pt idx="0">
                  <c:v>7.0</c:v>
                </c:pt>
                <c:pt idx="1">
                  <c:v>5.0</c:v>
                </c:pt>
                <c:pt idx="2">
                  <c:v>13.0</c:v>
                </c:pt>
                <c:pt idx="3">
                  <c:v>21.0</c:v>
                </c:pt>
              </c:numCache>
            </c:numRef>
          </c:bubbleSize>
          <c:bubble3D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656270856"/>
        <c:axId val="656273848"/>
      </c:bubbleChart>
      <c:valAx>
        <c:axId val="656270856"/>
        <c:scaling>
          <c:orientation val="minMax"/>
          <c:max val="20.0"/>
          <c:min val="0.0"/>
        </c:scaling>
        <c:delete val="0"/>
        <c:axPos val="b"/>
        <c:numFmt formatCode="General" sourceLinked="0"/>
        <c:majorTickMark val="none"/>
        <c:minorTickMark val="none"/>
        <c:tickLblPos val="none"/>
        <c:crossAx val="656273848"/>
        <c:crosses val="autoZero"/>
        <c:crossBetween val="midCat"/>
        <c:majorUnit val="5.0"/>
        <c:minorUnit val="1.0"/>
      </c:valAx>
      <c:valAx>
        <c:axId val="656273848"/>
        <c:scaling>
          <c:orientation val="minMax"/>
          <c:max val="10.0"/>
          <c:min val="3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it-IT"/>
          </a:p>
        </c:txPr>
        <c:crossAx val="656270856"/>
        <c:crosses val="autoZero"/>
        <c:crossBetween val="midCat"/>
      </c:valAx>
      <c:spPr>
        <a:gradFill>
          <a:gsLst>
            <a:gs pos="64000">
              <a:srgbClr val="FFC000"/>
            </a:gs>
            <a:gs pos="45000">
              <a:srgbClr val="92D050"/>
            </a:gs>
            <a:gs pos="0">
              <a:schemeClr val="accent3">
                <a:lumMod val="50000"/>
              </a:schemeClr>
            </a:gs>
            <a:gs pos="82000">
              <a:srgbClr val="FF0300"/>
            </a:gs>
            <a:gs pos="100000">
              <a:srgbClr val="4D0808"/>
            </a:gs>
          </a:gsLst>
          <a:lin ang="5400000" scaled="0"/>
        </a:gradFill>
      </c:spPr>
    </c:plotArea>
    <c:legend>
      <c:legendPos val="r"/>
      <c:layout/>
      <c:overlay val="0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spPr>
    <a:ln>
      <a:noFill/>
    </a:ln>
    <a:effectLst>
      <a:outerShdw blurRad="40000" dist="23000" dir="5400000" rotWithShape="0">
        <a:srgbClr val="000000">
          <a:alpha val="35000"/>
        </a:srgbClr>
      </a:outerShdw>
    </a:effectLst>
    <a:scene3d>
      <a:camera prst="orthographicFront">
        <a:rot lat="0" lon="0" rev="0"/>
      </a:camera>
      <a:lightRig rig="threePt" dir="t">
        <a:rot lat="0" lon="0" rev="1200000"/>
      </a:lightRig>
    </a:scene3d>
    <a:sp3d>
      <a:bevelT w="63500" h="25400"/>
    </a:sp3d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1.0" l="0.75" r="0.75" t="1.0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 sz="1200"/>
              <a:t>Grandi Amministrazioni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Sintesi!$AB$79</c:f>
              <c:strCache>
                <c:ptCount val="1"/>
                <c:pt idx="0">
                  <c:v>KPI 1</c:v>
                </c:pt>
              </c:strCache>
            </c:strRef>
          </c:tx>
          <c:cat>
            <c:numRef>
              <c:f>Sintesi!$AC$78:$AF$78</c:f>
              <c:numCache>
                <c:formatCode>General</c:formatCode>
                <c:ptCount val="4"/>
                <c:pt idx="0">
                  <c:v>2007.0</c:v>
                </c:pt>
                <c:pt idx="1">
                  <c:v>2008.0</c:v>
                </c:pt>
                <c:pt idx="2">
                  <c:v>2009.0</c:v>
                </c:pt>
                <c:pt idx="3">
                  <c:v>2010.0</c:v>
                </c:pt>
              </c:numCache>
            </c:numRef>
          </c:cat>
          <c:val>
            <c:numRef>
              <c:f>Sintesi!$AC$79:$AF$79</c:f>
              <c:numCache>
                <c:formatCode>0.00</c:formatCode>
                <c:ptCount val="4"/>
                <c:pt idx="0">
                  <c:v>8.422222222222224</c:v>
                </c:pt>
                <c:pt idx="1">
                  <c:v>7.328571428571429</c:v>
                </c:pt>
                <c:pt idx="2">
                  <c:v>8.4</c:v>
                </c:pt>
                <c:pt idx="3">
                  <c:v>8.5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Sintesi!$AB$80</c:f>
              <c:strCache>
                <c:ptCount val="1"/>
                <c:pt idx="0">
                  <c:v>KPI 2</c:v>
                </c:pt>
              </c:strCache>
            </c:strRef>
          </c:tx>
          <c:cat>
            <c:numRef>
              <c:f>Sintesi!$AC$78:$AF$78</c:f>
              <c:numCache>
                <c:formatCode>General</c:formatCode>
                <c:ptCount val="4"/>
                <c:pt idx="0">
                  <c:v>2007.0</c:v>
                </c:pt>
                <c:pt idx="1">
                  <c:v>2008.0</c:v>
                </c:pt>
                <c:pt idx="2">
                  <c:v>2009.0</c:v>
                </c:pt>
                <c:pt idx="3">
                  <c:v>2010.0</c:v>
                </c:pt>
              </c:numCache>
            </c:numRef>
          </c:cat>
          <c:val>
            <c:numRef>
              <c:f>Sintesi!$AC$80:$AF$80</c:f>
              <c:numCache>
                <c:formatCode>0.00</c:formatCode>
                <c:ptCount val="4"/>
                <c:pt idx="0">
                  <c:v>8.530864197530864</c:v>
                </c:pt>
                <c:pt idx="1">
                  <c:v>8.285714285714286</c:v>
                </c:pt>
                <c:pt idx="2">
                  <c:v>8.76543209876543</c:v>
                </c:pt>
                <c:pt idx="3">
                  <c:v>8.555555555555555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Sintesi!$AB$81</c:f>
              <c:strCache>
                <c:ptCount val="1"/>
                <c:pt idx="0">
                  <c:v>KPI 3</c:v>
                </c:pt>
              </c:strCache>
            </c:strRef>
          </c:tx>
          <c:cat>
            <c:numRef>
              <c:f>Sintesi!$AC$78:$AF$78</c:f>
              <c:numCache>
                <c:formatCode>General</c:formatCode>
                <c:ptCount val="4"/>
                <c:pt idx="0">
                  <c:v>2007.0</c:v>
                </c:pt>
                <c:pt idx="1">
                  <c:v>2008.0</c:v>
                </c:pt>
                <c:pt idx="2">
                  <c:v>2009.0</c:v>
                </c:pt>
                <c:pt idx="3">
                  <c:v>2010.0</c:v>
                </c:pt>
              </c:numCache>
            </c:numRef>
          </c:cat>
          <c:val>
            <c:numRef>
              <c:f>Sintesi!$AC$81:$AF$81</c:f>
              <c:numCache>
                <c:formatCode>0.00</c:formatCode>
                <c:ptCount val="4"/>
                <c:pt idx="0">
                  <c:v>7.888888888888889</c:v>
                </c:pt>
                <c:pt idx="1">
                  <c:v>7.476190476190475</c:v>
                </c:pt>
                <c:pt idx="2">
                  <c:v>8.395061728395063</c:v>
                </c:pt>
                <c:pt idx="3">
                  <c:v>8.037037037037036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Sintesi!$AB$82</c:f>
              <c:strCache>
                <c:ptCount val="1"/>
                <c:pt idx="0">
                  <c:v>KPI 4</c:v>
                </c:pt>
              </c:strCache>
            </c:strRef>
          </c:tx>
          <c:cat>
            <c:numRef>
              <c:f>Sintesi!$AC$78:$AF$78</c:f>
              <c:numCache>
                <c:formatCode>General</c:formatCode>
                <c:ptCount val="4"/>
                <c:pt idx="0">
                  <c:v>2007.0</c:v>
                </c:pt>
                <c:pt idx="1">
                  <c:v>2008.0</c:v>
                </c:pt>
                <c:pt idx="2">
                  <c:v>2009.0</c:v>
                </c:pt>
                <c:pt idx="3">
                  <c:v>2010.0</c:v>
                </c:pt>
              </c:numCache>
            </c:numRef>
          </c:cat>
          <c:val>
            <c:numRef>
              <c:f>Sintesi!$AC$82:$AF$82</c:f>
              <c:numCache>
                <c:formatCode>0.00</c:formatCode>
                <c:ptCount val="4"/>
                <c:pt idx="0">
                  <c:v>7.623931623931623</c:v>
                </c:pt>
                <c:pt idx="1">
                  <c:v>7.758241758241758</c:v>
                </c:pt>
                <c:pt idx="2">
                  <c:v>8.05128205128205</c:v>
                </c:pt>
                <c:pt idx="3">
                  <c:v>8.23076923076923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298552"/>
        <c:axId val="656301736"/>
      </c:lineChart>
      <c:catAx>
        <c:axId val="656298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656301736"/>
        <c:crosses val="autoZero"/>
        <c:auto val="1"/>
        <c:lblAlgn val="ctr"/>
        <c:lblOffset val="100"/>
        <c:noMultiLvlLbl val="0"/>
      </c:catAx>
      <c:valAx>
        <c:axId val="656301736"/>
        <c:scaling>
          <c:orientation val="minMax"/>
          <c:min val="4.0"/>
        </c:scaling>
        <c:delete val="0"/>
        <c:axPos val="l"/>
        <c:majorGridlines/>
        <c:numFmt formatCode="0.00" sourceLinked="1"/>
        <c:majorTickMark val="none"/>
        <c:minorTickMark val="none"/>
        <c:tickLblPos val="nextTo"/>
        <c:crossAx val="656298552"/>
        <c:crosses val="autoZero"/>
        <c:crossBetween val="between"/>
        <c:minorUnit val="0.5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/>
            </a:pPr>
            <a:r>
              <a:rPr lang="it-IT" sz="1200"/>
              <a:t>Medie Amministrazioni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Sintesi!$AB$83</c:f>
              <c:strCache>
                <c:ptCount val="1"/>
                <c:pt idx="0">
                  <c:v>KPI 1</c:v>
                </c:pt>
              </c:strCache>
            </c:strRef>
          </c:tx>
          <c:cat>
            <c:numRef>
              <c:f>Sintesi!$AC$78:$AF$78</c:f>
              <c:numCache>
                <c:formatCode>General</c:formatCode>
                <c:ptCount val="4"/>
                <c:pt idx="0">
                  <c:v>2007.0</c:v>
                </c:pt>
                <c:pt idx="1">
                  <c:v>2008.0</c:v>
                </c:pt>
                <c:pt idx="2">
                  <c:v>2009.0</c:v>
                </c:pt>
                <c:pt idx="3">
                  <c:v>2010.0</c:v>
                </c:pt>
              </c:numCache>
            </c:numRef>
          </c:cat>
          <c:val>
            <c:numRef>
              <c:f>Sintesi!$AC$83:$AF$83</c:f>
              <c:numCache>
                <c:formatCode>0.00</c:formatCode>
                <c:ptCount val="4"/>
                <c:pt idx="0">
                  <c:v>6.96785714285714</c:v>
                </c:pt>
                <c:pt idx="1">
                  <c:v>7.28846153846154</c:v>
                </c:pt>
                <c:pt idx="2">
                  <c:v>7.222727272727273</c:v>
                </c:pt>
                <c:pt idx="3">
                  <c:v>7.566666666666665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Sintesi!$AB$84</c:f>
              <c:strCache>
                <c:ptCount val="1"/>
                <c:pt idx="0">
                  <c:v>KPI 2</c:v>
                </c:pt>
              </c:strCache>
            </c:strRef>
          </c:tx>
          <c:cat>
            <c:numRef>
              <c:f>Sintesi!$AC$78:$AF$78</c:f>
              <c:numCache>
                <c:formatCode>General</c:formatCode>
                <c:ptCount val="4"/>
                <c:pt idx="0">
                  <c:v>2007.0</c:v>
                </c:pt>
                <c:pt idx="1">
                  <c:v>2008.0</c:v>
                </c:pt>
                <c:pt idx="2">
                  <c:v>2009.0</c:v>
                </c:pt>
                <c:pt idx="3">
                  <c:v>2010.0</c:v>
                </c:pt>
              </c:numCache>
            </c:numRef>
          </c:cat>
          <c:val>
            <c:numRef>
              <c:f>Sintesi!$AC$84:$AF$84</c:f>
              <c:numCache>
                <c:formatCode>0.00</c:formatCode>
                <c:ptCount val="4"/>
                <c:pt idx="0">
                  <c:v>8.011904761904763</c:v>
                </c:pt>
                <c:pt idx="1">
                  <c:v>8.205128205128202</c:v>
                </c:pt>
                <c:pt idx="2">
                  <c:v>8.43939393939394</c:v>
                </c:pt>
                <c:pt idx="3">
                  <c:v>8.511111111111111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Sintesi!$AB$85</c:f>
              <c:strCache>
                <c:ptCount val="1"/>
                <c:pt idx="0">
                  <c:v>KPI 3</c:v>
                </c:pt>
              </c:strCache>
            </c:strRef>
          </c:tx>
          <c:cat>
            <c:numRef>
              <c:f>Sintesi!$AC$78:$AF$78</c:f>
              <c:numCache>
                <c:formatCode>General</c:formatCode>
                <c:ptCount val="4"/>
                <c:pt idx="0">
                  <c:v>2007.0</c:v>
                </c:pt>
                <c:pt idx="1">
                  <c:v>2008.0</c:v>
                </c:pt>
                <c:pt idx="2">
                  <c:v>2009.0</c:v>
                </c:pt>
                <c:pt idx="3">
                  <c:v>2010.0</c:v>
                </c:pt>
              </c:numCache>
            </c:numRef>
          </c:cat>
          <c:val>
            <c:numRef>
              <c:f>Sintesi!$AC$85:$AF$85</c:f>
              <c:numCache>
                <c:formatCode>0.00</c:formatCode>
                <c:ptCount val="4"/>
                <c:pt idx="0">
                  <c:v>7.0</c:v>
                </c:pt>
                <c:pt idx="1">
                  <c:v>7.05128205128205</c:v>
                </c:pt>
                <c:pt idx="2">
                  <c:v>6.65151515151515</c:v>
                </c:pt>
                <c:pt idx="3">
                  <c:v>7.03333333333333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Sintesi!$AB$86</c:f>
              <c:strCache>
                <c:ptCount val="1"/>
                <c:pt idx="0">
                  <c:v>KPI 4</c:v>
                </c:pt>
              </c:strCache>
            </c:strRef>
          </c:tx>
          <c:cat>
            <c:numRef>
              <c:f>Sintesi!$AC$78:$AF$78</c:f>
              <c:numCache>
                <c:formatCode>General</c:formatCode>
                <c:ptCount val="4"/>
                <c:pt idx="0">
                  <c:v>2007.0</c:v>
                </c:pt>
                <c:pt idx="1">
                  <c:v>2008.0</c:v>
                </c:pt>
                <c:pt idx="2">
                  <c:v>2009.0</c:v>
                </c:pt>
                <c:pt idx="3">
                  <c:v>2010.0</c:v>
                </c:pt>
              </c:numCache>
            </c:numRef>
          </c:cat>
          <c:val>
            <c:numRef>
              <c:f>Sintesi!$AC$86:$AF$86</c:f>
              <c:numCache>
                <c:formatCode>0.00</c:formatCode>
                <c:ptCount val="4"/>
                <c:pt idx="0">
                  <c:v>6.115384615384613</c:v>
                </c:pt>
                <c:pt idx="1">
                  <c:v>6.207100591715977</c:v>
                </c:pt>
                <c:pt idx="2">
                  <c:v>5.000000000000001</c:v>
                </c:pt>
                <c:pt idx="3">
                  <c:v>5.779487179487178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974344"/>
        <c:axId val="645971176"/>
      </c:lineChart>
      <c:catAx>
        <c:axId val="64597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645971176"/>
        <c:crosses val="autoZero"/>
        <c:auto val="1"/>
        <c:lblAlgn val="ctr"/>
        <c:lblOffset val="100"/>
        <c:noMultiLvlLbl val="0"/>
      </c:catAx>
      <c:valAx>
        <c:axId val="645971176"/>
        <c:scaling>
          <c:orientation val="minMax"/>
          <c:max val="10.0"/>
          <c:min val="4.0"/>
        </c:scaling>
        <c:delete val="0"/>
        <c:axPos val="l"/>
        <c:majorGridlines/>
        <c:numFmt formatCode="0.00" sourceLinked="1"/>
        <c:majorTickMark val="none"/>
        <c:minorTickMark val="none"/>
        <c:tickLblPos val="nextTo"/>
        <c:crossAx val="6459743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200"/>
            </a:pPr>
            <a:r>
              <a:rPr lang="it-IT" sz="1200"/>
              <a:t>Piccole Amministrazioni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Sintesi!$AB$87</c:f>
              <c:strCache>
                <c:ptCount val="1"/>
                <c:pt idx="0">
                  <c:v>KPI 1</c:v>
                </c:pt>
              </c:strCache>
            </c:strRef>
          </c:tx>
          <c:cat>
            <c:numRef>
              <c:f>Sintesi!$AC$78:$AF$78</c:f>
              <c:numCache>
                <c:formatCode>General</c:formatCode>
                <c:ptCount val="4"/>
                <c:pt idx="0">
                  <c:v>2007.0</c:v>
                </c:pt>
                <c:pt idx="1">
                  <c:v>2008.0</c:v>
                </c:pt>
                <c:pt idx="2">
                  <c:v>2009.0</c:v>
                </c:pt>
                <c:pt idx="3">
                  <c:v>2010.0</c:v>
                </c:pt>
              </c:numCache>
            </c:numRef>
          </c:cat>
          <c:val>
            <c:numRef>
              <c:f>Sintesi!$AC$87:$AF$87</c:f>
              <c:numCache>
                <c:formatCode>0.00</c:formatCode>
                <c:ptCount val="4"/>
                <c:pt idx="0">
                  <c:v>6.576470588235295</c:v>
                </c:pt>
                <c:pt idx="1">
                  <c:v>7.323076923076925</c:v>
                </c:pt>
                <c:pt idx="2">
                  <c:v>7.527272727272728</c:v>
                </c:pt>
                <c:pt idx="3">
                  <c:v>7.088888888888889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Sintesi!$AB$88</c:f>
              <c:strCache>
                <c:ptCount val="1"/>
                <c:pt idx="0">
                  <c:v>KPI 2</c:v>
                </c:pt>
              </c:strCache>
            </c:strRef>
          </c:tx>
          <c:cat>
            <c:numRef>
              <c:f>Sintesi!$AC$78:$AF$78</c:f>
              <c:numCache>
                <c:formatCode>General</c:formatCode>
                <c:ptCount val="4"/>
                <c:pt idx="0">
                  <c:v>2007.0</c:v>
                </c:pt>
                <c:pt idx="1">
                  <c:v>2008.0</c:v>
                </c:pt>
                <c:pt idx="2">
                  <c:v>2009.0</c:v>
                </c:pt>
                <c:pt idx="3">
                  <c:v>2010.0</c:v>
                </c:pt>
              </c:numCache>
            </c:numRef>
          </c:cat>
          <c:val>
            <c:numRef>
              <c:f>Sintesi!$AC$88:$AF$88</c:f>
              <c:numCache>
                <c:formatCode>0.00</c:formatCode>
                <c:ptCount val="4"/>
                <c:pt idx="0">
                  <c:v>5.954248366013071</c:v>
                </c:pt>
                <c:pt idx="1">
                  <c:v>6.623931623931624</c:v>
                </c:pt>
                <c:pt idx="2">
                  <c:v>7.424242424242422</c:v>
                </c:pt>
                <c:pt idx="3">
                  <c:v>6.48148148148148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Sintesi!$AB$89</c:f>
              <c:strCache>
                <c:ptCount val="1"/>
                <c:pt idx="0">
                  <c:v>KPI 3</c:v>
                </c:pt>
              </c:strCache>
            </c:strRef>
          </c:tx>
          <c:cat>
            <c:numRef>
              <c:f>Sintesi!$AC$78:$AF$78</c:f>
              <c:numCache>
                <c:formatCode>General</c:formatCode>
                <c:ptCount val="4"/>
                <c:pt idx="0">
                  <c:v>2007.0</c:v>
                </c:pt>
                <c:pt idx="1">
                  <c:v>2008.0</c:v>
                </c:pt>
                <c:pt idx="2">
                  <c:v>2009.0</c:v>
                </c:pt>
                <c:pt idx="3">
                  <c:v>2010.0</c:v>
                </c:pt>
              </c:numCache>
            </c:numRef>
          </c:cat>
          <c:val>
            <c:numRef>
              <c:f>Sintesi!$AC$89:$AF$89</c:f>
              <c:numCache>
                <c:formatCode>0.00</c:formatCode>
                <c:ptCount val="4"/>
                <c:pt idx="0">
                  <c:v>5.660130718954249</c:v>
                </c:pt>
                <c:pt idx="1">
                  <c:v>6.051282051282053</c:v>
                </c:pt>
                <c:pt idx="2">
                  <c:v>4.777777777777778</c:v>
                </c:pt>
                <c:pt idx="3">
                  <c:v>6.308641975308642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Sintesi!$AB$90</c:f>
              <c:strCache>
                <c:ptCount val="1"/>
                <c:pt idx="0">
                  <c:v>KPI 4</c:v>
                </c:pt>
              </c:strCache>
            </c:strRef>
          </c:tx>
          <c:cat>
            <c:numRef>
              <c:f>Sintesi!$AC$78:$AF$78</c:f>
              <c:numCache>
                <c:formatCode>General</c:formatCode>
                <c:ptCount val="4"/>
                <c:pt idx="0">
                  <c:v>2007.0</c:v>
                </c:pt>
                <c:pt idx="1">
                  <c:v>2008.0</c:v>
                </c:pt>
                <c:pt idx="2">
                  <c:v>2009.0</c:v>
                </c:pt>
                <c:pt idx="3">
                  <c:v>2010.0</c:v>
                </c:pt>
              </c:numCache>
            </c:numRef>
          </c:cat>
          <c:val>
            <c:numRef>
              <c:f>Sintesi!$AC$90:$AF$90</c:f>
              <c:numCache>
                <c:formatCode>0.00</c:formatCode>
                <c:ptCount val="4"/>
                <c:pt idx="0">
                  <c:v>4.461538461538462</c:v>
                </c:pt>
                <c:pt idx="1">
                  <c:v>5.171597633136096</c:v>
                </c:pt>
                <c:pt idx="2">
                  <c:v>5.104895104895105</c:v>
                </c:pt>
                <c:pt idx="3">
                  <c:v>6.581196581196583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592712"/>
        <c:axId val="656595896"/>
      </c:lineChart>
      <c:catAx>
        <c:axId val="656592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656595896"/>
        <c:crosses val="autoZero"/>
        <c:auto val="1"/>
        <c:lblAlgn val="ctr"/>
        <c:lblOffset val="100"/>
        <c:noMultiLvlLbl val="0"/>
      </c:catAx>
      <c:valAx>
        <c:axId val="656595896"/>
        <c:scaling>
          <c:orientation val="minMax"/>
          <c:max val="10.0"/>
          <c:min val="4.0"/>
        </c:scaling>
        <c:delete val="0"/>
        <c:axPos val="l"/>
        <c:majorGridlines/>
        <c:numFmt formatCode="0.00" sourceLinked="1"/>
        <c:majorTickMark val="none"/>
        <c:minorTickMark val="none"/>
        <c:tickLblPos val="nextTo"/>
        <c:crossAx val="6565927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Risultati</a:t>
            </a:r>
            <a:r>
              <a:rPr lang="en-US" sz="1000" baseline="0"/>
              <a:t> q</a:t>
            </a:r>
            <a:r>
              <a:rPr lang="en-US" sz="1000"/>
              <a:t>uesiti relativi al KPI1</a:t>
            </a:r>
          </a:p>
        </c:rich>
      </c:tx>
      <c:layout>
        <c:manualLayout>
          <c:xMode val="edge"/>
          <c:yMode val="edge"/>
          <c:x val="0.233744763082094"/>
          <c:y val="0.0"/>
        </c:manualLayout>
      </c:layout>
      <c:overlay val="1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Sintesi!$C$83:$L$83</c:f>
              <c:strCache>
                <c:ptCount val="10"/>
                <c:pt idx="0">
                  <c:v>KPI 1.1</c:v>
                </c:pt>
                <c:pt idx="1">
                  <c:v>KPI 1.2</c:v>
                </c:pt>
                <c:pt idx="2">
                  <c:v>KPI 1.3</c:v>
                </c:pt>
                <c:pt idx="3">
                  <c:v>KPI 1.3a</c:v>
                </c:pt>
                <c:pt idx="4">
                  <c:v>KPI 1.4</c:v>
                </c:pt>
                <c:pt idx="5">
                  <c:v>KPI 1.5</c:v>
                </c:pt>
                <c:pt idx="6">
                  <c:v>KPI 1.6</c:v>
                </c:pt>
                <c:pt idx="7">
                  <c:v>KPI 1.7</c:v>
                </c:pt>
                <c:pt idx="8">
                  <c:v>KPI 1.8</c:v>
                </c:pt>
                <c:pt idx="9">
                  <c:v>KPI 1.9</c:v>
                </c:pt>
              </c:strCache>
            </c:strRef>
          </c:cat>
          <c:val>
            <c:numRef>
              <c:f>Sintesi!$C$84:$L$84</c:f>
              <c:numCache>
                <c:formatCode>0.00</c:formatCode>
                <c:ptCount val="10"/>
                <c:pt idx="0">
                  <c:v>6.782608695652173</c:v>
                </c:pt>
                <c:pt idx="1">
                  <c:v>9.130434782608695</c:v>
                </c:pt>
                <c:pt idx="2">
                  <c:v>7.173913043478261</c:v>
                </c:pt>
                <c:pt idx="3">
                  <c:v>4.695652173913044</c:v>
                </c:pt>
                <c:pt idx="4">
                  <c:v>9.304347826086956</c:v>
                </c:pt>
                <c:pt idx="5">
                  <c:v>7.869565217391305</c:v>
                </c:pt>
                <c:pt idx="6">
                  <c:v>6.956521739130434</c:v>
                </c:pt>
                <c:pt idx="7">
                  <c:v>4.956521739130434</c:v>
                </c:pt>
                <c:pt idx="8">
                  <c:v>8.956521739130435</c:v>
                </c:pt>
                <c:pt idx="9">
                  <c:v>8.478260869565216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656614040"/>
        <c:axId val="656617016"/>
        <c:axId val="0"/>
      </c:bar3DChart>
      <c:catAx>
        <c:axId val="65661404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 lIns="2">
            <a:spAutoFit/>
          </a:bodyPr>
          <a:lstStyle/>
          <a:p>
            <a:pPr>
              <a:defRPr sz="800"/>
            </a:pPr>
            <a:endParaRPr lang="it-IT"/>
          </a:p>
        </c:txPr>
        <c:crossAx val="656617016"/>
        <c:crosses val="autoZero"/>
        <c:auto val="1"/>
        <c:lblAlgn val="ctr"/>
        <c:lblOffset val="100"/>
        <c:noMultiLvlLbl val="0"/>
      </c:catAx>
      <c:valAx>
        <c:axId val="65661701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656614040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25400" cap="flat" cmpd="sng" algn="ctr">
      <a:solidFill>
        <a:schemeClr val="accent1"/>
      </a:solidFill>
      <a:prstDash val="solid"/>
    </a:ln>
    <a:effectLst>
      <a:innerShdw blurRad="63500" dist="50800" dir="8100000">
        <a:prstClr val="black">
          <a:alpha val="50000"/>
        </a:prstClr>
      </a:inn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1.0" l="0.75" r="0.75" t="1.0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Risultati</a:t>
            </a:r>
            <a:r>
              <a:rPr lang="en-US" sz="1000" baseline="0"/>
              <a:t> q</a:t>
            </a:r>
            <a:r>
              <a:rPr lang="en-US" sz="1000"/>
              <a:t>uesiti relativi al KPI2</a:t>
            </a:r>
          </a:p>
        </c:rich>
      </c:tx>
      <c:layout>
        <c:manualLayout>
          <c:xMode val="edge"/>
          <c:yMode val="edge"/>
          <c:x val="0.246974957236525"/>
          <c:y val="0.0"/>
        </c:manualLayout>
      </c:layout>
      <c:overlay val="1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Sintesi!$C$85:$K$85</c:f>
              <c:strCache>
                <c:ptCount val="9"/>
                <c:pt idx="0">
                  <c:v>KPI 2.1</c:v>
                </c:pt>
                <c:pt idx="1">
                  <c:v>KPI 2.2</c:v>
                </c:pt>
                <c:pt idx="2">
                  <c:v>KPI 2.3</c:v>
                </c:pt>
                <c:pt idx="3">
                  <c:v>KPI 2.4</c:v>
                </c:pt>
                <c:pt idx="4">
                  <c:v>KPI 2.5</c:v>
                </c:pt>
                <c:pt idx="5">
                  <c:v>KPI 2.6</c:v>
                </c:pt>
                <c:pt idx="6">
                  <c:v>KPI 2.7</c:v>
                </c:pt>
                <c:pt idx="7">
                  <c:v>KPI 2.8</c:v>
                </c:pt>
                <c:pt idx="8">
                  <c:v>KPI 2.9</c:v>
                </c:pt>
              </c:strCache>
            </c:strRef>
          </c:cat>
          <c:val>
            <c:numRef>
              <c:f>Sintesi!$C$86:$K$86</c:f>
              <c:numCache>
                <c:formatCode>0.00</c:formatCode>
                <c:ptCount val="9"/>
                <c:pt idx="0">
                  <c:v>9.130434782608695</c:v>
                </c:pt>
                <c:pt idx="1">
                  <c:v>8.91304347826087</c:v>
                </c:pt>
                <c:pt idx="2">
                  <c:v>6.956521739130434</c:v>
                </c:pt>
                <c:pt idx="3">
                  <c:v>7.717391304347826</c:v>
                </c:pt>
                <c:pt idx="4">
                  <c:v>5.565217391304347</c:v>
                </c:pt>
                <c:pt idx="5">
                  <c:v>7.782608695652173</c:v>
                </c:pt>
                <c:pt idx="6">
                  <c:v>9.217391304347826</c:v>
                </c:pt>
                <c:pt idx="7">
                  <c:v>7.391304347826087</c:v>
                </c:pt>
                <c:pt idx="8">
                  <c:v>8.956521739130435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656645352"/>
        <c:axId val="656648328"/>
        <c:axId val="0"/>
      </c:bar3DChart>
      <c:catAx>
        <c:axId val="65664535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 lIns="2">
            <a:spAutoFit/>
          </a:bodyPr>
          <a:lstStyle/>
          <a:p>
            <a:pPr>
              <a:defRPr sz="800"/>
            </a:pPr>
            <a:endParaRPr lang="it-IT"/>
          </a:p>
        </c:txPr>
        <c:crossAx val="656648328"/>
        <c:crosses val="autoZero"/>
        <c:auto val="1"/>
        <c:lblAlgn val="ctr"/>
        <c:lblOffset val="100"/>
        <c:noMultiLvlLbl val="0"/>
      </c:catAx>
      <c:valAx>
        <c:axId val="656648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656645352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25400" cap="flat" cmpd="sng" algn="ctr">
      <a:solidFill>
        <a:schemeClr val="accent1"/>
      </a:solidFill>
      <a:prstDash val="solid"/>
    </a:ln>
    <a:effectLst>
      <a:innerShdw blurRad="63500" dist="50800" dir="8100000">
        <a:prstClr val="black">
          <a:alpha val="50000"/>
        </a:prstClr>
      </a:inn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1.0" l="0.75" r="0.75" t="1.0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Risultati</a:t>
            </a:r>
            <a:r>
              <a:rPr lang="en-US" sz="1000" baseline="0"/>
              <a:t> q</a:t>
            </a:r>
            <a:r>
              <a:rPr lang="en-US" sz="1000"/>
              <a:t>uesiti relativi al KPI3</a:t>
            </a:r>
          </a:p>
        </c:rich>
      </c:tx>
      <c:layout>
        <c:manualLayout>
          <c:xMode val="edge"/>
          <c:yMode val="edge"/>
          <c:x val="0.22933472695105"/>
          <c:y val="0.0"/>
        </c:manualLayout>
      </c:layout>
      <c:overlay val="1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Sintesi!$C$87:$K$87</c:f>
              <c:strCache>
                <c:ptCount val="9"/>
                <c:pt idx="0">
                  <c:v>KPI 3.1</c:v>
                </c:pt>
                <c:pt idx="1">
                  <c:v>KPI 3.2</c:v>
                </c:pt>
                <c:pt idx="2">
                  <c:v>KPI 3.3</c:v>
                </c:pt>
                <c:pt idx="3">
                  <c:v>KPI 3.4</c:v>
                </c:pt>
                <c:pt idx="4">
                  <c:v>KPI 3.5</c:v>
                </c:pt>
                <c:pt idx="5">
                  <c:v>KPI 3.6</c:v>
                </c:pt>
                <c:pt idx="6">
                  <c:v>KPI 3.7</c:v>
                </c:pt>
                <c:pt idx="7">
                  <c:v>KPI 3.8</c:v>
                </c:pt>
                <c:pt idx="8">
                  <c:v>KPI 3.9</c:v>
                </c:pt>
              </c:strCache>
            </c:strRef>
          </c:cat>
          <c:val>
            <c:numRef>
              <c:f>Sintesi!$C$88:$K$88</c:f>
              <c:numCache>
                <c:formatCode>0.00</c:formatCode>
                <c:ptCount val="9"/>
                <c:pt idx="0">
                  <c:v>4.347826086956521</c:v>
                </c:pt>
                <c:pt idx="1">
                  <c:v>5.304347826086956</c:v>
                </c:pt>
                <c:pt idx="2">
                  <c:v>4.0</c:v>
                </c:pt>
                <c:pt idx="3">
                  <c:v>6.521739130434782</c:v>
                </c:pt>
                <c:pt idx="4">
                  <c:v>8.043478260869565</c:v>
                </c:pt>
                <c:pt idx="5">
                  <c:v>7.826086956521739</c:v>
                </c:pt>
                <c:pt idx="6">
                  <c:v>8.478260869565216</c:v>
                </c:pt>
                <c:pt idx="7">
                  <c:v>9.347826086956521</c:v>
                </c:pt>
                <c:pt idx="8">
                  <c:v>8.0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656674216"/>
        <c:axId val="656677192"/>
        <c:axId val="0"/>
      </c:bar3DChart>
      <c:catAx>
        <c:axId val="65667421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 lIns="2">
            <a:spAutoFit/>
          </a:bodyPr>
          <a:lstStyle/>
          <a:p>
            <a:pPr>
              <a:defRPr sz="800"/>
            </a:pPr>
            <a:endParaRPr lang="it-IT"/>
          </a:p>
        </c:txPr>
        <c:crossAx val="656677192"/>
        <c:crosses val="autoZero"/>
        <c:auto val="1"/>
        <c:lblAlgn val="ctr"/>
        <c:lblOffset val="100"/>
        <c:noMultiLvlLbl val="0"/>
      </c:catAx>
      <c:valAx>
        <c:axId val="65667719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656674216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25400" cap="flat" cmpd="sng" algn="ctr">
      <a:solidFill>
        <a:schemeClr val="accent1"/>
      </a:solidFill>
      <a:prstDash val="solid"/>
    </a:ln>
    <a:effectLst>
      <a:innerShdw blurRad="63500" dist="50800" dir="8100000">
        <a:prstClr val="black">
          <a:alpha val="50000"/>
        </a:prstClr>
      </a:inn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1.0" l="0.75" r="0.75" t="1.0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Risultati quesiti relativi al KPI4</a:t>
            </a:r>
          </a:p>
        </c:rich>
      </c:tx>
      <c:layout>
        <c:manualLayout>
          <c:xMode val="edge"/>
          <c:yMode val="edge"/>
          <c:x val="0.242564835344182"/>
          <c:y val="0.0061652281134402"/>
        </c:manualLayout>
      </c:layout>
      <c:overlay val="1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cat>
            <c:strRef>
              <c:f>Sintesi!$C$89:$O$89</c:f>
              <c:strCache>
                <c:ptCount val="13"/>
                <c:pt idx="0">
                  <c:v>KPI 4.1</c:v>
                </c:pt>
                <c:pt idx="1">
                  <c:v>KPI 4.2</c:v>
                </c:pt>
                <c:pt idx="2">
                  <c:v>KPI 4.3</c:v>
                </c:pt>
                <c:pt idx="3">
                  <c:v>KPI 4.4</c:v>
                </c:pt>
                <c:pt idx="4">
                  <c:v>KPI 4.5</c:v>
                </c:pt>
                <c:pt idx="5">
                  <c:v>KPI 4.6</c:v>
                </c:pt>
                <c:pt idx="6">
                  <c:v>KPI 4.7</c:v>
                </c:pt>
                <c:pt idx="7">
                  <c:v>KPI 4.8</c:v>
                </c:pt>
                <c:pt idx="8">
                  <c:v>KPI 4.9</c:v>
                </c:pt>
                <c:pt idx="9">
                  <c:v>KPI 4.10</c:v>
                </c:pt>
                <c:pt idx="10">
                  <c:v>KPI 4.11</c:v>
                </c:pt>
                <c:pt idx="11">
                  <c:v>KPI 4.12</c:v>
                </c:pt>
                <c:pt idx="12">
                  <c:v>KPI 4.13</c:v>
                </c:pt>
              </c:strCache>
            </c:strRef>
          </c:cat>
          <c:val>
            <c:numRef>
              <c:f>Sintesi!$C$90:$O$90</c:f>
              <c:numCache>
                <c:formatCode>0.00</c:formatCode>
                <c:ptCount val="13"/>
                <c:pt idx="0">
                  <c:v>5.434782608695652</c:v>
                </c:pt>
                <c:pt idx="1">
                  <c:v>6.304347826086956</c:v>
                </c:pt>
                <c:pt idx="2">
                  <c:v>4.347826086956521</c:v>
                </c:pt>
                <c:pt idx="3">
                  <c:v>6.956521739130434</c:v>
                </c:pt>
                <c:pt idx="4">
                  <c:v>6.521739130434782</c:v>
                </c:pt>
                <c:pt idx="5">
                  <c:v>7.608695652173913</c:v>
                </c:pt>
                <c:pt idx="6">
                  <c:v>7.826086956521739</c:v>
                </c:pt>
                <c:pt idx="7">
                  <c:v>7.521739130434782</c:v>
                </c:pt>
                <c:pt idx="8">
                  <c:v>8.043478260869565</c:v>
                </c:pt>
                <c:pt idx="9">
                  <c:v>2.782608695652174</c:v>
                </c:pt>
                <c:pt idx="10">
                  <c:v>5.739130434782608</c:v>
                </c:pt>
                <c:pt idx="11">
                  <c:v>6.739130434782608</c:v>
                </c:pt>
                <c:pt idx="12">
                  <c:v>3.91304347826087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656720120"/>
        <c:axId val="656723160"/>
        <c:axId val="0"/>
      </c:bar3DChart>
      <c:catAx>
        <c:axId val="65672012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 lIns="2">
            <a:spAutoFit/>
          </a:bodyPr>
          <a:lstStyle/>
          <a:p>
            <a:pPr>
              <a:defRPr sz="800"/>
            </a:pPr>
            <a:endParaRPr lang="it-IT"/>
          </a:p>
        </c:txPr>
        <c:crossAx val="656723160"/>
        <c:crosses val="autoZero"/>
        <c:auto val="1"/>
        <c:lblAlgn val="ctr"/>
        <c:lblOffset val="100"/>
        <c:noMultiLvlLbl val="0"/>
      </c:catAx>
      <c:valAx>
        <c:axId val="65672316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656720120"/>
        <c:crosses val="autoZero"/>
        <c:crossBetween val="between"/>
      </c:valAx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25400" cap="flat" cmpd="sng" algn="ctr">
      <a:solidFill>
        <a:schemeClr val="accent1"/>
      </a:solidFill>
      <a:prstDash val="solid"/>
    </a:ln>
    <a:effectLst>
      <a:innerShdw blurRad="63500" dist="50800" dir="8100000">
        <a:prstClr val="black">
          <a:alpha val="50000"/>
        </a:prstClr>
      </a:inn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 alignWithMargins="0"/>
    <c:pageMargins b="1.0" l="0.750000000000002" r="0.750000000000002" t="1.0" header="0.5" footer="0.5"/>
    <c:pageSetup paperSize="9" orientation="landscape" horizontalDpi="1200" verticalDpi="1200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'Dati RUPA'!$A$5</c:f>
              <c:strCache>
                <c:ptCount val="1"/>
                <c:pt idx="0">
                  <c:v># attività ostili</c:v>
                </c:pt>
              </c:strCache>
            </c:strRef>
          </c:tx>
          <c:cat>
            <c:numRef>
              <c:f>'Dati RUPA'!$B$4:$H$4</c:f>
              <c:numCache>
                <c:formatCode>General</c:formatCode>
                <c:ptCount val="7"/>
                <c:pt idx="0">
                  <c:v>2001.0</c:v>
                </c:pt>
                <c:pt idx="1">
                  <c:v>2002.0</c:v>
                </c:pt>
                <c:pt idx="2">
                  <c:v>2003.0</c:v>
                </c:pt>
                <c:pt idx="3">
                  <c:v>2004.0</c:v>
                </c:pt>
                <c:pt idx="4">
                  <c:v>2005.0</c:v>
                </c:pt>
                <c:pt idx="5">
                  <c:v>2006.0</c:v>
                </c:pt>
                <c:pt idx="6">
                  <c:v>2007.0</c:v>
                </c:pt>
              </c:numCache>
            </c:numRef>
          </c:cat>
          <c:val>
            <c:numRef>
              <c:f>'Dati RUPA'!$B$5:$H$5</c:f>
              <c:numCache>
                <c:formatCode>General</c:formatCode>
                <c:ptCount val="7"/>
                <c:pt idx="1">
                  <c:v>15.0</c:v>
                </c:pt>
                <c:pt idx="2">
                  <c:v>8.0</c:v>
                </c:pt>
                <c:pt idx="3">
                  <c:v>5.0</c:v>
                </c:pt>
                <c:pt idx="4">
                  <c:v>7.0</c:v>
                </c:pt>
                <c:pt idx="5">
                  <c:v>5.0</c:v>
                </c:pt>
                <c:pt idx="6">
                  <c:v>4.0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389080"/>
        <c:axId val="667392120"/>
      </c:lineChart>
      <c:catAx>
        <c:axId val="667389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it-IT"/>
          </a:p>
        </c:txPr>
        <c:crossAx val="667392120"/>
        <c:crosses val="autoZero"/>
        <c:auto val="1"/>
        <c:lblAlgn val="ctr"/>
        <c:lblOffset val="100"/>
        <c:noMultiLvlLbl val="0"/>
      </c:catAx>
      <c:valAx>
        <c:axId val="667392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it-IT"/>
          </a:p>
        </c:txPr>
        <c:crossAx val="6673890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'Dati RUPA'!$J$6</c:f>
              <c:strCache>
                <c:ptCount val="1"/>
                <c:pt idx="0">
                  <c:v>milioni di virus rilevati</c:v>
                </c:pt>
              </c:strCache>
            </c:strRef>
          </c:tx>
          <c:cat>
            <c:numRef>
              <c:f>'Dati RUPA'!$K$4:$Q$4</c:f>
              <c:numCache>
                <c:formatCode>General</c:formatCode>
                <c:ptCount val="7"/>
                <c:pt idx="0">
                  <c:v>2001.0</c:v>
                </c:pt>
                <c:pt idx="1">
                  <c:v>2002.0</c:v>
                </c:pt>
                <c:pt idx="2">
                  <c:v>2003.0</c:v>
                </c:pt>
                <c:pt idx="3">
                  <c:v>2004.0</c:v>
                </c:pt>
                <c:pt idx="4">
                  <c:v>2005.0</c:v>
                </c:pt>
                <c:pt idx="5">
                  <c:v>2006.0</c:v>
                </c:pt>
                <c:pt idx="6">
                  <c:v>2007.0</c:v>
                </c:pt>
              </c:numCache>
            </c:numRef>
          </c:cat>
          <c:val>
            <c:numRef>
              <c:f>'Dati RUPA'!$K$6:$Q$6</c:f>
              <c:numCache>
                <c:formatCode>#,##0.00</c:formatCode>
                <c:ptCount val="7"/>
                <c:pt idx="0">
                  <c:v>0.104125</c:v>
                </c:pt>
                <c:pt idx="1">
                  <c:v>0.225587</c:v>
                </c:pt>
                <c:pt idx="2">
                  <c:v>1.054397</c:v>
                </c:pt>
                <c:pt idx="3">
                  <c:v>18.089571</c:v>
                </c:pt>
                <c:pt idx="4">
                  <c:v>11.947217</c:v>
                </c:pt>
                <c:pt idx="5">
                  <c:v>2.658865</c:v>
                </c:pt>
                <c:pt idx="6">
                  <c:v>3.33961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420520"/>
        <c:axId val="667423624"/>
      </c:lineChart>
      <c:catAx>
        <c:axId val="667420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it-IT"/>
          </a:p>
        </c:txPr>
        <c:crossAx val="667423624"/>
        <c:crosses val="autoZero"/>
        <c:auto val="1"/>
        <c:lblAlgn val="ctr"/>
        <c:lblOffset val="100"/>
        <c:noMultiLvlLbl val="0"/>
      </c:catAx>
      <c:valAx>
        <c:axId val="6674236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it-IT"/>
          </a:p>
        </c:txPr>
        <c:crossAx val="66742052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300"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'Dati RUPA'!$J$7</c:f>
              <c:strCache>
                <c:ptCount val="1"/>
                <c:pt idx="0">
                  <c:v>miliardi di http hit</c:v>
                </c:pt>
              </c:strCache>
            </c:strRef>
          </c:tx>
          <c:cat>
            <c:numRef>
              <c:f>'Dati RUPA'!$K$4:$Q$4</c:f>
              <c:numCache>
                <c:formatCode>General</c:formatCode>
                <c:ptCount val="7"/>
                <c:pt idx="0">
                  <c:v>2001.0</c:v>
                </c:pt>
                <c:pt idx="1">
                  <c:v>2002.0</c:v>
                </c:pt>
                <c:pt idx="2">
                  <c:v>2003.0</c:v>
                </c:pt>
                <c:pt idx="3">
                  <c:v>2004.0</c:v>
                </c:pt>
                <c:pt idx="4">
                  <c:v>2005.0</c:v>
                </c:pt>
                <c:pt idx="5">
                  <c:v>2006.0</c:v>
                </c:pt>
                <c:pt idx="6">
                  <c:v>2007.0</c:v>
                </c:pt>
              </c:numCache>
            </c:numRef>
          </c:cat>
          <c:val>
            <c:numRef>
              <c:f>'Dati RUPA'!$K$7:$Q$7</c:f>
              <c:numCache>
                <c:formatCode>#,##0.00</c:formatCode>
                <c:ptCount val="7"/>
                <c:pt idx="0">
                  <c:v>1.884349709</c:v>
                </c:pt>
                <c:pt idx="1">
                  <c:v>4.467059396</c:v>
                </c:pt>
                <c:pt idx="2">
                  <c:v>7.296546706</c:v>
                </c:pt>
                <c:pt idx="3">
                  <c:v>9.23739701</c:v>
                </c:pt>
                <c:pt idx="4">
                  <c:v>11.664427562</c:v>
                </c:pt>
                <c:pt idx="5">
                  <c:v>16.396052233</c:v>
                </c:pt>
                <c:pt idx="6">
                  <c:v>18.097282235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449768"/>
        <c:axId val="667452872"/>
      </c:lineChart>
      <c:catAx>
        <c:axId val="667449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it-IT"/>
          </a:p>
        </c:txPr>
        <c:crossAx val="667452872"/>
        <c:crosses val="autoZero"/>
        <c:auto val="1"/>
        <c:lblAlgn val="ctr"/>
        <c:lblOffset val="100"/>
        <c:noMultiLvlLbl val="0"/>
      </c:catAx>
      <c:valAx>
        <c:axId val="66745287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it-IT"/>
          </a:p>
        </c:txPr>
        <c:crossAx val="6674497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'Dati RUPA'!$J$8</c:f>
              <c:strCache>
                <c:ptCount val="1"/>
                <c:pt idx="0">
                  <c:v>milioni di  e-Mail scambiate</c:v>
                </c:pt>
              </c:strCache>
            </c:strRef>
          </c:tx>
          <c:cat>
            <c:numRef>
              <c:f>'Dati RUPA'!$K$4:$Q$4</c:f>
              <c:numCache>
                <c:formatCode>General</c:formatCode>
                <c:ptCount val="7"/>
                <c:pt idx="0">
                  <c:v>2001.0</c:v>
                </c:pt>
                <c:pt idx="1">
                  <c:v>2002.0</c:v>
                </c:pt>
                <c:pt idx="2">
                  <c:v>2003.0</c:v>
                </c:pt>
                <c:pt idx="3">
                  <c:v>2004.0</c:v>
                </c:pt>
                <c:pt idx="4">
                  <c:v>2005.0</c:v>
                </c:pt>
                <c:pt idx="5">
                  <c:v>2006.0</c:v>
                </c:pt>
                <c:pt idx="6">
                  <c:v>2007.0</c:v>
                </c:pt>
              </c:numCache>
            </c:numRef>
          </c:cat>
          <c:val>
            <c:numRef>
              <c:f>'Dati RUPA'!$K$8:$Q$8</c:f>
              <c:numCache>
                <c:formatCode>#,##0.00</c:formatCode>
                <c:ptCount val="7"/>
                <c:pt idx="0">
                  <c:v>4.771357</c:v>
                </c:pt>
                <c:pt idx="1">
                  <c:v>14.676455</c:v>
                </c:pt>
                <c:pt idx="2">
                  <c:v>31.16913</c:v>
                </c:pt>
                <c:pt idx="3">
                  <c:v>81.650487</c:v>
                </c:pt>
                <c:pt idx="4">
                  <c:v>92.684076</c:v>
                </c:pt>
                <c:pt idx="5">
                  <c:v>378.93884</c:v>
                </c:pt>
                <c:pt idx="6">
                  <c:v>1209.64032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478376"/>
        <c:axId val="667481480"/>
      </c:lineChart>
      <c:catAx>
        <c:axId val="667478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it-IT"/>
          </a:p>
        </c:txPr>
        <c:crossAx val="667481480"/>
        <c:crosses val="autoZero"/>
        <c:auto val="1"/>
        <c:lblAlgn val="ctr"/>
        <c:lblOffset val="100"/>
        <c:noMultiLvlLbl val="0"/>
      </c:catAx>
      <c:valAx>
        <c:axId val="667481480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it-IT"/>
          </a:p>
        </c:txPr>
        <c:crossAx val="6674783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1" l="0.700000000000001" r="0.700000000000001" t="0.750000000000001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0" Type="http://schemas.openxmlformats.org/officeDocument/2006/relationships/chart" Target="../charts/chart20.xml"/><Relationship Id="rId21" Type="http://schemas.openxmlformats.org/officeDocument/2006/relationships/chart" Target="../charts/chart21.xml"/><Relationship Id="rId22" Type="http://schemas.openxmlformats.org/officeDocument/2006/relationships/chart" Target="../charts/chart22.xml"/><Relationship Id="rId23" Type="http://schemas.openxmlformats.org/officeDocument/2006/relationships/chart" Target="../charts/chart23.xml"/><Relationship Id="rId24" Type="http://schemas.openxmlformats.org/officeDocument/2006/relationships/chart" Target="../charts/chart24.xml"/><Relationship Id="rId25" Type="http://schemas.openxmlformats.org/officeDocument/2006/relationships/chart" Target="../charts/chart25.xml"/><Relationship Id="rId26" Type="http://schemas.openxmlformats.org/officeDocument/2006/relationships/chart" Target="../charts/chart26.xml"/><Relationship Id="rId27" Type="http://schemas.openxmlformats.org/officeDocument/2006/relationships/chart" Target="../charts/chart27.xml"/><Relationship Id="rId28" Type="http://schemas.openxmlformats.org/officeDocument/2006/relationships/chart" Target="../charts/chart28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30" Type="http://schemas.openxmlformats.org/officeDocument/2006/relationships/chart" Target="../charts/chart30.xml"/><Relationship Id="rId31" Type="http://schemas.openxmlformats.org/officeDocument/2006/relationships/chart" Target="../charts/chart31.xml"/><Relationship Id="rId32" Type="http://schemas.openxmlformats.org/officeDocument/2006/relationships/chart" Target="../charts/chart32.xml"/><Relationship Id="rId9" Type="http://schemas.openxmlformats.org/officeDocument/2006/relationships/chart" Target="../charts/chart9.xml"/><Relationship Id="rId6" Type="http://schemas.openxmlformats.org/officeDocument/2006/relationships/chart" Target="../charts/chart6.xml"/><Relationship Id="rId7" Type="http://schemas.openxmlformats.org/officeDocument/2006/relationships/chart" Target="../charts/chart7.xml"/><Relationship Id="rId8" Type="http://schemas.openxmlformats.org/officeDocument/2006/relationships/chart" Target="../charts/chart8.xml"/><Relationship Id="rId33" Type="http://schemas.openxmlformats.org/officeDocument/2006/relationships/chart" Target="../charts/chart33.xml"/><Relationship Id="rId10" Type="http://schemas.openxmlformats.org/officeDocument/2006/relationships/chart" Target="../charts/chart10.xml"/><Relationship Id="rId11" Type="http://schemas.openxmlformats.org/officeDocument/2006/relationships/chart" Target="../charts/chart11.xml"/><Relationship Id="rId12" Type="http://schemas.openxmlformats.org/officeDocument/2006/relationships/chart" Target="../charts/chart12.xml"/><Relationship Id="rId13" Type="http://schemas.openxmlformats.org/officeDocument/2006/relationships/chart" Target="../charts/chart13.xml"/><Relationship Id="rId14" Type="http://schemas.openxmlformats.org/officeDocument/2006/relationships/chart" Target="../charts/chart14.xml"/><Relationship Id="rId15" Type="http://schemas.openxmlformats.org/officeDocument/2006/relationships/chart" Target="../charts/chart15.xml"/><Relationship Id="rId16" Type="http://schemas.openxmlformats.org/officeDocument/2006/relationships/chart" Target="../charts/chart16.xml"/><Relationship Id="rId17" Type="http://schemas.openxmlformats.org/officeDocument/2006/relationships/chart" Target="../charts/chart17.xml"/><Relationship Id="rId18" Type="http://schemas.openxmlformats.org/officeDocument/2006/relationships/chart" Target="../charts/chart18.xml"/><Relationship Id="rId19" Type="http://schemas.openxmlformats.org/officeDocument/2006/relationships/chart" Target="../charts/chart1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4" Type="http://schemas.openxmlformats.org/officeDocument/2006/relationships/chart" Target="../charts/chart37.xml"/><Relationship Id="rId1" Type="http://schemas.openxmlformats.org/officeDocument/2006/relationships/chart" Target="../charts/chart34.xml"/><Relationship Id="rId2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38100</xdr:colOff>
      <xdr:row>27</xdr:row>
      <xdr:rowOff>38100</xdr:rowOff>
    </xdr:from>
    <xdr:to>
      <xdr:col>31</xdr:col>
      <xdr:colOff>133350</xdr:colOff>
      <xdr:row>50</xdr:row>
      <xdr:rowOff>9525</xdr:rowOff>
    </xdr:to>
    <xdr:graphicFrame macro="">
      <xdr:nvGraphicFramePr>
        <xdr:cNvPr id="522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424180</xdr:colOff>
      <xdr:row>27</xdr:row>
      <xdr:rowOff>9525</xdr:rowOff>
    </xdr:from>
    <xdr:to>
      <xdr:col>37</xdr:col>
      <xdr:colOff>599440</xdr:colOff>
      <xdr:row>49</xdr:row>
      <xdr:rowOff>111760</xdr:rowOff>
    </xdr:to>
    <xdr:graphicFrame macro="">
      <xdr:nvGraphicFramePr>
        <xdr:cNvPr id="522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19050</xdr:colOff>
      <xdr:row>51</xdr:row>
      <xdr:rowOff>0</xdr:rowOff>
    </xdr:from>
    <xdr:to>
      <xdr:col>31</xdr:col>
      <xdr:colOff>171450</xdr:colOff>
      <xdr:row>74</xdr:row>
      <xdr:rowOff>0</xdr:rowOff>
    </xdr:to>
    <xdr:graphicFrame macro="">
      <xdr:nvGraphicFramePr>
        <xdr:cNvPr id="522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257175</xdr:colOff>
      <xdr:row>2</xdr:row>
      <xdr:rowOff>114300</xdr:rowOff>
    </xdr:from>
    <xdr:to>
      <xdr:col>22</xdr:col>
      <xdr:colOff>247650</xdr:colOff>
      <xdr:row>15</xdr:row>
      <xdr:rowOff>76200</xdr:rowOff>
    </xdr:to>
    <xdr:graphicFrame macro="">
      <xdr:nvGraphicFramePr>
        <xdr:cNvPr id="522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426085</xdr:colOff>
      <xdr:row>50</xdr:row>
      <xdr:rowOff>123190</xdr:rowOff>
    </xdr:from>
    <xdr:to>
      <xdr:col>37</xdr:col>
      <xdr:colOff>589280</xdr:colOff>
      <xdr:row>73</xdr:row>
      <xdr:rowOff>121920</xdr:rowOff>
    </xdr:to>
    <xdr:graphicFrame macro="">
      <xdr:nvGraphicFramePr>
        <xdr:cNvPr id="522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457200</xdr:colOff>
      <xdr:row>2</xdr:row>
      <xdr:rowOff>95250</xdr:rowOff>
    </xdr:from>
    <xdr:to>
      <xdr:col>16</xdr:col>
      <xdr:colOff>466725</xdr:colOff>
      <xdr:row>15</xdr:row>
      <xdr:rowOff>114300</xdr:rowOff>
    </xdr:to>
    <xdr:graphicFrame macro="">
      <xdr:nvGraphicFramePr>
        <xdr:cNvPr id="5225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295275</xdr:colOff>
      <xdr:row>2</xdr:row>
      <xdr:rowOff>85725</xdr:rowOff>
    </xdr:from>
    <xdr:to>
      <xdr:col>11</xdr:col>
      <xdr:colOff>323850</xdr:colOff>
      <xdr:row>15</xdr:row>
      <xdr:rowOff>95250</xdr:rowOff>
    </xdr:to>
    <xdr:graphicFrame macro="">
      <xdr:nvGraphicFramePr>
        <xdr:cNvPr id="5226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28575</xdr:colOff>
      <xdr:row>2</xdr:row>
      <xdr:rowOff>95250</xdr:rowOff>
    </xdr:from>
    <xdr:to>
      <xdr:col>6</xdr:col>
      <xdr:colOff>76200</xdr:colOff>
      <xdr:row>15</xdr:row>
      <xdr:rowOff>85725</xdr:rowOff>
    </xdr:to>
    <xdr:graphicFrame macro="">
      <xdr:nvGraphicFramePr>
        <xdr:cNvPr id="5227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25</xdr:col>
      <xdr:colOff>323850</xdr:colOff>
      <xdr:row>0</xdr:row>
      <xdr:rowOff>200025</xdr:rowOff>
    </xdr:from>
    <xdr:to>
      <xdr:col>36</xdr:col>
      <xdr:colOff>295275</xdr:colOff>
      <xdr:row>19</xdr:row>
      <xdr:rowOff>152400</xdr:rowOff>
    </xdr:to>
    <xdr:graphicFrame macro="">
      <xdr:nvGraphicFramePr>
        <xdr:cNvPr id="5228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152400</xdr:colOff>
      <xdr:row>3</xdr:row>
      <xdr:rowOff>123825</xdr:rowOff>
    </xdr:from>
    <xdr:to>
      <xdr:col>61</xdr:col>
      <xdr:colOff>0</xdr:colOff>
      <xdr:row>16</xdr:row>
      <xdr:rowOff>142875</xdr:rowOff>
    </xdr:to>
    <xdr:graphicFrame macro="">
      <xdr:nvGraphicFramePr>
        <xdr:cNvPr id="5229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52</xdr:col>
      <xdr:colOff>514350</xdr:colOff>
      <xdr:row>4</xdr:row>
      <xdr:rowOff>0</xdr:rowOff>
    </xdr:from>
    <xdr:to>
      <xdr:col>56</xdr:col>
      <xdr:colOff>342900</xdr:colOff>
      <xdr:row>17</xdr:row>
      <xdr:rowOff>19050</xdr:rowOff>
    </xdr:to>
    <xdr:graphicFrame macro="">
      <xdr:nvGraphicFramePr>
        <xdr:cNvPr id="5230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48</xdr:col>
      <xdr:colOff>342900</xdr:colOff>
      <xdr:row>4</xdr:row>
      <xdr:rowOff>0</xdr:rowOff>
    </xdr:from>
    <xdr:to>
      <xdr:col>52</xdr:col>
      <xdr:colOff>133350</xdr:colOff>
      <xdr:row>17</xdr:row>
      <xdr:rowOff>19050</xdr:rowOff>
    </xdr:to>
    <xdr:graphicFrame macro="">
      <xdr:nvGraphicFramePr>
        <xdr:cNvPr id="5231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44</xdr:col>
      <xdr:colOff>38100</xdr:colOff>
      <xdr:row>4</xdr:row>
      <xdr:rowOff>0</xdr:rowOff>
    </xdr:from>
    <xdr:to>
      <xdr:col>47</xdr:col>
      <xdr:colOff>504825</xdr:colOff>
      <xdr:row>16</xdr:row>
      <xdr:rowOff>142875</xdr:rowOff>
    </xdr:to>
    <xdr:graphicFrame macro="">
      <xdr:nvGraphicFramePr>
        <xdr:cNvPr id="5232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38</xdr:col>
      <xdr:colOff>39138</xdr:colOff>
      <xdr:row>39</xdr:row>
      <xdr:rowOff>35943</xdr:rowOff>
    </xdr:from>
    <xdr:to>
      <xdr:col>42</xdr:col>
      <xdr:colOff>264738</xdr:colOff>
      <xdr:row>53</xdr:row>
      <xdr:rowOff>47695</xdr:rowOff>
    </xdr:to>
    <xdr:graphicFrame macro="">
      <xdr:nvGraphicFramePr>
        <xdr:cNvPr id="24" name="Chart 21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43</xdr:col>
      <xdr:colOff>17971</xdr:colOff>
      <xdr:row>39</xdr:row>
      <xdr:rowOff>21889</xdr:rowOff>
    </xdr:from>
    <xdr:to>
      <xdr:col>47</xdr:col>
      <xdr:colOff>243571</xdr:colOff>
      <xdr:row>53</xdr:row>
      <xdr:rowOff>69212</xdr:rowOff>
    </xdr:to>
    <xdr:graphicFrame macro="">
      <xdr:nvGraphicFramePr>
        <xdr:cNvPr id="25" name="Chart 2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47</xdr:col>
      <xdr:colOff>589471</xdr:colOff>
      <xdr:row>39</xdr:row>
      <xdr:rowOff>260</xdr:rowOff>
    </xdr:from>
    <xdr:to>
      <xdr:col>52</xdr:col>
      <xdr:colOff>222405</xdr:colOff>
      <xdr:row>53</xdr:row>
      <xdr:rowOff>37743</xdr:rowOff>
    </xdr:to>
    <xdr:graphicFrame macro="">
      <xdr:nvGraphicFramePr>
        <xdr:cNvPr id="26" name="Chart 2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53</xdr:col>
      <xdr:colOff>17971</xdr:colOff>
      <xdr:row>39</xdr:row>
      <xdr:rowOff>23084</xdr:rowOff>
    </xdr:from>
    <xdr:to>
      <xdr:col>57</xdr:col>
      <xdr:colOff>243571</xdr:colOff>
      <xdr:row>53</xdr:row>
      <xdr:rowOff>60567</xdr:rowOff>
    </xdr:to>
    <xdr:graphicFrame macro="">
      <xdr:nvGraphicFramePr>
        <xdr:cNvPr id="27" name="Chart 2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53</xdr:col>
      <xdr:colOff>14484</xdr:colOff>
      <xdr:row>57</xdr:row>
      <xdr:rowOff>23084</xdr:rowOff>
    </xdr:from>
    <xdr:to>
      <xdr:col>57</xdr:col>
      <xdr:colOff>240084</xdr:colOff>
      <xdr:row>71</xdr:row>
      <xdr:rowOff>60567</xdr:rowOff>
    </xdr:to>
    <xdr:graphicFrame macro="">
      <xdr:nvGraphicFramePr>
        <xdr:cNvPr id="28" name="Chart 94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48</xdr:col>
      <xdr:colOff>14484</xdr:colOff>
      <xdr:row>57</xdr:row>
      <xdr:rowOff>42594</xdr:rowOff>
    </xdr:from>
    <xdr:to>
      <xdr:col>52</xdr:col>
      <xdr:colOff>240085</xdr:colOff>
      <xdr:row>71</xdr:row>
      <xdr:rowOff>80077</xdr:rowOff>
    </xdr:to>
    <xdr:graphicFrame macro="">
      <xdr:nvGraphicFramePr>
        <xdr:cNvPr id="29" name="Chart 95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43</xdr:col>
      <xdr:colOff>35651</xdr:colOff>
      <xdr:row>57</xdr:row>
      <xdr:rowOff>43056</xdr:rowOff>
    </xdr:from>
    <xdr:to>
      <xdr:col>47</xdr:col>
      <xdr:colOff>261251</xdr:colOff>
      <xdr:row>71</xdr:row>
      <xdr:rowOff>90379</xdr:rowOff>
    </xdr:to>
    <xdr:graphicFrame macro="">
      <xdr:nvGraphicFramePr>
        <xdr:cNvPr id="30" name="Chart 96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38</xdr:col>
      <xdr:colOff>56818</xdr:colOff>
      <xdr:row>57</xdr:row>
      <xdr:rowOff>4193</xdr:rowOff>
    </xdr:from>
    <xdr:to>
      <xdr:col>42</xdr:col>
      <xdr:colOff>282418</xdr:colOff>
      <xdr:row>71</xdr:row>
      <xdr:rowOff>15945</xdr:rowOff>
    </xdr:to>
    <xdr:graphicFrame macro="">
      <xdr:nvGraphicFramePr>
        <xdr:cNvPr id="31" name="Chart 97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13</xdr:col>
      <xdr:colOff>173290</xdr:colOff>
      <xdr:row>105</xdr:row>
      <xdr:rowOff>25400</xdr:rowOff>
    </xdr:from>
    <xdr:to>
      <xdr:col>22</xdr:col>
      <xdr:colOff>469899</xdr:colOff>
      <xdr:row>129</xdr:row>
      <xdr:rowOff>76200</xdr:rowOff>
    </xdr:to>
    <xdr:graphicFrame macro="">
      <xdr:nvGraphicFramePr>
        <xdr:cNvPr id="34" name="Grafico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13</xdr:col>
      <xdr:colOff>177800</xdr:colOff>
      <xdr:row>130</xdr:row>
      <xdr:rowOff>101600</xdr:rowOff>
    </xdr:from>
    <xdr:to>
      <xdr:col>22</xdr:col>
      <xdr:colOff>478541</xdr:colOff>
      <xdr:row>157</xdr:row>
      <xdr:rowOff>17118</xdr:rowOff>
    </xdr:to>
    <xdr:graphicFrame macro="">
      <xdr:nvGraphicFramePr>
        <xdr:cNvPr id="35" name="Chart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23</xdr:col>
      <xdr:colOff>241300</xdr:colOff>
      <xdr:row>104</xdr:row>
      <xdr:rowOff>133350</xdr:rowOff>
    </xdr:from>
    <xdr:to>
      <xdr:col>32</xdr:col>
      <xdr:colOff>493183</xdr:colOff>
      <xdr:row>129</xdr:row>
      <xdr:rowOff>48684</xdr:rowOff>
    </xdr:to>
    <xdr:graphicFrame macro="">
      <xdr:nvGraphicFramePr>
        <xdr:cNvPr id="36" name="Grafico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23</xdr:col>
      <xdr:colOff>236220</xdr:colOff>
      <xdr:row>131</xdr:row>
      <xdr:rowOff>71121</xdr:rowOff>
    </xdr:from>
    <xdr:to>
      <xdr:col>32</xdr:col>
      <xdr:colOff>558800</xdr:colOff>
      <xdr:row>157</xdr:row>
      <xdr:rowOff>12277</xdr:rowOff>
    </xdr:to>
    <xdr:graphicFrame macro="">
      <xdr:nvGraphicFramePr>
        <xdr:cNvPr id="42" name="Grafico 41" title="Risultati 20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33</xdr:col>
      <xdr:colOff>574464</xdr:colOff>
      <xdr:row>105</xdr:row>
      <xdr:rowOff>16086</xdr:rowOff>
    </xdr:from>
    <xdr:to>
      <xdr:col>43</xdr:col>
      <xdr:colOff>495724</xdr:colOff>
      <xdr:row>129</xdr:row>
      <xdr:rowOff>100753</xdr:rowOff>
    </xdr:to>
    <xdr:graphicFrame macro="">
      <xdr:nvGraphicFramePr>
        <xdr:cNvPr id="47" name="Grafico 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45</xdr:col>
      <xdr:colOff>172720</xdr:colOff>
      <xdr:row>77</xdr:row>
      <xdr:rowOff>50800</xdr:rowOff>
    </xdr:from>
    <xdr:to>
      <xdr:col>50</xdr:col>
      <xdr:colOff>91441</xdr:colOff>
      <xdr:row>91</xdr:row>
      <xdr:rowOff>40641</xdr:rowOff>
    </xdr:to>
    <xdr:graphicFrame macro="">
      <xdr:nvGraphicFramePr>
        <xdr:cNvPr id="2" name="Grafico 1" title="Grandi Amministrazioni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50</xdr:col>
      <xdr:colOff>289561</xdr:colOff>
      <xdr:row>77</xdr:row>
      <xdr:rowOff>43181</xdr:rowOff>
    </xdr:from>
    <xdr:to>
      <xdr:col>55</xdr:col>
      <xdr:colOff>193040</xdr:colOff>
      <xdr:row>90</xdr:row>
      <xdr:rowOff>162561</xdr:rowOff>
    </xdr:to>
    <xdr:graphicFrame macro="">
      <xdr:nvGraphicFramePr>
        <xdr:cNvPr id="38" name="Grafico 37" title="Grandi Amministrazioni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55</xdr:col>
      <xdr:colOff>325121</xdr:colOff>
      <xdr:row>77</xdr:row>
      <xdr:rowOff>30481</xdr:rowOff>
    </xdr:from>
    <xdr:to>
      <xdr:col>59</xdr:col>
      <xdr:colOff>772161</xdr:colOff>
      <xdr:row>91</xdr:row>
      <xdr:rowOff>30481</xdr:rowOff>
    </xdr:to>
    <xdr:graphicFrame macro="">
      <xdr:nvGraphicFramePr>
        <xdr:cNvPr id="39" name="Grafico 38" title="Grandi Amministrazioni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38</xdr:col>
      <xdr:colOff>42334</xdr:colOff>
      <xdr:row>22</xdr:row>
      <xdr:rowOff>32455</xdr:rowOff>
    </xdr:from>
    <xdr:to>
      <xdr:col>42</xdr:col>
      <xdr:colOff>239889</xdr:colOff>
      <xdr:row>36</xdr:row>
      <xdr:rowOff>70555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43</xdr:col>
      <xdr:colOff>0</xdr:colOff>
      <xdr:row>22</xdr:row>
      <xdr:rowOff>0</xdr:rowOff>
    </xdr:from>
    <xdr:to>
      <xdr:col>47</xdr:col>
      <xdr:colOff>197554</xdr:colOff>
      <xdr:row>36</xdr:row>
      <xdr:rowOff>38100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48</xdr:col>
      <xdr:colOff>0</xdr:colOff>
      <xdr:row>22</xdr:row>
      <xdr:rowOff>0</xdr:rowOff>
    </xdr:from>
    <xdr:to>
      <xdr:col>52</xdr:col>
      <xdr:colOff>197555</xdr:colOff>
      <xdr:row>36</xdr:row>
      <xdr:rowOff>38100</xdr:rowOff>
    </xdr:to>
    <xdr:graphicFrame macro="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53</xdr:col>
      <xdr:colOff>0</xdr:colOff>
      <xdr:row>22</xdr:row>
      <xdr:rowOff>0</xdr:rowOff>
    </xdr:from>
    <xdr:to>
      <xdr:col>57</xdr:col>
      <xdr:colOff>197555</xdr:colOff>
      <xdr:row>36</xdr:row>
      <xdr:rowOff>38100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38100</xdr:rowOff>
    </xdr:from>
    <xdr:to>
      <xdr:col>4</xdr:col>
      <xdr:colOff>120825</xdr:colOff>
      <xdr:row>21</xdr:row>
      <xdr:rowOff>56925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28</xdr:row>
      <xdr:rowOff>47625</xdr:rowOff>
    </xdr:from>
    <xdr:to>
      <xdr:col>4</xdr:col>
      <xdr:colOff>120825</xdr:colOff>
      <xdr:row>39</xdr:row>
      <xdr:rowOff>66450</xdr:rowOff>
    </xdr:to>
    <xdr:graphicFrame macro="">
      <xdr:nvGraphicFramePr>
        <xdr:cNvPr id="3" name="Gra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10</xdr:row>
      <xdr:rowOff>0</xdr:rowOff>
    </xdr:from>
    <xdr:to>
      <xdr:col>7</xdr:col>
      <xdr:colOff>816150</xdr:colOff>
      <xdr:row>21</xdr:row>
      <xdr:rowOff>18825</xdr:rowOff>
    </xdr:to>
    <xdr:graphicFrame macro="">
      <xdr:nvGraphicFramePr>
        <xdr:cNvPr id="6" name="Gra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</xdr:row>
      <xdr:rowOff>0</xdr:rowOff>
    </xdr:from>
    <xdr:to>
      <xdr:col>7</xdr:col>
      <xdr:colOff>816150</xdr:colOff>
      <xdr:row>39</xdr:row>
      <xdr:rowOff>18825</xdr:rowOff>
    </xdr:to>
    <xdr:graphicFrame macro="">
      <xdr:nvGraphicFramePr>
        <xdr:cNvPr id="7" name="Gra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 enableFormatConditionsCalculation="0"/>
  <dimension ref="A2:IV124"/>
  <sheetViews>
    <sheetView topLeftCell="G1" workbookViewId="0">
      <selection activeCell="R46" sqref="R46"/>
    </sheetView>
  </sheetViews>
  <sheetFormatPr baseColWidth="10" defaultColWidth="8.83203125" defaultRowHeight="12" x14ac:dyDescent="0"/>
  <cols>
    <col min="1" max="1" width="48" bestFit="1" customWidth="1"/>
    <col min="2" max="13" width="5.6640625" customWidth="1"/>
    <col min="14" max="14" width="8.6640625" style="141" customWidth="1"/>
    <col min="15" max="21" width="5.6640625" customWidth="1"/>
    <col min="22" max="22" width="8.6640625" style="49" customWidth="1"/>
    <col min="23" max="26" width="5.6640625" customWidth="1"/>
    <col min="27" max="27" width="8.6640625" style="49" customWidth="1"/>
    <col min="28" max="44" width="5.6640625" customWidth="1"/>
    <col min="45" max="45" width="8.6640625" customWidth="1"/>
  </cols>
  <sheetData>
    <row r="2" spans="1:46" ht="21">
      <c r="A2" s="424">
        <v>2005</v>
      </c>
      <c r="B2" s="599" t="s">
        <v>319</v>
      </c>
      <c r="C2" s="599"/>
      <c r="D2" s="599"/>
      <c r="E2" s="599"/>
      <c r="F2" s="599"/>
      <c r="G2" s="599"/>
      <c r="H2" s="599"/>
      <c r="I2" s="599"/>
      <c r="J2" s="599"/>
      <c r="K2" s="599"/>
      <c r="L2" s="599"/>
      <c r="M2" s="599"/>
      <c r="O2" s="599" t="s">
        <v>320</v>
      </c>
      <c r="P2" s="599"/>
      <c r="Q2" s="599"/>
      <c r="R2" s="599"/>
      <c r="S2" s="599"/>
      <c r="T2" s="599"/>
      <c r="U2" s="599"/>
      <c r="W2" s="599" t="s">
        <v>321</v>
      </c>
      <c r="X2" s="599"/>
      <c r="Y2" s="599"/>
      <c r="Z2" s="599"/>
      <c r="AB2" s="599" t="s">
        <v>322</v>
      </c>
      <c r="AC2" s="599"/>
      <c r="AD2" s="599"/>
      <c r="AE2" s="599"/>
      <c r="AF2" s="599"/>
      <c r="AG2" s="599"/>
      <c r="AH2" s="599"/>
      <c r="AI2" s="599"/>
      <c r="AJ2" s="599"/>
      <c r="AK2" s="599"/>
      <c r="AL2" s="599"/>
      <c r="AM2" s="599"/>
      <c r="AN2" s="599"/>
      <c r="AO2" s="599"/>
      <c r="AP2" s="599"/>
      <c r="AQ2" s="599"/>
      <c r="AR2" s="599"/>
    </row>
    <row r="3" spans="1:46" s="60" customFormat="1" ht="23.25" customHeight="1">
      <c r="B3" s="61">
        <v>131</v>
      </c>
      <c r="C3" s="61">
        <v>132</v>
      </c>
      <c r="D3" s="61" t="s">
        <v>419</v>
      </c>
      <c r="E3" s="61" t="s">
        <v>418</v>
      </c>
      <c r="F3" s="61">
        <v>134</v>
      </c>
      <c r="G3" s="61">
        <v>138</v>
      </c>
      <c r="H3" s="61">
        <v>139</v>
      </c>
      <c r="I3" s="61">
        <v>140</v>
      </c>
      <c r="J3" s="61">
        <v>141</v>
      </c>
      <c r="K3" s="61">
        <v>142</v>
      </c>
      <c r="L3" s="61">
        <v>143</v>
      </c>
      <c r="M3" s="61">
        <v>145</v>
      </c>
      <c r="N3" s="142" t="s">
        <v>319</v>
      </c>
      <c r="O3" s="61">
        <v>152</v>
      </c>
      <c r="P3" s="61">
        <v>153</v>
      </c>
      <c r="Q3" s="61">
        <v>154</v>
      </c>
      <c r="R3" s="61">
        <v>155</v>
      </c>
      <c r="S3" s="61">
        <v>157</v>
      </c>
      <c r="T3" s="61">
        <v>158</v>
      </c>
      <c r="U3" s="61">
        <v>160</v>
      </c>
      <c r="V3" s="145" t="s">
        <v>320</v>
      </c>
      <c r="W3" s="61">
        <v>146</v>
      </c>
      <c r="X3" s="61">
        <v>147</v>
      </c>
      <c r="Y3" s="61">
        <v>148</v>
      </c>
      <c r="Z3" s="61">
        <v>151</v>
      </c>
      <c r="AA3" s="148" t="s">
        <v>321</v>
      </c>
      <c r="AB3" s="61">
        <v>161</v>
      </c>
      <c r="AC3" s="61">
        <v>162</v>
      </c>
      <c r="AD3" s="61">
        <v>163</v>
      </c>
      <c r="AE3" s="61">
        <v>164</v>
      </c>
      <c r="AF3" s="61">
        <v>165</v>
      </c>
      <c r="AG3" s="61">
        <v>166</v>
      </c>
      <c r="AH3" s="61">
        <v>167</v>
      </c>
      <c r="AI3" s="61">
        <v>168</v>
      </c>
      <c r="AJ3" s="61">
        <v>169</v>
      </c>
      <c r="AK3" s="61">
        <v>171</v>
      </c>
      <c r="AL3" s="61">
        <v>174</v>
      </c>
      <c r="AM3" s="61">
        <v>175</v>
      </c>
      <c r="AN3" s="61">
        <v>176</v>
      </c>
      <c r="AO3" s="61">
        <v>177</v>
      </c>
      <c r="AP3" s="61">
        <v>178</v>
      </c>
      <c r="AQ3" s="61">
        <v>179</v>
      </c>
      <c r="AR3" s="61">
        <v>180</v>
      </c>
      <c r="AS3" s="151" t="s">
        <v>322</v>
      </c>
    </row>
    <row r="4" spans="1:46" ht="15" customHeight="1">
      <c r="A4" t="s">
        <v>357</v>
      </c>
      <c r="B4" s="34">
        <v>8</v>
      </c>
      <c r="C4" s="34">
        <v>0</v>
      </c>
      <c r="D4" s="34">
        <v>0</v>
      </c>
      <c r="E4" s="34">
        <v>0</v>
      </c>
      <c r="F4" s="34">
        <v>2</v>
      </c>
      <c r="G4">
        <v>6</v>
      </c>
      <c r="H4">
        <v>10</v>
      </c>
      <c r="I4">
        <v>0</v>
      </c>
      <c r="J4">
        <v>7</v>
      </c>
      <c r="K4">
        <v>10</v>
      </c>
      <c r="L4">
        <v>5</v>
      </c>
      <c r="M4">
        <v>7</v>
      </c>
      <c r="N4" s="143">
        <f>SUM(B4:M4)/12</f>
        <v>4.583333333333333</v>
      </c>
      <c r="O4">
        <v>10</v>
      </c>
      <c r="P4">
        <v>5</v>
      </c>
      <c r="Q4">
        <v>10</v>
      </c>
      <c r="R4">
        <v>10</v>
      </c>
      <c r="S4">
        <v>0</v>
      </c>
      <c r="T4">
        <v>6</v>
      </c>
      <c r="U4">
        <v>0</v>
      </c>
      <c r="V4" s="146">
        <f>SUM(O4:U4)/7</f>
        <v>5.8571428571428568</v>
      </c>
      <c r="W4">
        <v>0</v>
      </c>
      <c r="X4">
        <v>0</v>
      </c>
      <c r="Y4">
        <v>0</v>
      </c>
      <c r="Z4">
        <v>10</v>
      </c>
      <c r="AA4" s="149">
        <f>SUM(W4:Z4)/4</f>
        <v>2.5</v>
      </c>
      <c r="AB4">
        <v>6</v>
      </c>
      <c r="AC4">
        <v>0</v>
      </c>
      <c r="AD4">
        <v>6</v>
      </c>
      <c r="AE4">
        <v>0</v>
      </c>
      <c r="AF4">
        <v>10</v>
      </c>
      <c r="AG4">
        <v>0</v>
      </c>
      <c r="AH4">
        <v>0</v>
      </c>
      <c r="AI4">
        <v>0</v>
      </c>
      <c r="AJ4">
        <v>6</v>
      </c>
      <c r="AK4">
        <v>10</v>
      </c>
      <c r="AL4">
        <v>0</v>
      </c>
      <c r="AM4">
        <v>10</v>
      </c>
      <c r="AN4">
        <v>0</v>
      </c>
      <c r="AO4">
        <v>10</v>
      </c>
      <c r="AP4">
        <v>12</v>
      </c>
      <c r="AQ4">
        <v>4</v>
      </c>
      <c r="AR4">
        <v>12</v>
      </c>
      <c r="AS4" s="152">
        <f>SUM(AB4:AR4)/17</f>
        <v>5.0588235294117645</v>
      </c>
      <c r="AT4">
        <v>192</v>
      </c>
    </row>
    <row r="5" spans="1:46" ht="15" customHeight="1">
      <c r="A5" t="s">
        <v>350</v>
      </c>
      <c r="B5" s="34">
        <v>10</v>
      </c>
      <c r="C5" s="34">
        <v>10</v>
      </c>
      <c r="D5" s="34">
        <v>10</v>
      </c>
      <c r="E5" s="34">
        <v>0</v>
      </c>
      <c r="F5" s="34">
        <v>7</v>
      </c>
      <c r="G5">
        <v>8</v>
      </c>
      <c r="H5">
        <v>10</v>
      </c>
      <c r="I5">
        <v>0</v>
      </c>
      <c r="J5">
        <v>10</v>
      </c>
      <c r="K5">
        <v>0</v>
      </c>
      <c r="L5">
        <v>10</v>
      </c>
      <c r="M5">
        <v>7</v>
      </c>
      <c r="N5" s="143">
        <f t="shared" ref="N5:N45" si="0">SUM(B5:M5)/12</f>
        <v>6.833333333333333</v>
      </c>
      <c r="O5">
        <v>10</v>
      </c>
      <c r="P5">
        <v>5</v>
      </c>
      <c r="Q5">
        <v>10</v>
      </c>
      <c r="R5">
        <v>10</v>
      </c>
      <c r="S5">
        <v>10</v>
      </c>
      <c r="T5">
        <v>10</v>
      </c>
      <c r="U5">
        <v>10</v>
      </c>
      <c r="V5" s="146">
        <f t="shared" ref="V5:V45" si="1">SUM(O5:U5)/7</f>
        <v>9.2857142857142865</v>
      </c>
      <c r="W5">
        <v>10</v>
      </c>
      <c r="X5">
        <v>10</v>
      </c>
      <c r="Y5">
        <v>10</v>
      </c>
      <c r="Z5">
        <v>10</v>
      </c>
      <c r="AA5" s="149">
        <f t="shared" ref="AA5:AA45" si="2">SUM(W5:Z5)/4</f>
        <v>10</v>
      </c>
      <c r="AB5">
        <v>0</v>
      </c>
      <c r="AC5">
        <v>0</v>
      </c>
      <c r="AD5">
        <v>0</v>
      </c>
      <c r="AE5">
        <v>0</v>
      </c>
      <c r="AF5">
        <v>0</v>
      </c>
      <c r="AG5">
        <v>10</v>
      </c>
      <c r="AH5">
        <v>0</v>
      </c>
      <c r="AI5">
        <v>10</v>
      </c>
      <c r="AJ5">
        <v>6</v>
      </c>
      <c r="AK5">
        <v>10</v>
      </c>
      <c r="AL5">
        <v>0</v>
      </c>
      <c r="AM5">
        <v>0</v>
      </c>
      <c r="AN5">
        <v>5</v>
      </c>
      <c r="AO5">
        <v>0</v>
      </c>
      <c r="AP5">
        <v>0</v>
      </c>
      <c r="AQ5">
        <v>0</v>
      </c>
      <c r="AR5">
        <v>0</v>
      </c>
      <c r="AS5" s="152">
        <f t="shared" ref="AS5:AS45" si="3">SUM(AB5:AR5)/17</f>
        <v>2.4117647058823528</v>
      </c>
      <c r="AT5">
        <v>228</v>
      </c>
    </row>
    <row r="6" spans="1:46" ht="15" customHeight="1">
      <c r="A6" t="s">
        <v>412</v>
      </c>
      <c r="B6" s="34">
        <v>10</v>
      </c>
      <c r="C6" s="34">
        <v>10</v>
      </c>
      <c r="D6" s="34">
        <v>0</v>
      </c>
      <c r="E6" s="34">
        <v>0</v>
      </c>
      <c r="F6" s="34">
        <v>6</v>
      </c>
      <c r="G6">
        <v>10</v>
      </c>
      <c r="H6">
        <v>10</v>
      </c>
      <c r="I6">
        <v>0</v>
      </c>
      <c r="J6">
        <v>0</v>
      </c>
      <c r="K6">
        <v>0</v>
      </c>
      <c r="L6">
        <v>10</v>
      </c>
      <c r="M6">
        <v>0</v>
      </c>
      <c r="N6" s="143">
        <f t="shared" si="0"/>
        <v>4.666666666666667</v>
      </c>
      <c r="O6">
        <v>10</v>
      </c>
      <c r="P6">
        <v>5</v>
      </c>
      <c r="Q6">
        <v>10</v>
      </c>
      <c r="R6">
        <v>10</v>
      </c>
      <c r="S6">
        <v>10</v>
      </c>
      <c r="T6">
        <v>10</v>
      </c>
      <c r="U6">
        <v>10</v>
      </c>
      <c r="V6" s="146">
        <f t="shared" si="1"/>
        <v>9.2857142857142865</v>
      </c>
      <c r="W6">
        <v>10</v>
      </c>
      <c r="X6">
        <v>10</v>
      </c>
      <c r="Y6">
        <v>10</v>
      </c>
      <c r="Z6">
        <v>10</v>
      </c>
      <c r="AA6" s="149">
        <f t="shared" si="2"/>
        <v>10</v>
      </c>
      <c r="AB6">
        <v>0</v>
      </c>
      <c r="AC6">
        <v>0</v>
      </c>
      <c r="AD6">
        <v>6</v>
      </c>
      <c r="AE6">
        <v>10</v>
      </c>
      <c r="AF6">
        <v>0</v>
      </c>
      <c r="AG6">
        <v>0</v>
      </c>
      <c r="AH6">
        <v>0</v>
      </c>
      <c r="AI6">
        <v>0</v>
      </c>
      <c r="AJ6">
        <v>14</v>
      </c>
      <c r="AK6">
        <v>10</v>
      </c>
      <c r="AL6">
        <v>4</v>
      </c>
      <c r="AM6">
        <v>0</v>
      </c>
      <c r="AN6">
        <v>5</v>
      </c>
      <c r="AO6">
        <v>0</v>
      </c>
      <c r="AP6">
        <v>4</v>
      </c>
      <c r="AQ6">
        <v>0</v>
      </c>
      <c r="AR6">
        <v>0</v>
      </c>
      <c r="AS6" s="152">
        <f t="shared" si="3"/>
        <v>3.1176470588235294</v>
      </c>
      <c r="AT6">
        <v>214</v>
      </c>
    </row>
    <row r="7" spans="1:46" ht="15" customHeight="1">
      <c r="A7" t="s">
        <v>356</v>
      </c>
      <c r="B7" s="34">
        <v>8</v>
      </c>
      <c r="C7" s="34">
        <v>10</v>
      </c>
      <c r="D7" s="34">
        <v>0</v>
      </c>
      <c r="E7" s="34">
        <v>0</v>
      </c>
      <c r="F7" s="34">
        <v>3</v>
      </c>
      <c r="G7">
        <v>10</v>
      </c>
      <c r="H7">
        <v>10</v>
      </c>
      <c r="I7">
        <v>0</v>
      </c>
      <c r="J7">
        <v>7</v>
      </c>
      <c r="K7">
        <v>0</v>
      </c>
      <c r="L7">
        <v>0</v>
      </c>
      <c r="M7">
        <v>0</v>
      </c>
      <c r="N7" s="143">
        <f t="shared" si="0"/>
        <v>4</v>
      </c>
      <c r="O7">
        <v>0</v>
      </c>
      <c r="P7">
        <v>10</v>
      </c>
      <c r="Q7">
        <v>0</v>
      </c>
      <c r="R7">
        <v>0</v>
      </c>
      <c r="S7">
        <v>0</v>
      </c>
      <c r="T7">
        <v>6</v>
      </c>
      <c r="U7">
        <v>0</v>
      </c>
      <c r="V7" s="146">
        <f t="shared" si="1"/>
        <v>2.2857142857142856</v>
      </c>
      <c r="W7">
        <v>0</v>
      </c>
      <c r="X7">
        <v>0</v>
      </c>
      <c r="Y7">
        <v>0</v>
      </c>
      <c r="Z7">
        <v>10</v>
      </c>
      <c r="AA7" s="149">
        <f t="shared" si="2"/>
        <v>2.5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6</v>
      </c>
      <c r="AK7">
        <v>10</v>
      </c>
      <c r="AL7">
        <v>0</v>
      </c>
      <c r="AM7">
        <v>0</v>
      </c>
      <c r="AN7">
        <v>5</v>
      </c>
      <c r="AO7">
        <v>10</v>
      </c>
      <c r="AP7">
        <v>0</v>
      </c>
      <c r="AQ7">
        <v>4</v>
      </c>
      <c r="AR7">
        <v>0</v>
      </c>
      <c r="AS7" s="152">
        <f t="shared" si="3"/>
        <v>2.0588235294117645</v>
      </c>
      <c r="AT7">
        <v>109</v>
      </c>
    </row>
    <row r="8" spans="1:46" ht="15" customHeight="1">
      <c r="A8" t="s">
        <v>326</v>
      </c>
      <c r="B8" s="34">
        <v>10</v>
      </c>
      <c r="C8" s="34">
        <v>10</v>
      </c>
      <c r="D8" s="34">
        <v>0</v>
      </c>
      <c r="E8" s="34">
        <v>0</v>
      </c>
      <c r="F8" s="34">
        <v>9</v>
      </c>
      <c r="G8">
        <v>0</v>
      </c>
      <c r="H8">
        <v>0</v>
      </c>
      <c r="I8">
        <v>0</v>
      </c>
      <c r="J8">
        <v>0</v>
      </c>
      <c r="K8">
        <v>0</v>
      </c>
      <c r="L8">
        <v>5</v>
      </c>
      <c r="M8">
        <v>0</v>
      </c>
      <c r="N8" s="143">
        <f t="shared" si="0"/>
        <v>2.8333333333333335</v>
      </c>
      <c r="O8">
        <v>0</v>
      </c>
      <c r="P8">
        <v>5</v>
      </c>
      <c r="Q8">
        <v>10</v>
      </c>
      <c r="R8">
        <v>10</v>
      </c>
      <c r="S8">
        <v>10</v>
      </c>
      <c r="T8">
        <v>6</v>
      </c>
      <c r="U8">
        <v>0</v>
      </c>
      <c r="V8" s="146">
        <f t="shared" si="1"/>
        <v>5.8571428571428568</v>
      </c>
      <c r="W8">
        <v>10</v>
      </c>
      <c r="X8">
        <v>10</v>
      </c>
      <c r="Y8">
        <v>10</v>
      </c>
      <c r="Z8">
        <v>10</v>
      </c>
      <c r="AA8" s="149">
        <f t="shared" si="2"/>
        <v>10</v>
      </c>
      <c r="AB8">
        <v>0</v>
      </c>
      <c r="AC8">
        <v>10</v>
      </c>
      <c r="AD8">
        <v>6</v>
      </c>
      <c r="AE8">
        <v>10</v>
      </c>
      <c r="AF8">
        <v>10</v>
      </c>
      <c r="AG8">
        <v>0</v>
      </c>
      <c r="AH8">
        <v>0</v>
      </c>
      <c r="AI8">
        <v>0</v>
      </c>
      <c r="AJ8">
        <v>6</v>
      </c>
      <c r="AK8">
        <v>10</v>
      </c>
      <c r="AL8">
        <v>0</v>
      </c>
      <c r="AM8">
        <v>10</v>
      </c>
      <c r="AN8">
        <v>5</v>
      </c>
      <c r="AO8">
        <v>10</v>
      </c>
      <c r="AP8">
        <v>8</v>
      </c>
      <c r="AQ8">
        <v>8</v>
      </c>
      <c r="AR8">
        <v>10</v>
      </c>
      <c r="AS8" s="152">
        <f t="shared" si="3"/>
        <v>6.0588235294117645</v>
      </c>
      <c r="AT8">
        <v>218</v>
      </c>
    </row>
    <row r="9" spans="1:46" ht="15" customHeight="1">
      <c r="A9" t="s">
        <v>452</v>
      </c>
      <c r="B9" s="34">
        <v>8</v>
      </c>
      <c r="C9" s="34">
        <v>0</v>
      </c>
      <c r="D9" s="34">
        <v>0</v>
      </c>
      <c r="E9" s="34">
        <v>0</v>
      </c>
      <c r="F9" s="34">
        <v>4</v>
      </c>
      <c r="G9">
        <v>10</v>
      </c>
      <c r="H9">
        <v>0</v>
      </c>
      <c r="I9">
        <v>0</v>
      </c>
      <c r="J9">
        <v>10</v>
      </c>
      <c r="K9">
        <v>10</v>
      </c>
      <c r="L9">
        <v>0</v>
      </c>
      <c r="M9">
        <v>0</v>
      </c>
      <c r="N9" s="143">
        <f t="shared" si="0"/>
        <v>3.5</v>
      </c>
      <c r="O9">
        <v>0</v>
      </c>
      <c r="P9">
        <v>10</v>
      </c>
      <c r="Q9">
        <v>10</v>
      </c>
      <c r="R9">
        <v>10</v>
      </c>
      <c r="S9">
        <v>0</v>
      </c>
      <c r="T9">
        <v>10</v>
      </c>
      <c r="U9">
        <v>10</v>
      </c>
      <c r="V9" s="146">
        <f t="shared" si="1"/>
        <v>7.1428571428571432</v>
      </c>
      <c r="W9">
        <v>10</v>
      </c>
      <c r="X9">
        <v>10</v>
      </c>
      <c r="Y9">
        <v>10</v>
      </c>
      <c r="Z9">
        <v>0</v>
      </c>
      <c r="AA9" s="149">
        <f t="shared" si="2"/>
        <v>7.5</v>
      </c>
      <c r="AB9">
        <v>0</v>
      </c>
      <c r="AC9">
        <v>0</v>
      </c>
      <c r="AD9">
        <v>10</v>
      </c>
      <c r="AE9">
        <v>0</v>
      </c>
      <c r="AF9">
        <v>10</v>
      </c>
      <c r="AG9">
        <v>0</v>
      </c>
      <c r="AH9">
        <v>0</v>
      </c>
      <c r="AI9">
        <v>0</v>
      </c>
      <c r="AJ9">
        <v>6</v>
      </c>
      <c r="AK9">
        <v>8</v>
      </c>
      <c r="AL9">
        <v>8</v>
      </c>
      <c r="AM9">
        <v>10</v>
      </c>
      <c r="AN9">
        <v>5</v>
      </c>
      <c r="AO9">
        <v>10</v>
      </c>
      <c r="AP9">
        <v>8</v>
      </c>
      <c r="AQ9">
        <v>8</v>
      </c>
      <c r="AR9">
        <v>0</v>
      </c>
      <c r="AS9" s="152">
        <f t="shared" si="3"/>
        <v>4.882352941176471</v>
      </c>
      <c r="AT9">
        <v>205</v>
      </c>
    </row>
    <row r="10" spans="1:46" ht="15" customHeight="1">
      <c r="A10" t="s">
        <v>394</v>
      </c>
      <c r="B10" s="34">
        <v>8</v>
      </c>
      <c r="C10" s="34">
        <v>10</v>
      </c>
      <c r="D10" s="34">
        <v>0</v>
      </c>
      <c r="E10" s="34">
        <v>0</v>
      </c>
      <c r="F10" s="34">
        <v>5</v>
      </c>
      <c r="G10">
        <v>6</v>
      </c>
      <c r="H10">
        <v>0</v>
      </c>
      <c r="I10">
        <v>0</v>
      </c>
      <c r="J10">
        <v>7</v>
      </c>
      <c r="K10">
        <v>10</v>
      </c>
      <c r="L10">
        <v>10</v>
      </c>
      <c r="M10">
        <v>0</v>
      </c>
      <c r="N10" s="143">
        <f t="shared" si="0"/>
        <v>4.666666666666667</v>
      </c>
      <c r="O10">
        <v>10</v>
      </c>
      <c r="P10">
        <v>0</v>
      </c>
      <c r="Q10">
        <v>10</v>
      </c>
      <c r="R10">
        <v>10</v>
      </c>
      <c r="S10">
        <v>10</v>
      </c>
      <c r="T10">
        <v>0</v>
      </c>
      <c r="U10">
        <v>0</v>
      </c>
      <c r="V10" s="146">
        <f t="shared" si="1"/>
        <v>5.7142857142857144</v>
      </c>
      <c r="W10">
        <v>0</v>
      </c>
      <c r="X10">
        <v>0</v>
      </c>
      <c r="Y10">
        <v>0</v>
      </c>
      <c r="Z10">
        <v>0</v>
      </c>
      <c r="AA10" s="149">
        <f t="shared" si="2"/>
        <v>0</v>
      </c>
      <c r="AB10">
        <v>0</v>
      </c>
      <c r="AC10">
        <v>0</v>
      </c>
      <c r="AD10">
        <v>10</v>
      </c>
      <c r="AE10">
        <v>0</v>
      </c>
      <c r="AF10">
        <v>0</v>
      </c>
      <c r="AG10">
        <v>10</v>
      </c>
      <c r="AH10">
        <v>0</v>
      </c>
      <c r="AI10">
        <v>0</v>
      </c>
      <c r="AJ10">
        <v>6</v>
      </c>
      <c r="AK10">
        <v>10</v>
      </c>
      <c r="AL10">
        <v>0</v>
      </c>
      <c r="AM10">
        <v>10</v>
      </c>
      <c r="AN10">
        <v>5</v>
      </c>
      <c r="AO10">
        <v>0</v>
      </c>
      <c r="AP10">
        <v>8</v>
      </c>
      <c r="AQ10">
        <v>8</v>
      </c>
      <c r="AR10">
        <v>10</v>
      </c>
      <c r="AS10" s="152">
        <f t="shared" si="3"/>
        <v>4.5294117647058822</v>
      </c>
      <c r="AT10">
        <v>173</v>
      </c>
    </row>
    <row r="11" spans="1:46" ht="15" customHeight="1">
      <c r="A11" t="s">
        <v>453</v>
      </c>
      <c r="B11" s="34">
        <v>8</v>
      </c>
      <c r="C11" s="34">
        <v>0</v>
      </c>
      <c r="D11" s="34">
        <v>0</v>
      </c>
      <c r="E11" s="34">
        <v>0</v>
      </c>
      <c r="F11" s="34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 s="143">
        <f t="shared" si="0"/>
        <v>0.66666666666666663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 s="146">
        <f t="shared" si="1"/>
        <v>0</v>
      </c>
      <c r="W11">
        <v>10</v>
      </c>
      <c r="X11">
        <v>10</v>
      </c>
      <c r="Y11">
        <v>0</v>
      </c>
      <c r="Z11">
        <v>0</v>
      </c>
      <c r="AA11" s="149">
        <f t="shared" si="2"/>
        <v>5</v>
      </c>
      <c r="AB11">
        <v>10</v>
      </c>
      <c r="AC11">
        <v>0</v>
      </c>
      <c r="AD11">
        <v>0</v>
      </c>
      <c r="AE11">
        <v>0</v>
      </c>
      <c r="AF11">
        <v>10</v>
      </c>
      <c r="AG11">
        <v>0</v>
      </c>
      <c r="AH11">
        <v>0</v>
      </c>
      <c r="AI11">
        <v>10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 s="152">
        <f t="shared" si="3"/>
        <v>1.7647058823529411</v>
      </c>
      <c r="AT11">
        <v>58</v>
      </c>
    </row>
    <row r="12" spans="1:46" ht="15" customHeight="1">
      <c r="A12" t="s">
        <v>352</v>
      </c>
      <c r="B12" s="34">
        <v>10</v>
      </c>
      <c r="C12" s="34">
        <v>10</v>
      </c>
      <c r="D12" s="34">
        <v>0</v>
      </c>
      <c r="E12" s="34">
        <v>0</v>
      </c>
      <c r="F12" s="34">
        <v>9</v>
      </c>
      <c r="G12">
        <v>10</v>
      </c>
      <c r="H12">
        <v>10</v>
      </c>
      <c r="I12">
        <v>10</v>
      </c>
      <c r="J12">
        <v>10</v>
      </c>
      <c r="K12">
        <v>0</v>
      </c>
      <c r="L12">
        <v>10</v>
      </c>
      <c r="M12">
        <v>10</v>
      </c>
      <c r="N12" s="143">
        <f t="shared" si="0"/>
        <v>7.416666666666667</v>
      </c>
      <c r="O12">
        <v>10</v>
      </c>
      <c r="P12">
        <v>10</v>
      </c>
      <c r="Q12">
        <v>10</v>
      </c>
      <c r="R12">
        <v>10</v>
      </c>
      <c r="S12">
        <v>10</v>
      </c>
      <c r="T12">
        <v>0</v>
      </c>
      <c r="U12">
        <v>10</v>
      </c>
      <c r="V12" s="146">
        <f t="shared" si="1"/>
        <v>8.5714285714285712</v>
      </c>
      <c r="W12">
        <v>10</v>
      </c>
      <c r="X12">
        <v>10</v>
      </c>
      <c r="Y12">
        <v>10</v>
      </c>
      <c r="Z12">
        <v>10</v>
      </c>
      <c r="AA12" s="149">
        <f t="shared" si="2"/>
        <v>10</v>
      </c>
      <c r="AB12">
        <v>0</v>
      </c>
      <c r="AC12">
        <v>10</v>
      </c>
      <c r="AD12">
        <v>6</v>
      </c>
      <c r="AE12">
        <v>10</v>
      </c>
      <c r="AF12">
        <v>10</v>
      </c>
      <c r="AG12">
        <v>10</v>
      </c>
      <c r="AH12">
        <v>10</v>
      </c>
      <c r="AI12">
        <v>10</v>
      </c>
      <c r="AJ12">
        <v>14</v>
      </c>
      <c r="AK12">
        <v>10</v>
      </c>
      <c r="AL12">
        <v>4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8</v>
      </c>
      <c r="AS12" s="152">
        <f t="shared" si="3"/>
        <v>6</v>
      </c>
      <c r="AT12">
        <v>291</v>
      </c>
    </row>
    <row r="13" spans="1:46" ht="15" customHeight="1">
      <c r="A13" t="s">
        <v>401</v>
      </c>
      <c r="B13" s="34">
        <v>8</v>
      </c>
      <c r="C13" s="34">
        <v>10</v>
      </c>
      <c r="D13" s="34">
        <v>0</v>
      </c>
      <c r="E13" s="34">
        <v>0</v>
      </c>
      <c r="F13" s="34">
        <v>10</v>
      </c>
      <c r="G13">
        <v>10</v>
      </c>
      <c r="H13">
        <v>10</v>
      </c>
      <c r="I13">
        <v>10</v>
      </c>
      <c r="J13">
        <v>7</v>
      </c>
      <c r="K13">
        <v>0</v>
      </c>
      <c r="L13">
        <v>10</v>
      </c>
      <c r="M13">
        <v>7</v>
      </c>
      <c r="N13" s="143">
        <f t="shared" si="0"/>
        <v>6.833333333333333</v>
      </c>
      <c r="O13">
        <v>10</v>
      </c>
      <c r="P13">
        <v>10</v>
      </c>
      <c r="Q13">
        <v>10</v>
      </c>
      <c r="R13">
        <v>10</v>
      </c>
      <c r="S13">
        <v>10</v>
      </c>
      <c r="T13">
        <v>10</v>
      </c>
      <c r="U13">
        <v>10</v>
      </c>
      <c r="V13" s="146">
        <f t="shared" si="1"/>
        <v>10</v>
      </c>
      <c r="W13">
        <v>10</v>
      </c>
      <c r="X13">
        <v>10</v>
      </c>
      <c r="Y13">
        <v>10</v>
      </c>
      <c r="Z13">
        <v>10</v>
      </c>
      <c r="AA13" s="149">
        <f t="shared" si="2"/>
        <v>10</v>
      </c>
      <c r="AB13">
        <v>0</v>
      </c>
      <c r="AC13">
        <v>10</v>
      </c>
      <c r="AD13">
        <v>10</v>
      </c>
      <c r="AE13">
        <v>10</v>
      </c>
      <c r="AF13">
        <v>10</v>
      </c>
      <c r="AG13">
        <v>10</v>
      </c>
      <c r="AH13">
        <v>10</v>
      </c>
      <c r="AI13">
        <v>10</v>
      </c>
      <c r="AJ13">
        <v>14</v>
      </c>
      <c r="AK13">
        <v>10</v>
      </c>
      <c r="AL13">
        <v>0</v>
      </c>
      <c r="AM13">
        <v>0</v>
      </c>
      <c r="AN13">
        <v>0</v>
      </c>
      <c r="AO13">
        <v>0</v>
      </c>
      <c r="AP13">
        <v>4</v>
      </c>
      <c r="AQ13">
        <v>4</v>
      </c>
      <c r="AR13">
        <v>12</v>
      </c>
      <c r="AS13" s="152">
        <f t="shared" si="3"/>
        <v>6.7058823529411766</v>
      </c>
      <c r="AT13">
        <v>306</v>
      </c>
    </row>
    <row r="14" spans="1:46" ht="15" customHeight="1">
      <c r="A14" t="s">
        <v>338</v>
      </c>
      <c r="B14" s="34">
        <v>8</v>
      </c>
      <c r="C14" s="34">
        <v>10</v>
      </c>
      <c r="D14" s="34">
        <v>0</v>
      </c>
      <c r="E14" s="34">
        <v>0</v>
      </c>
      <c r="F14" s="34">
        <v>9</v>
      </c>
      <c r="G14">
        <v>6</v>
      </c>
      <c r="H14">
        <v>0</v>
      </c>
      <c r="I14">
        <v>10</v>
      </c>
      <c r="J14">
        <v>10</v>
      </c>
      <c r="K14">
        <v>0</v>
      </c>
      <c r="L14">
        <v>5</v>
      </c>
      <c r="M14">
        <v>0</v>
      </c>
      <c r="N14" s="143">
        <f t="shared" si="0"/>
        <v>4.833333333333333</v>
      </c>
      <c r="O14">
        <v>0</v>
      </c>
      <c r="P14">
        <v>5</v>
      </c>
      <c r="Q14">
        <v>10</v>
      </c>
      <c r="R14">
        <v>10</v>
      </c>
      <c r="S14">
        <v>10</v>
      </c>
      <c r="T14">
        <v>10</v>
      </c>
      <c r="U14">
        <v>0</v>
      </c>
      <c r="V14" s="146">
        <f t="shared" si="1"/>
        <v>6.4285714285714288</v>
      </c>
      <c r="W14">
        <v>10</v>
      </c>
      <c r="X14">
        <v>0</v>
      </c>
      <c r="Y14">
        <v>10</v>
      </c>
      <c r="Z14">
        <v>10</v>
      </c>
      <c r="AA14" s="149">
        <f t="shared" si="2"/>
        <v>7.5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6</v>
      </c>
      <c r="AK14">
        <v>10</v>
      </c>
      <c r="AL14">
        <v>0</v>
      </c>
      <c r="AM14">
        <v>0</v>
      </c>
      <c r="AN14">
        <v>5</v>
      </c>
      <c r="AO14">
        <v>0</v>
      </c>
      <c r="AP14">
        <v>8</v>
      </c>
      <c r="AQ14">
        <v>8</v>
      </c>
      <c r="AR14">
        <v>0</v>
      </c>
      <c r="AS14" s="152">
        <f t="shared" si="3"/>
        <v>2.1764705882352939</v>
      </c>
      <c r="AT14">
        <v>170</v>
      </c>
    </row>
    <row r="15" spans="1:46" ht="15" customHeight="1">
      <c r="A15" t="s">
        <v>339</v>
      </c>
      <c r="B15" s="34">
        <v>8</v>
      </c>
      <c r="C15" s="34">
        <v>0</v>
      </c>
      <c r="D15" s="34">
        <v>0</v>
      </c>
      <c r="E15" s="34">
        <v>10</v>
      </c>
      <c r="F15" s="34">
        <v>4</v>
      </c>
      <c r="G15">
        <v>8</v>
      </c>
      <c r="H15">
        <v>0</v>
      </c>
      <c r="I15">
        <v>0</v>
      </c>
      <c r="J15">
        <v>7</v>
      </c>
      <c r="K15">
        <v>0</v>
      </c>
      <c r="L15">
        <v>0</v>
      </c>
      <c r="M15">
        <v>0</v>
      </c>
      <c r="N15" s="143">
        <f t="shared" si="0"/>
        <v>3.0833333333333335</v>
      </c>
      <c r="O15">
        <v>0</v>
      </c>
      <c r="P15">
        <v>7</v>
      </c>
      <c r="Q15">
        <v>10</v>
      </c>
      <c r="R15">
        <v>10</v>
      </c>
      <c r="S15">
        <v>10</v>
      </c>
      <c r="T15">
        <v>6</v>
      </c>
      <c r="U15">
        <v>0</v>
      </c>
      <c r="V15" s="146">
        <f t="shared" si="1"/>
        <v>6.1428571428571432</v>
      </c>
      <c r="W15">
        <v>0</v>
      </c>
      <c r="X15">
        <v>0</v>
      </c>
      <c r="Y15">
        <v>10</v>
      </c>
      <c r="Z15">
        <v>10</v>
      </c>
      <c r="AA15" s="149">
        <f t="shared" si="2"/>
        <v>5</v>
      </c>
      <c r="AB15">
        <v>0</v>
      </c>
      <c r="AC15">
        <v>0</v>
      </c>
      <c r="AD15">
        <v>10</v>
      </c>
      <c r="AE15">
        <v>10</v>
      </c>
      <c r="AF15">
        <v>0</v>
      </c>
      <c r="AG15">
        <v>0</v>
      </c>
      <c r="AH15">
        <v>0</v>
      </c>
      <c r="AI15">
        <v>0</v>
      </c>
      <c r="AJ15">
        <v>10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12</v>
      </c>
      <c r="AS15" s="152">
        <f t="shared" si="3"/>
        <v>2.4705882352941178</v>
      </c>
      <c r="AT15">
        <v>142</v>
      </c>
    </row>
    <row r="16" spans="1:46" ht="15" customHeight="1">
      <c r="A16" t="s">
        <v>348</v>
      </c>
      <c r="B16" s="34">
        <v>10</v>
      </c>
      <c r="C16" s="34">
        <v>10</v>
      </c>
      <c r="D16" s="34">
        <v>0</v>
      </c>
      <c r="E16" s="34">
        <v>0</v>
      </c>
      <c r="F16" s="34">
        <v>4</v>
      </c>
      <c r="G16">
        <v>8</v>
      </c>
      <c r="H16">
        <v>10</v>
      </c>
      <c r="I16">
        <v>10</v>
      </c>
      <c r="J16">
        <v>7</v>
      </c>
      <c r="K16">
        <v>0</v>
      </c>
      <c r="L16">
        <v>10</v>
      </c>
      <c r="M16">
        <v>7</v>
      </c>
      <c r="N16" s="143">
        <f t="shared" si="0"/>
        <v>6.333333333333333</v>
      </c>
      <c r="O16">
        <v>0</v>
      </c>
      <c r="P16">
        <v>7</v>
      </c>
      <c r="Q16">
        <v>10</v>
      </c>
      <c r="R16">
        <v>0</v>
      </c>
      <c r="S16">
        <v>0</v>
      </c>
      <c r="T16">
        <v>6</v>
      </c>
      <c r="U16">
        <v>0</v>
      </c>
      <c r="V16" s="146">
        <f t="shared" si="1"/>
        <v>3.2857142857142856</v>
      </c>
      <c r="W16">
        <v>10</v>
      </c>
      <c r="X16">
        <v>10</v>
      </c>
      <c r="Y16">
        <v>10</v>
      </c>
      <c r="Z16">
        <v>10</v>
      </c>
      <c r="AA16" s="149">
        <f t="shared" si="2"/>
        <v>10</v>
      </c>
      <c r="AB16">
        <v>0</v>
      </c>
      <c r="AC16">
        <v>0</v>
      </c>
      <c r="AD16">
        <v>6</v>
      </c>
      <c r="AE16">
        <v>0</v>
      </c>
      <c r="AF16">
        <v>0</v>
      </c>
      <c r="AG16">
        <v>10</v>
      </c>
      <c r="AH16">
        <v>0</v>
      </c>
      <c r="AI16">
        <v>0</v>
      </c>
      <c r="AJ16">
        <v>14</v>
      </c>
      <c r="AK16">
        <v>14</v>
      </c>
      <c r="AL16">
        <v>0</v>
      </c>
      <c r="AM16">
        <v>10</v>
      </c>
      <c r="AN16">
        <v>0</v>
      </c>
      <c r="AO16">
        <v>0</v>
      </c>
      <c r="AP16">
        <v>0</v>
      </c>
      <c r="AQ16">
        <v>0</v>
      </c>
      <c r="AR16">
        <v>0</v>
      </c>
      <c r="AS16" s="152">
        <f t="shared" si="3"/>
        <v>3.1764705882352939</v>
      </c>
      <c r="AT16">
        <v>193</v>
      </c>
    </row>
    <row r="17" spans="1:46" ht="15" customHeight="1">
      <c r="A17" t="s">
        <v>417</v>
      </c>
      <c r="B17" s="34">
        <v>10</v>
      </c>
      <c r="C17" s="34">
        <v>10</v>
      </c>
      <c r="D17" s="34">
        <v>0</v>
      </c>
      <c r="E17" s="34">
        <v>0</v>
      </c>
      <c r="F17" s="34">
        <v>4</v>
      </c>
      <c r="G17">
        <v>10</v>
      </c>
      <c r="H17">
        <v>0</v>
      </c>
      <c r="I17">
        <v>10</v>
      </c>
      <c r="J17">
        <v>7</v>
      </c>
      <c r="K17">
        <v>10</v>
      </c>
      <c r="L17">
        <v>5</v>
      </c>
      <c r="M17">
        <v>0</v>
      </c>
      <c r="N17" s="143">
        <f t="shared" si="0"/>
        <v>5.5</v>
      </c>
      <c r="O17">
        <v>0</v>
      </c>
      <c r="P17">
        <v>5</v>
      </c>
      <c r="Q17">
        <v>10</v>
      </c>
      <c r="R17">
        <v>10</v>
      </c>
      <c r="S17">
        <v>10</v>
      </c>
      <c r="T17">
        <v>6</v>
      </c>
      <c r="U17">
        <v>0</v>
      </c>
      <c r="V17" s="146">
        <f t="shared" si="1"/>
        <v>5.8571428571428568</v>
      </c>
      <c r="W17">
        <v>10</v>
      </c>
      <c r="X17">
        <v>10</v>
      </c>
      <c r="Y17">
        <v>0</v>
      </c>
      <c r="Z17">
        <v>10</v>
      </c>
      <c r="AA17" s="149">
        <f t="shared" si="2"/>
        <v>7.5</v>
      </c>
      <c r="AB17">
        <v>0</v>
      </c>
      <c r="AC17">
        <v>0</v>
      </c>
      <c r="AD17">
        <v>10</v>
      </c>
      <c r="AE17">
        <v>10</v>
      </c>
      <c r="AF17">
        <v>0</v>
      </c>
      <c r="AG17">
        <v>10</v>
      </c>
      <c r="AH17">
        <v>10</v>
      </c>
      <c r="AI17">
        <v>0</v>
      </c>
      <c r="AJ17">
        <v>10</v>
      </c>
      <c r="AK17">
        <v>5</v>
      </c>
      <c r="AL17">
        <v>0</v>
      </c>
      <c r="AM17">
        <v>0</v>
      </c>
      <c r="AN17">
        <v>3</v>
      </c>
      <c r="AO17">
        <v>10</v>
      </c>
      <c r="AP17">
        <v>8</v>
      </c>
      <c r="AQ17">
        <v>8</v>
      </c>
      <c r="AR17">
        <v>0</v>
      </c>
      <c r="AS17" s="152">
        <f t="shared" si="3"/>
        <v>4.9411764705882355</v>
      </c>
      <c r="AT17">
        <v>221</v>
      </c>
    </row>
    <row r="18" spans="1:46" ht="15" customHeight="1">
      <c r="A18" t="s">
        <v>349</v>
      </c>
      <c r="B18" s="34">
        <v>10</v>
      </c>
      <c r="C18" s="34">
        <v>10</v>
      </c>
      <c r="D18" s="34">
        <v>0</v>
      </c>
      <c r="E18" s="34">
        <v>0</v>
      </c>
      <c r="F18" s="34">
        <v>5</v>
      </c>
      <c r="G18">
        <v>10</v>
      </c>
      <c r="H18">
        <v>10</v>
      </c>
      <c r="I18">
        <v>10</v>
      </c>
      <c r="J18">
        <v>10</v>
      </c>
      <c r="K18">
        <v>0</v>
      </c>
      <c r="L18">
        <v>10</v>
      </c>
      <c r="M18">
        <v>7</v>
      </c>
      <c r="N18" s="143">
        <f t="shared" si="0"/>
        <v>6.833333333333333</v>
      </c>
      <c r="O18">
        <v>0</v>
      </c>
      <c r="P18">
        <v>5</v>
      </c>
      <c r="Q18">
        <v>10</v>
      </c>
      <c r="R18">
        <v>10</v>
      </c>
      <c r="S18">
        <v>10</v>
      </c>
      <c r="T18">
        <v>6</v>
      </c>
      <c r="U18">
        <v>0</v>
      </c>
      <c r="V18" s="146">
        <f t="shared" si="1"/>
        <v>5.8571428571428568</v>
      </c>
      <c r="W18">
        <v>0</v>
      </c>
      <c r="X18">
        <v>0</v>
      </c>
      <c r="Y18">
        <v>0</v>
      </c>
      <c r="Z18">
        <v>10</v>
      </c>
      <c r="AA18" s="149">
        <f t="shared" si="2"/>
        <v>2.5</v>
      </c>
      <c r="AB18">
        <v>0</v>
      </c>
      <c r="AC18">
        <v>10</v>
      </c>
      <c r="AD18">
        <v>6</v>
      </c>
      <c r="AE18">
        <v>10</v>
      </c>
      <c r="AF18">
        <v>10</v>
      </c>
      <c r="AG18">
        <v>10</v>
      </c>
      <c r="AH18">
        <v>10</v>
      </c>
      <c r="AI18">
        <v>10</v>
      </c>
      <c r="AJ18">
        <v>10</v>
      </c>
      <c r="AK18">
        <v>10</v>
      </c>
      <c r="AL18">
        <v>0</v>
      </c>
      <c r="AM18">
        <v>10</v>
      </c>
      <c r="AN18">
        <v>5</v>
      </c>
      <c r="AO18">
        <v>0</v>
      </c>
      <c r="AP18">
        <v>8</v>
      </c>
      <c r="AQ18">
        <v>8</v>
      </c>
      <c r="AR18">
        <v>0</v>
      </c>
      <c r="AS18" s="152">
        <f t="shared" si="3"/>
        <v>6.882352941176471</v>
      </c>
      <c r="AT18">
        <v>250</v>
      </c>
    </row>
    <row r="19" spans="1:46" ht="15" customHeight="1">
      <c r="A19" t="s">
        <v>416</v>
      </c>
      <c r="B19" s="34">
        <v>8</v>
      </c>
      <c r="C19" s="34">
        <v>10</v>
      </c>
      <c r="D19" s="34">
        <v>0</v>
      </c>
      <c r="E19" s="34">
        <v>0</v>
      </c>
      <c r="F19" s="34">
        <v>3</v>
      </c>
      <c r="G19">
        <v>10</v>
      </c>
      <c r="H19">
        <v>10</v>
      </c>
      <c r="I19">
        <v>0</v>
      </c>
      <c r="J19">
        <v>0</v>
      </c>
      <c r="K19">
        <v>0</v>
      </c>
      <c r="L19">
        <v>10</v>
      </c>
      <c r="M19">
        <v>0</v>
      </c>
      <c r="N19" s="143">
        <f t="shared" si="0"/>
        <v>4.25</v>
      </c>
      <c r="O19">
        <v>0</v>
      </c>
      <c r="P19">
        <v>5</v>
      </c>
      <c r="Q19">
        <v>10</v>
      </c>
      <c r="R19">
        <v>10</v>
      </c>
      <c r="S19">
        <v>10</v>
      </c>
      <c r="T19">
        <v>10</v>
      </c>
      <c r="U19">
        <v>0</v>
      </c>
      <c r="V19" s="146">
        <f t="shared" si="1"/>
        <v>6.4285714285714288</v>
      </c>
      <c r="W19">
        <v>10</v>
      </c>
      <c r="X19">
        <v>0</v>
      </c>
      <c r="Y19">
        <v>10</v>
      </c>
      <c r="Z19">
        <v>10</v>
      </c>
      <c r="AA19" s="149">
        <f t="shared" si="2"/>
        <v>7.5</v>
      </c>
      <c r="AB19">
        <v>0</v>
      </c>
      <c r="AC19">
        <v>0</v>
      </c>
      <c r="AD19">
        <v>0</v>
      </c>
      <c r="AE19">
        <v>10</v>
      </c>
      <c r="AF19">
        <v>10</v>
      </c>
      <c r="AG19">
        <v>0</v>
      </c>
      <c r="AH19">
        <v>0</v>
      </c>
      <c r="AI19">
        <v>0</v>
      </c>
      <c r="AJ19">
        <v>10</v>
      </c>
      <c r="AK19">
        <v>14</v>
      </c>
      <c r="AL19">
        <v>0</v>
      </c>
      <c r="AM19">
        <v>10</v>
      </c>
      <c r="AN19">
        <v>3</v>
      </c>
      <c r="AO19">
        <v>10</v>
      </c>
      <c r="AP19">
        <v>8</v>
      </c>
      <c r="AQ19">
        <v>8</v>
      </c>
      <c r="AR19">
        <v>0</v>
      </c>
      <c r="AS19" s="152">
        <f t="shared" si="3"/>
        <v>4.882352941176471</v>
      </c>
      <c r="AT19">
        <v>209</v>
      </c>
    </row>
    <row r="20" spans="1:46" ht="15" customHeight="1">
      <c r="A20" t="s">
        <v>340</v>
      </c>
      <c r="B20" s="34">
        <v>8</v>
      </c>
      <c r="C20" s="34">
        <v>10</v>
      </c>
      <c r="D20" s="34">
        <v>10</v>
      </c>
      <c r="E20" s="34">
        <v>0</v>
      </c>
      <c r="F20" s="34">
        <v>4</v>
      </c>
      <c r="G20">
        <v>10</v>
      </c>
      <c r="H20">
        <v>10</v>
      </c>
      <c r="I20">
        <v>10</v>
      </c>
      <c r="J20">
        <v>10</v>
      </c>
      <c r="K20">
        <v>0</v>
      </c>
      <c r="L20">
        <v>10</v>
      </c>
      <c r="M20">
        <v>10</v>
      </c>
      <c r="N20" s="143">
        <f t="shared" si="0"/>
        <v>7.666666666666667</v>
      </c>
      <c r="O20">
        <v>10</v>
      </c>
      <c r="P20">
        <v>10</v>
      </c>
      <c r="Q20">
        <v>10</v>
      </c>
      <c r="R20">
        <v>10</v>
      </c>
      <c r="S20">
        <v>10</v>
      </c>
      <c r="T20">
        <v>0</v>
      </c>
      <c r="U20">
        <v>0</v>
      </c>
      <c r="V20" s="146">
        <f t="shared" si="1"/>
        <v>7.1428571428571432</v>
      </c>
      <c r="W20">
        <v>10</v>
      </c>
      <c r="X20">
        <v>10</v>
      </c>
      <c r="Y20">
        <v>10</v>
      </c>
      <c r="Z20">
        <v>10</v>
      </c>
      <c r="AA20" s="149">
        <f t="shared" si="2"/>
        <v>10</v>
      </c>
      <c r="AB20">
        <v>6</v>
      </c>
      <c r="AC20">
        <v>10</v>
      </c>
      <c r="AD20">
        <v>0</v>
      </c>
      <c r="AE20">
        <v>10</v>
      </c>
      <c r="AF20">
        <v>10</v>
      </c>
      <c r="AG20">
        <v>10</v>
      </c>
      <c r="AH20">
        <v>10</v>
      </c>
      <c r="AI20">
        <v>10</v>
      </c>
      <c r="AJ20">
        <v>10</v>
      </c>
      <c r="AK20">
        <v>10</v>
      </c>
      <c r="AL20">
        <v>8</v>
      </c>
      <c r="AM20">
        <v>0</v>
      </c>
      <c r="AN20">
        <v>0</v>
      </c>
      <c r="AO20">
        <v>0</v>
      </c>
      <c r="AP20">
        <v>4</v>
      </c>
      <c r="AQ20">
        <v>2</v>
      </c>
      <c r="AR20">
        <v>0</v>
      </c>
      <c r="AS20" s="152">
        <f t="shared" si="3"/>
        <v>5.882352941176471</v>
      </c>
      <c r="AT20">
        <v>282</v>
      </c>
    </row>
    <row r="21" spans="1:46" ht="15" customHeight="1">
      <c r="A21" t="s">
        <v>347</v>
      </c>
      <c r="B21" s="34">
        <v>10</v>
      </c>
      <c r="C21" s="34">
        <v>10</v>
      </c>
      <c r="D21" s="34">
        <v>0</v>
      </c>
      <c r="E21" s="34">
        <v>0</v>
      </c>
      <c r="F21" s="34">
        <v>6</v>
      </c>
      <c r="G21">
        <v>6</v>
      </c>
      <c r="H21">
        <v>0</v>
      </c>
      <c r="I21">
        <v>10</v>
      </c>
      <c r="J21">
        <v>7</v>
      </c>
      <c r="K21">
        <v>0</v>
      </c>
      <c r="L21">
        <v>10</v>
      </c>
      <c r="M21">
        <v>0</v>
      </c>
      <c r="N21" s="143">
        <f t="shared" si="0"/>
        <v>4.916666666666667</v>
      </c>
      <c r="O21">
        <v>0</v>
      </c>
      <c r="P21">
        <v>5</v>
      </c>
      <c r="Q21">
        <v>0</v>
      </c>
      <c r="R21">
        <v>0</v>
      </c>
      <c r="S21">
        <v>0</v>
      </c>
      <c r="T21">
        <v>6</v>
      </c>
      <c r="U21">
        <v>0</v>
      </c>
      <c r="V21" s="146">
        <f t="shared" si="1"/>
        <v>1.5714285714285714</v>
      </c>
      <c r="W21">
        <v>0</v>
      </c>
      <c r="X21">
        <v>0</v>
      </c>
      <c r="Y21">
        <v>10</v>
      </c>
      <c r="Z21">
        <v>10</v>
      </c>
      <c r="AA21" s="149">
        <f t="shared" si="2"/>
        <v>5</v>
      </c>
      <c r="AB21">
        <v>6</v>
      </c>
      <c r="AC21">
        <v>10</v>
      </c>
      <c r="AD21">
        <v>6</v>
      </c>
      <c r="AE21">
        <v>10</v>
      </c>
      <c r="AF21">
        <v>0</v>
      </c>
      <c r="AG21">
        <v>10</v>
      </c>
      <c r="AH21">
        <v>0</v>
      </c>
      <c r="AI21">
        <v>0</v>
      </c>
      <c r="AJ21">
        <v>14</v>
      </c>
      <c r="AK21">
        <v>10</v>
      </c>
      <c r="AL21">
        <v>0</v>
      </c>
      <c r="AM21">
        <v>0</v>
      </c>
      <c r="AN21">
        <v>5</v>
      </c>
      <c r="AO21">
        <v>0</v>
      </c>
      <c r="AP21">
        <v>8</v>
      </c>
      <c r="AQ21">
        <v>8</v>
      </c>
      <c r="AR21">
        <v>0</v>
      </c>
      <c r="AS21" s="152">
        <f t="shared" si="3"/>
        <v>5.117647058823529</v>
      </c>
      <c r="AT21">
        <v>177</v>
      </c>
    </row>
    <row r="22" spans="1:46" ht="15" customHeight="1">
      <c r="A22" t="s">
        <v>402</v>
      </c>
      <c r="B22" s="34">
        <v>8</v>
      </c>
      <c r="C22" s="34">
        <v>0</v>
      </c>
      <c r="D22" s="34">
        <v>0</v>
      </c>
      <c r="E22" s="34">
        <v>0</v>
      </c>
      <c r="F22" s="34">
        <v>4</v>
      </c>
      <c r="G22">
        <v>10</v>
      </c>
      <c r="H22">
        <v>0</v>
      </c>
      <c r="I22">
        <v>10</v>
      </c>
      <c r="J22">
        <v>10</v>
      </c>
      <c r="K22">
        <v>0</v>
      </c>
      <c r="L22">
        <v>10</v>
      </c>
      <c r="M22">
        <v>7</v>
      </c>
      <c r="N22" s="143">
        <f t="shared" si="0"/>
        <v>4.916666666666667</v>
      </c>
      <c r="O22">
        <v>10</v>
      </c>
      <c r="P22">
        <v>5</v>
      </c>
      <c r="Q22">
        <v>10</v>
      </c>
      <c r="R22">
        <v>10</v>
      </c>
      <c r="S22">
        <v>0</v>
      </c>
      <c r="T22">
        <v>6</v>
      </c>
      <c r="U22">
        <v>0</v>
      </c>
      <c r="V22" s="146">
        <f t="shared" si="1"/>
        <v>5.8571428571428568</v>
      </c>
      <c r="W22">
        <v>10</v>
      </c>
      <c r="X22">
        <v>0</v>
      </c>
      <c r="Y22">
        <v>0</v>
      </c>
      <c r="Z22">
        <v>10</v>
      </c>
      <c r="AA22" s="149">
        <f t="shared" si="2"/>
        <v>5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10</v>
      </c>
      <c r="AH22">
        <v>10</v>
      </c>
      <c r="AI22">
        <v>10</v>
      </c>
      <c r="AJ22">
        <v>0</v>
      </c>
      <c r="AK22">
        <v>10</v>
      </c>
      <c r="AL22">
        <v>0</v>
      </c>
      <c r="AM22">
        <v>0</v>
      </c>
      <c r="AN22">
        <v>5</v>
      </c>
      <c r="AO22">
        <v>0</v>
      </c>
      <c r="AP22">
        <v>0</v>
      </c>
      <c r="AQ22">
        <v>4</v>
      </c>
      <c r="AR22">
        <v>12</v>
      </c>
      <c r="AS22" s="152">
        <f t="shared" si="3"/>
        <v>3.5882352941176472</v>
      </c>
      <c r="AT22">
        <v>181</v>
      </c>
    </row>
    <row r="23" spans="1:46" ht="15" customHeight="1">
      <c r="A23" t="s">
        <v>268</v>
      </c>
      <c r="B23" s="34">
        <v>10</v>
      </c>
      <c r="C23" s="34">
        <v>10</v>
      </c>
      <c r="D23" s="34">
        <v>0</v>
      </c>
      <c r="E23" s="34">
        <v>0</v>
      </c>
      <c r="F23" s="34">
        <v>6</v>
      </c>
      <c r="G23">
        <v>6</v>
      </c>
      <c r="H23">
        <v>0</v>
      </c>
      <c r="I23">
        <v>10</v>
      </c>
      <c r="J23">
        <v>7</v>
      </c>
      <c r="K23">
        <v>0</v>
      </c>
      <c r="L23">
        <v>10</v>
      </c>
      <c r="M23">
        <v>0</v>
      </c>
      <c r="N23" s="143">
        <f t="shared" si="0"/>
        <v>4.916666666666667</v>
      </c>
      <c r="O23">
        <v>0</v>
      </c>
      <c r="P23">
        <v>5</v>
      </c>
      <c r="Q23">
        <v>0</v>
      </c>
      <c r="R23">
        <v>0</v>
      </c>
      <c r="S23">
        <v>0</v>
      </c>
      <c r="T23">
        <v>6</v>
      </c>
      <c r="U23">
        <v>0</v>
      </c>
      <c r="V23" s="146">
        <f t="shared" si="1"/>
        <v>1.5714285714285714</v>
      </c>
      <c r="W23">
        <v>0</v>
      </c>
      <c r="X23">
        <v>0</v>
      </c>
      <c r="Y23">
        <v>10</v>
      </c>
      <c r="Z23">
        <v>10</v>
      </c>
      <c r="AA23" s="149">
        <f t="shared" si="2"/>
        <v>5</v>
      </c>
      <c r="AB23">
        <v>6</v>
      </c>
      <c r="AC23">
        <v>10</v>
      </c>
      <c r="AD23">
        <v>6</v>
      </c>
      <c r="AE23">
        <v>10</v>
      </c>
      <c r="AF23">
        <v>0</v>
      </c>
      <c r="AG23">
        <v>10</v>
      </c>
      <c r="AH23">
        <v>0</v>
      </c>
      <c r="AI23">
        <v>0</v>
      </c>
      <c r="AJ23">
        <v>10</v>
      </c>
      <c r="AK23">
        <v>10</v>
      </c>
      <c r="AL23">
        <v>0</v>
      </c>
      <c r="AM23">
        <v>0</v>
      </c>
      <c r="AN23">
        <v>5</v>
      </c>
      <c r="AO23">
        <v>0</v>
      </c>
      <c r="AP23">
        <v>8</v>
      </c>
      <c r="AQ23">
        <v>8</v>
      </c>
      <c r="AR23">
        <v>0</v>
      </c>
      <c r="AS23" s="152">
        <f t="shared" si="3"/>
        <v>4.882352941176471</v>
      </c>
      <c r="AT23">
        <v>173</v>
      </c>
    </row>
    <row r="24" spans="1:46" ht="15" customHeight="1">
      <c r="A24" t="s">
        <v>269</v>
      </c>
      <c r="B24" s="34">
        <v>10</v>
      </c>
      <c r="C24" s="34">
        <v>0</v>
      </c>
      <c r="D24" s="34">
        <v>0</v>
      </c>
      <c r="E24" s="34">
        <v>0</v>
      </c>
      <c r="F24" s="34">
        <v>3</v>
      </c>
      <c r="G24">
        <v>6</v>
      </c>
      <c r="H24">
        <v>10</v>
      </c>
      <c r="I24">
        <v>0</v>
      </c>
      <c r="J24">
        <v>0</v>
      </c>
      <c r="K24">
        <v>0</v>
      </c>
      <c r="L24">
        <v>0</v>
      </c>
      <c r="M24">
        <v>0</v>
      </c>
      <c r="N24" s="143">
        <f t="shared" si="0"/>
        <v>2.4166666666666665</v>
      </c>
      <c r="O24">
        <v>0</v>
      </c>
      <c r="P24">
        <v>5</v>
      </c>
      <c r="Q24">
        <v>10</v>
      </c>
      <c r="R24">
        <v>10</v>
      </c>
      <c r="S24">
        <v>0</v>
      </c>
      <c r="T24">
        <v>0</v>
      </c>
      <c r="U24">
        <v>10</v>
      </c>
      <c r="V24" s="146">
        <f t="shared" si="1"/>
        <v>5</v>
      </c>
      <c r="W24">
        <v>0</v>
      </c>
      <c r="X24">
        <v>0</v>
      </c>
      <c r="Y24">
        <v>0</v>
      </c>
      <c r="Z24">
        <v>10</v>
      </c>
      <c r="AA24" s="149">
        <f t="shared" si="2"/>
        <v>2.5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4</v>
      </c>
      <c r="AK24">
        <v>10</v>
      </c>
      <c r="AL24">
        <v>0</v>
      </c>
      <c r="AM24">
        <v>10</v>
      </c>
      <c r="AN24">
        <v>3</v>
      </c>
      <c r="AO24">
        <v>10</v>
      </c>
      <c r="AP24">
        <v>8</v>
      </c>
      <c r="AQ24">
        <v>8</v>
      </c>
      <c r="AR24">
        <v>0</v>
      </c>
      <c r="AS24" s="152">
        <f t="shared" si="3"/>
        <v>3.1176470588235294</v>
      </c>
      <c r="AT24">
        <v>127</v>
      </c>
    </row>
    <row r="25" spans="1:46" ht="15" customHeight="1">
      <c r="A25" t="s">
        <v>270</v>
      </c>
      <c r="B25" s="34">
        <v>8</v>
      </c>
      <c r="C25" s="34">
        <v>10</v>
      </c>
      <c r="D25" s="34">
        <v>0</v>
      </c>
      <c r="E25" s="34">
        <v>0</v>
      </c>
      <c r="F25" s="34">
        <v>5</v>
      </c>
      <c r="G25">
        <v>6</v>
      </c>
      <c r="H25">
        <v>10</v>
      </c>
      <c r="I25">
        <v>10</v>
      </c>
      <c r="J25">
        <v>7</v>
      </c>
      <c r="K25">
        <v>0</v>
      </c>
      <c r="L25">
        <v>10</v>
      </c>
      <c r="M25">
        <v>0</v>
      </c>
      <c r="N25" s="143">
        <f t="shared" si="0"/>
        <v>5.5</v>
      </c>
      <c r="O25">
        <v>0</v>
      </c>
      <c r="P25">
        <v>5</v>
      </c>
      <c r="Q25">
        <v>10</v>
      </c>
      <c r="R25">
        <v>10</v>
      </c>
      <c r="S25">
        <v>10</v>
      </c>
      <c r="T25">
        <v>10</v>
      </c>
      <c r="U25">
        <v>10</v>
      </c>
      <c r="V25" s="146">
        <f t="shared" si="1"/>
        <v>7.8571428571428568</v>
      </c>
      <c r="W25">
        <v>0</v>
      </c>
      <c r="X25">
        <v>0</v>
      </c>
      <c r="Y25">
        <v>10</v>
      </c>
      <c r="Z25">
        <v>10</v>
      </c>
      <c r="AA25" s="149">
        <f t="shared" si="2"/>
        <v>5</v>
      </c>
      <c r="AB25">
        <v>0</v>
      </c>
      <c r="AC25">
        <v>0</v>
      </c>
      <c r="AD25">
        <v>0</v>
      </c>
      <c r="AE25">
        <v>10</v>
      </c>
      <c r="AF25">
        <v>10</v>
      </c>
      <c r="AG25">
        <v>10</v>
      </c>
      <c r="AH25">
        <v>10</v>
      </c>
      <c r="AI25">
        <v>10</v>
      </c>
      <c r="AJ25">
        <v>10</v>
      </c>
      <c r="AK25">
        <v>10</v>
      </c>
      <c r="AL25">
        <v>0</v>
      </c>
      <c r="AM25">
        <v>10</v>
      </c>
      <c r="AN25">
        <v>5</v>
      </c>
      <c r="AO25">
        <v>0</v>
      </c>
      <c r="AP25">
        <v>0</v>
      </c>
      <c r="AQ25">
        <v>8</v>
      </c>
      <c r="AR25">
        <v>8</v>
      </c>
      <c r="AS25" s="152">
        <f t="shared" si="3"/>
        <v>5.9411764705882355</v>
      </c>
      <c r="AT25">
        <v>242</v>
      </c>
    </row>
    <row r="26" spans="1:46" ht="15" customHeight="1">
      <c r="A26" t="s">
        <v>271</v>
      </c>
      <c r="B26" s="34">
        <v>8</v>
      </c>
      <c r="C26" s="34">
        <v>10</v>
      </c>
      <c r="D26" s="34">
        <v>0</v>
      </c>
      <c r="E26" s="34">
        <v>0</v>
      </c>
      <c r="F26" s="34">
        <v>4</v>
      </c>
      <c r="G26">
        <v>8</v>
      </c>
      <c r="H26">
        <v>0</v>
      </c>
      <c r="I26">
        <v>0</v>
      </c>
      <c r="J26">
        <v>7</v>
      </c>
      <c r="K26">
        <v>10</v>
      </c>
      <c r="L26">
        <v>0</v>
      </c>
      <c r="M26">
        <v>0</v>
      </c>
      <c r="N26" s="143">
        <f t="shared" si="0"/>
        <v>3.9166666666666665</v>
      </c>
      <c r="O26">
        <v>10</v>
      </c>
      <c r="P26">
        <v>5</v>
      </c>
      <c r="Q26">
        <v>10</v>
      </c>
      <c r="R26">
        <v>10</v>
      </c>
      <c r="S26">
        <v>10</v>
      </c>
      <c r="T26">
        <v>6</v>
      </c>
      <c r="U26">
        <v>0</v>
      </c>
      <c r="V26" s="146">
        <f t="shared" si="1"/>
        <v>7.2857142857142856</v>
      </c>
      <c r="W26">
        <v>0</v>
      </c>
      <c r="X26">
        <v>0</v>
      </c>
      <c r="Y26">
        <v>10</v>
      </c>
      <c r="Z26">
        <v>10</v>
      </c>
      <c r="AA26" s="149">
        <f t="shared" si="2"/>
        <v>5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14</v>
      </c>
      <c r="AK26">
        <v>10</v>
      </c>
      <c r="AL26">
        <v>0</v>
      </c>
      <c r="AM26">
        <v>10</v>
      </c>
      <c r="AN26">
        <v>0</v>
      </c>
      <c r="AO26">
        <v>10</v>
      </c>
      <c r="AP26">
        <v>8</v>
      </c>
      <c r="AQ26">
        <v>8</v>
      </c>
      <c r="AR26">
        <v>0</v>
      </c>
      <c r="AS26" s="152">
        <f t="shared" si="3"/>
        <v>3.5294117647058822</v>
      </c>
      <c r="AT26">
        <v>178</v>
      </c>
    </row>
    <row r="27" spans="1:46" ht="15" customHeight="1">
      <c r="A27" t="s">
        <v>431</v>
      </c>
      <c r="B27" s="34">
        <v>8</v>
      </c>
      <c r="C27" s="34">
        <v>10</v>
      </c>
      <c r="D27" s="34">
        <v>0</v>
      </c>
      <c r="E27" s="34">
        <v>0</v>
      </c>
      <c r="F27" s="34">
        <v>6</v>
      </c>
      <c r="G27">
        <v>8</v>
      </c>
      <c r="H27">
        <v>10</v>
      </c>
      <c r="I27">
        <v>0</v>
      </c>
      <c r="J27">
        <v>0</v>
      </c>
      <c r="K27">
        <v>0</v>
      </c>
      <c r="L27">
        <v>5</v>
      </c>
      <c r="M27">
        <v>0</v>
      </c>
      <c r="N27" s="143">
        <f t="shared" si="0"/>
        <v>3.9166666666666665</v>
      </c>
      <c r="O27">
        <v>10</v>
      </c>
      <c r="P27">
        <v>5</v>
      </c>
      <c r="Q27">
        <v>10</v>
      </c>
      <c r="R27">
        <v>10</v>
      </c>
      <c r="S27">
        <v>10</v>
      </c>
      <c r="T27">
        <v>10</v>
      </c>
      <c r="U27">
        <v>0</v>
      </c>
      <c r="V27" s="146">
        <f t="shared" si="1"/>
        <v>7.8571428571428568</v>
      </c>
      <c r="W27">
        <v>0</v>
      </c>
      <c r="X27">
        <v>0</v>
      </c>
      <c r="Y27">
        <v>0</v>
      </c>
      <c r="Z27">
        <v>10</v>
      </c>
      <c r="AA27" s="149">
        <f t="shared" si="2"/>
        <v>2.5</v>
      </c>
      <c r="AB27">
        <v>10</v>
      </c>
      <c r="AC27">
        <v>0</v>
      </c>
      <c r="AD27">
        <v>10</v>
      </c>
      <c r="AE27">
        <v>0</v>
      </c>
      <c r="AF27">
        <v>0</v>
      </c>
      <c r="AG27">
        <v>0</v>
      </c>
      <c r="AH27">
        <v>0</v>
      </c>
      <c r="AI27">
        <v>10</v>
      </c>
      <c r="AJ27">
        <v>10</v>
      </c>
      <c r="AK27">
        <v>10</v>
      </c>
      <c r="AL27">
        <v>6</v>
      </c>
      <c r="AM27">
        <v>0</v>
      </c>
      <c r="AN27">
        <v>5</v>
      </c>
      <c r="AO27">
        <v>0</v>
      </c>
      <c r="AP27">
        <v>0</v>
      </c>
      <c r="AQ27">
        <v>4</v>
      </c>
      <c r="AR27">
        <v>12</v>
      </c>
      <c r="AS27" s="152">
        <f t="shared" si="3"/>
        <v>4.5294117647058822</v>
      </c>
      <c r="AT27">
        <v>189</v>
      </c>
    </row>
    <row r="28" spans="1:46" ht="15" customHeight="1">
      <c r="A28" t="s">
        <v>353</v>
      </c>
      <c r="B28" s="34">
        <v>10</v>
      </c>
      <c r="C28" s="34">
        <v>10</v>
      </c>
      <c r="D28" s="34">
        <v>0</v>
      </c>
      <c r="E28" s="34">
        <v>0</v>
      </c>
      <c r="F28" s="34">
        <v>8</v>
      </c>
      <c r="G28">
        <v>10</v>
      </c>
      <c r="H28">
        <v>10</v>
      </c>
      <c r="I28">
        <v>10</v>
      </c>
      <c r="J28">
        <v>10</v>
      </c>
      <c r="K28">
        <v>0</v>
      </c>
      <c r="L28">
        <v>10</v>
      </c>
      <c r="M28">
        <v>7</v>
      </c>
      <c r="N28" s="143">
        <f t="shared" si="0"/>
        <v>7.083333333333333</v>
      </c>
      <c r="O28">
        <v>10</v>
      </c>
      <c r="P28">
        <v>5</v>
      </c>
      <c r="Q28">
        <v>10</v>
      </c>
      <c r="R28">
        <v>10</v>
      </c>
      <c r="S28">
        <v>10</v>
      </c>
      <c r="T28">
        <v>10</v>
      </c>
      <c r="U28">
        <v>10</v>
      </c>
      <c r="V28" s="146">
        <f t="shared" si="1"/>
        <v>9.2857142857142865</v>
      </c>
      <c r="W28">
        <v>10</v>
      </c>
      <c r="X28">
        <v>10</v>
      </c>
      <c r="Y28">
        <v>10</v>
      </c>
      <c r="Z28">
        <v>10</v>
      </c>
      <c r="AA28" s="149">
        <f t="shared" si="2"/>
        <v>10</v>
      </c>
      <c r="AB28">
        <v>0</v>
      </c>
      <c r="AC28">
        <v>0</v>
      </c>
      <c r="AD28">
        <v>10</v>
      </c>
      <c r="AE28">
        <v>10</v>
      </c>
      <c r="AF28">
        <v>10</v>
      </c>
      <c r="AG28">
        <v>10</v>
      </c>
      <c r="AH28">
        <v>10</v>
      </c>
      <c r="AI28">
        <v>10</v>
      </c>
      <c r="AJ28">
        <v>4</v>
      </c>
      <c r="AK28">
        <v>10</v>
      </c>
      <c r="AL28">
        <v>0</v>
      </c>
      <c r="AM28">
        <v>10</v>
      </c>
      <c r="AN28">
        <v>3</v>
      </c>
      <c r="AO28">
        <v>0</v>
      </c>
      <c r="AP28">
        <v>4</v>
      </c>
      <c r="AQ28">
        <v>2</v>
      </c>
      <c r="AR28">
        <v>12</v>
      </c>
      <c r="AS28" s="152">
        <f t="shared" si="3"/>
        <v>6.1764705882352944</v>
      </c>
      <c r="AT28">
        <v>295</v>
      </c>
    </row>
    <row r="29" spans="1:46" ht="15" customHeight="1">
      <c r="A29" t="s">
        <v>355</v>
      </c>
      <c r="B29" s="34">
        <v>8</v>
      </c>
      <c r="C29" s="34">
        <v>10</v>
      </c>
      <c r="D29" s="34">
        <v>0</v>
      </c>
      <c r="E29" s="34">
        <v>0</v>
      </c>
      <c r="F29" s="34">
        <v>6</v>
      </c>
      <c r="G29">
        <v>10</v>
      </c>
      <c r="H29">
        <v>10</v>
      </c>
      <c r="I29">
        <v>10</v>
      </c>
      <c r="J29">
        <v>7</v>
      </c>
      <c r="K29">
        <v>0</v>
      </c>
      <c r="L29">
        <v>10</v>
      </c>
      <c r="M29">
        <v>0</v>
      </c>
      <c r="N29" s="143">
        <f t="shared" si="0"/>
        <v>5.916666666666667</v>
      </c>
      <c r="O29">
        <v>0</v>
      </c>
      <c r="P29">
        <v>5</v>
      </c>
      <c r="Q29">
        <v>10</v>
      </c>
      <c r="R29">
        <v>10</v>
      </c>
      <c r="S29">
        <v>10</v>
      </c>
      <c r="T29">
        <v>6</v>
      </c>
      <c r="U29">
        <v>0</v>
      </c>
      <c r="V29" s="146">
        <f t="shared" si="1"/>
        <v>5.8571428571428568</v>
      </c>
      <c r="W29">
        <v>10</v>
      </c>
      <c r="X29">
        <v>10</v>
      </c>
      <c r="Y29">
        <v>10</v>
      </c>
      <c r="Z29">
        <v>10</v>
      </c>
      <c r="AA29" s="149">
        <f t="shared" si="2"/>
        <v>10</v>
      </c>
      <c r="AB29">
        <v>0</v>
      </c>
      <c r="AC29">
        <v>0</v>
      </c>
      <c r="AD29">
        <v>0</v>
      </c>
      <c r="AE29">
        <v>10</v>
      </c>
      <c r="AF29">
        <v>10</v>
      </c>
      <c r="AG29">
        <v>0</v>
      </c>
      <c r="AH29">
        <v>10</v>
      </c>
      <c r="AI29">
        <v>10</v>
      </c>
      <c r="AJ29">
        <v>6</v>
      </c>
      <c r="AK29">
        <v>10</v>
      </c>
      <c r="AL29">
        <v>0</v>
      </c>
      <c r="AM29">
        <v>0</v>
      </c>
      <c r="AN29">
        <v>5</v>
      </c>
      <c r="AO29">
        <v>0</v>
      </c>
      <c r="AP29">
        <v>4</v>
      </c>
      <c r="AQ29">
        <v>12</v>
      </c>
      <c r="AR29">
        <v>10</v>
      </c>
      <c r="AS29" s="152">
        <f t="shared" si="3"/>
        <v>5.117647058823529</v>
      </c>
      <c r="AT29">
        <v>239</v>
      </c>
    </row>
    <row r="30" spans="1:46" ht="15" customHeight="1">
      <c r="A30" t="s">
        <v>387</v>
      </c>
      <c r="B30" s="34">
        <v>8</v>
      </c>
      <c r="C30" s="34">
        <v>10</v>
      </c>
      <c r="D30" s="34">
        <v>0</v>
      </c>
      <c r="E30" s="34">
        <v>0</v>
      </c>
      <c r="F30" s="34">
        <v>8</v>
      </c>
      <c r="G30">
        <v>8</v>
      </c>
      <c r="H30">
        <v>0</v>
      </c>
      <c r="I30">
        <v>0</v>
      </c>
      <c r="J30">
        <v>7</v>
      </c>
      <c r="K30">
        <v>0</v>
      </c>
      <c r="L30">
        <v>10</v>
      </c>
      <c r="M30">
        <v>7</v>
      </c>
      <c r="N30" s="143">
        <f t="shared" si="0"/>
        <v>4.833333333333333</v>
      </c>
      <c r="O30">
        <v>0</v>
      </c>
      <c r="P30">
        <v>5</v>
      </c>
      <c r="Q30">
        <v>10</v>
      </c>
      <c r="R30">
        <v>10</v>
      </c>
      <c r="S30">
        <v>0</v>
      </c>
      <c r="T30">
        <v>6</v>
      </c>
      <c r="U30">
        <v>0</v>
      </c>
      <c r="V30" s="146">
        <f t="shared" si="1"/>
        <v>4.4285714285714288</v>
      </c>
      <c r="W30">
        <v>10</v>
      </c>
      <c r="X30">
        <v>10</v>
      </c>
      <c r="Y30">
        <v>10</v>
      </c>
      <c r="Z30">
        <v>10</v>
      </c>
      <c r="AA30" s="149">
        <f t="shared" si="2"/>
        <v>10</v>
      </c>
      <c r="AB30">
        <v>10</v>
      </c>
      <c r="AC30">
        <v>0</v>
      </c>
      <c r="AD30">
        <v>10</v>
      </c>
      <c r="AE30">
        <v>0</v>
      </c>
      <c r="AF30">
        <v>10</v>
      </c>
      <c r="AG30">
        <v>0</v>
      </c>
      <c r="AH30">
        <v>0</v>
      </c>
      <c r="AI30">
        <v>10</v>
      </c>
      <c r="AJ30">
        <v>4</v>
      </c>
      <c r="AK30">
        <v>10</v>
      </c>
      <c r="AL30">
        <v>6</v>
      </c>
      <c r="AM30">
        <v>10</v>
      </c>
      <c r="AN30">
        <v>5</v>
      </c>
      <c r="AO30">
        <v>10</v>
      </c>
      <c r="AP30">
        <v>8</v>
      </c>
      <c r="AQ30">
        <v>8</v>
      </c>
      <c r="AR30">
        <v>0</v>
      </c>
      <c r="AS30" s="152">
        <f t="shared" si="3"/>
        <v>5.9411764705882355</v>
      </c>
      <c r="AT30">
        <v>230</v>
      </c>
    </row>
    <row r="31" spans="1:46" ht="15" customHeight="1">
      <c r="A31" t="s">
        <v>427</v>
      </c>
      <c r="B31" s="34">
        <v>10</v>
      </c>
      <c r="C31" s="34">
        <v>10</v>
      </c>
      <c r="D31" s="34">
        <v>0</v>
      </c>
      <c r="E31" s="34">
        <v>0</v>
      </c>
      <c r="F31" s="34">
        <v>3</v>
      </c>
      <c r="G31">
        <v>10</v>
      </c>
      <c r="H31">
        <v>10</v>
      </c>
      <c r="I31">
        <v>10</v>
      </c>
      <c r="J31">
        <v>10</v>
      </c>
      <c r="K31">
        <v>0</v>
      </c>
      <c r="L31">
        <v>5</v>
      </c>
      <c r="M31">
        <v>0</v>
      </c>
      <c r="N31" s="143">
        <f t="shared" si="0"/>
        <v>5.666666666666667</v>
      </c>
      <c r="O31">
        <v>10</v>
      </c>
      <c r="P31">
        <v>5</v>
      </c>
      <c r="Q31">
        <v>10</v>
      </c>
      <c r="R31">
        <v>10</v>
      </c>
      <c r="S31">
        <v>10</v>
      </c>
      <c r="T31">
        <v>10</v>
      </c>
      <c r="U31">
        <v>10</v>
      </c>
      <c r="V31" s="146">
        <f t="shared" si="1"/>
        <v>9.2857142857142865</v>
      </c>
      <c r="W31">
        <v>10</v>
      </c>
      <c r="X31">
        <v>10</v>
      </c>
      <c r="Y31">
        <v>10</v>
      </c>
      <c r="Z31">
        <v>10</v>
      </c>
      <c r="AA31" s="149">
        <f t="shared" si="2"/>
        <v>10</v>
      </c>
      <c r="AB31">
        <v>0</v>
      </c>
      <c r="AC31">
        <v>10</v>
      </c>
      <c r="AD31">
        <v>6</v>
      </c>
      <c r="AE31">
        <v>10</v>
      </c>
      <c r="AF31">
        <v>10</v>
      </c>
      <c r="AG31">
        <v>10</v>
      </c>
      <c r="AH31">
        <v>0</v>
      </c>
      <c r="AI31">
        <v>10</v>
      </c>
      <c r="AJ31">
        <v>14</v>
      </c>
      <c r="AK31">
        <v>15</v>
      </c>
      <c r="AL31">
        <v>6</v>
      </c>
      <c r="AM31">
        <v>0</v>
      </c>
      <c r="AN31">
        <v>3</v>
      </c>
      <c r="AO31">
        <v>0</v>
      </c>
      <c r="AP31">
        <v>12</v>
      </c>
      <c r="AQ31">
        <v>2</v>
      </c>
      <c r="AR31">
        <v>12</v>
      </c>
      <c r="AS31" s="152">
        <f t="shared" si="3"/>
        <v>7.0588235294117645</v>
      </c>
      <c r="AT31">
        <v>293</v>
      </c>
    </row>
    <row r="32" spans="1:46" ht="15" customHeight="1">
      <c r="A32" t="s">
        <v>398</v>
      </c>
      <c r="B32" s="34">
        <v>10</v>
      </c>
      <c r="C32" s="34">
        <v>10</v>
      </c>
      <c r="D32" s="34">
        <v>0</v>
      </c>
      <c r="E32" s="34">
        <v>0</v>
      </c>
      <c r="F32" s="34">
        <v>5</v>
      </c>
      <c r="G32">
        <v>6</v>
      </c>
      <c r="H32">
        <v>0</v>
      </c>
      <c r="I32">
        <v>0</v>
      </c>
      <c r="J32">
        <v>0</v>
      </c>
      <c r="K32">
        <v>10</v>
      </c>
      <c r="L32">
        <v>5</v>
      </c>
      <c r="M32">
        <v>7</v>
      </c>
      <c r="N32" s="143">
        <f t="shared" si="0"/>
        <v>4.416666666666667</v>
      </c>
      <c r="O32">
        <v>10</v>
      </c>
      <c r="P32">
        <v>5</v>
      </c>
      <c r="Q32">
        <v>10</v>
      </c>
      <c r="R32">
        <v>10</v>
      </c>
      <c r="S32">
        <v>10</v>
      </c>
      <c r="T32">
        <v>6</v>
      </c>
      <c r="U32">
        <v>0</v>
      </c>
      <c r="V32" s="146">
        <f t="shared" si="1"/>
        <v>7.2857142857142856</v>
      </c>
      <c r="W32">
        <v>10</v>
      </c>
      <c r="X32">
        <v>0</v>
      </c>
      <c r="Y32">
        <v>0</v>
      </c>
      <c r="Z32">
        <v>0</v>
      </c>
      <c r="AA32" s="149">
        <f t="shared" si="2"/>
        <v>2.5</v>
      </c>
      <c r="AB32">
        <v>0</v>
      </c>
      <c r="AC32">
        <v>10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14</v>
      </c>
      <c r="AK32">
        <v>10</v>
      </c>
      <c r="AL32">
        <v>0</v>
      </c>
      <c r="AM32">
        <v>10</v>
      </c>
      <c r="AN32">
        <v>0</v>
      </c>
      <c r="AO32">
        <v>0</v>
      </c>
      <c r="AP32">
        <v>8</v>
      </c>
      <c r="AQ32">
        <v>8</v>
      </c>
      <c r="AR32">
        <v>0</v>
      </c>
      <c r="AS32" s="152">
        <f t="shared" si="3"/>
        <v>3.5294117647058822</v>
      </c>
      <c r="AT32">
        <v>174</v>
      </c>
    </row>
    <row r="33" spans="1:256" ht="15" customHeight="1">
      <c r="A33" t="s">
        <v>327</v>
      </c>
      <c r="B33" s="34">
        <v>8</v>
      </c>
      <c r="C33" s="34">
        <v>10</v>
      </c>
      <c r="D33" s="34">
        <v>0</v>
      </c>
      <c r="E33" s="34">
        <v>0</v>
      </c>
      <c r="F33" s="34">
        <v>6</v>
      </c>
      <c r="G33">
        <v>10</v>
      </c>
      <c r="H33">
        <v>0</v>
      </c>
      <c r="I33">
        <v>0</v>
      </c>
      <c r="J33">
        <v>7</v>
      </c>
      <c r="K33">
        <v>0</v>
      </c>
      <c r="L33">
        <v>10</v>
      </c>
      <c r="M33">
        <v>7</v>
      </c>
      <c r="N33" s="143">
        <f t="shared" si="0"/>
        <v>4.833333333333333</v>
      </c>
      <c r="O33">
        <v>0</v>
      </c>
      <c r="P33">
        <v>0</v>
      </c>
      <c r="Q33">
        <v>10</v>
      </c>
      <c r="R33">
        <v>10</v>
      </c>
      <c r="S33">
        <v>10</v>
      </c>
      <c r="T33">
        <v>10</v>
      </c>
      <c r="U33">
        <v>10</v>
      </c>
      <c r="V33" s="146">
        <f t="shared" si="1"/>
        <v>7.1428571428571432</v>
      </c>
      <c r="W33">
        <v>10</v>
      </c>
      <c r="X33">
        <v>10</v>
      </c>
      <c r="Y33">
        <v>10</v>
      </c>
      <c r="Z33">
        <v>10</v>
      </c>
      <c r="AA33" s="149">
        <f t="shared" si="2"/>
        <v>10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10</v>
      </c>
      <c r="AH33">
        <v>0</v>
      </c>
      <c r="AI33">
        <v>10</v>
      </c>
      <c r="AJ33">
        <v>10</v>
      </c>
      <c r="AK33">
        <v>8</v>
      </c>
      <c r="AL33">
        <v>6</v>
      </c>
      <c r="AM33">
        <v>0</v>
      </c>
      <c r="AN33">
        <v>5</v>
      </c>
      <c r="AO33">
        <v>10</v>
      </c>
      <c r="AP33">
        <v>8</v>
      </c>
      <c r="AQ33">
        <v>8</v>
      </c>
      <c r="AR33">
        <v>12</v>
      </c>
      <c r="AS33" s="152">
        <f t="shared" si="3"/>
        <v>5.117647058823529</v>
      </c>
      <c r="AT33">
        <v>235</v>
      </c>
    </row>
    <row r="34" spans="1:256" ht="15" customHeight="1">
      <c r="A34" t="s">
        <v>328</v>
      </c>
      <c r="B34" s="34">
        <v>8</v>
      </c>
      <c r="C34" s="34">
        <v>0</v>
      </c>
      <c r="D34" s="34">
        <v>0</v>
      </c>
      <c r="E34" s="34">
        <v>0</v>
      </c>
      <c r="F34" s="34">
        <v>2</v>
      </c>
      <c r="G34">
        <v>6</v>
      </c>
      <c r="H34">
        <v>0</v>
      </c>
      <c r="I34">
        <v>0</v>
      </c>
      <c r="J34">
        <v>10</v>
      </c>
      <c r="K34">
        <v>0</v>
      </c>
      <c r="L34">
        <v>10</v>
      </c>
      <c r="M34">
        <v>0</v>
      </c>
      <c r="N34" s="143">
        <f t="shared" si="0"/>
        <v>3</v>
      </c>
      <c r="O34">
        <v>0</v>
      </c>
      <c r="P34">
        <v>7</v>
      </c>
      <c r="Q34">
        <v>10</v>
      </c>
      <c r="R34">
        <v>10</v>
      </c>
      <c r="S34">
        <v>0</v>
      </c>
      <c r="T34">
        <v>6</v>
      </c>
      <c r="U34">
        <v>0</v>
      </c>
      <c r="V34" s="146">
        <f t="shared" si="1"/>
        <v>4.7142857142857144</v>
      </c>
      <c r="W34">
        <v>10</v>
      </c>
      <c r="X34">
        <v>0</v>
      </c>
      <c r="Y34">
        <v>0</v>
      </c>
      <c r="Z34">
        <v>10</v>
      </c>
      <c r="AA34" s="149">
        <f t="shared" si="2"/>
        <v>5</v>
      </c>
      <c r="AB34">
        <v>0</v>
      </c>
      <c r="AC34">
        <v>0</v>
      </c>
      <c r="AD34">
        <v>0</v>
      </c>
      <c r="AE34">
        <v>10</v>
      </c>
      <c r="AF34">
        <v>10</v>
      </c>
      <c r="AG34">
        <v>10</v>
      </c>
      <c r="AH34">
        <v>10</v>
      </c>
      <c r="AI34">
        <v>10</v>
      </c>
      <c r="AJ34">
        <v>4</v>
      </c>
      <c r="AK34">
        <v>10</v>
      </c>
      <c r="AL34">
        <v>0</v>
      </c>
      <c r="AM34">
        <v>10</v>
      </c>
      <c r="AN34">
        <v>5</v>
      </c>
      <c r="AO34">
        <v>10</v>
      </c>
      <c r="AP34">
        <v>8</v>
      </c>
      <c r="AQ34">
        <v>8</v>
      </c>
      <c r="AR34">
        <v>0</v>
      </c>
      <c r="AS34" s="152">
        <f t="shared" si="3"/>
        <v>6.1764705882352944</v>
      </c>
      <c r="AT34">
        <v>194</v>
      </c>
    </row>
    <row r="35" spans="1:256" ht="15" customHeight="1">
      <c r="A35" t="s">
        <v>351</v>
      </c>
      <c r="B35" s="34">
        <v>8</v>
      </c>
      <c r="C35" s="34">
        <v>10</v>
      </c>
      <c r="D35" s="34">
        <v>0</v>
      </c>
      <c r="E35" s="34">
        <v>0</v>
      </c>
      <c r="F35" s="34">
        <v>8</v>
      </c>
      <c r="G35">
        <v>6</v>
      </c>
      <c r="H35">
        <v>0</v>
      </c>
      <c r="I35">
        <v>0</v>
      </c>
      <c r="J35">
        <v>7</v>
      </c>
      <c r="K35">
        <v>10</v>
      </c>
      <c r="L35">
        <v>5</v>
      </c>
      <c r="M35">
        <v>0</v>
      </c>
      <c r="N35" s="143">
        <f t="shared" si="0"/>
        <v>4.5</v>
      </c>
      <c r="O35">
        <v>10</v>
      </c>
      <c r="P35">
        <v>5</v>
      </c>
      <c r="Q35">
        <v>10</v>
      </c>
      <c r="R35">
        <v>10</v>
      </c>
      <c r="S35">
        <v>0</v>
      </c>
      <c r="T35">
        <v>6</v>
      </c>
      <c r="U35">
        <v>0</v>
      </c>
      <c r="V35" s="146">
        <f t="shared" si="1"/>
        <v>5.8571428571428568</v>
      </c>
      <c r="W35">
        <v>0</v>
      </c>
      <c r="X35">
        <v>0</v>
      </c>
      <c r="Y35">
        <v>0</v>
      </c>
      <c r="Z35">
        <v>10</v>
      </c>
      <c r="AA35" s="149">
        <f t="shared" si="2"/>
        <v>2.5</v>
      </c>
      <c r="AB35">
        <v>0</v>
      </c>
      <c r="AC35">
        <v>10</v>
      </c>
      <c r="AD35">
        <v>0</v>
      </c>
      <c r="AE35">
        <v>10</v>
      </c>
      <c r="AF35">
        <v>10</v>
      </c>
      <c r="AG35">
        <v>10</v>
      </c>
      <c r="AH35">
        <v>10</v>
      </c>
      <c r="AI35">
        <v>0</v>
      </c>
      <c r="AJ35">
        <v>10</v>
      </c>
      <c r="AK35">
        <v>10</v>
      </c>
      <c r="AL35">
        <v>0</v>
      </c>
      <c r="AM35">
        <v>0</v>
      </c>
      <c r="AN35">
        <v>5</v>
      </c>
      <c r="AO35">
        <v>0</v>
      </c>
      <c r="AP35">
        <v>8</v>
      </c>
      <c r="AQ35">
        <v>12</v>
      </c>
      <c r="AR35">
        <v>0</v>
      </c>
      <c r="AS35" s="152">
        <f t="shared" si="3"/>
        <v>5.5882352941176467</v>
      </c>
      <c r="AT35">
        <v>200</v>
      </c>
    </row>
    <row r="36" spans="1:256" ht="15" customHeight="1">
      <c r="A36" t="s">
        <v>403</v>
      </c>
      <c r="B36" s="34">
        <v>8</v>
      </c>
      <c r="C36" s="34">
        <v>10</v>
      </c>
      <c r="D36" s="34">
        <v>0</v>
      </c>
      <c r="E36" s="34">
        <v>0</v>
      </c>
      <c r="F36" s="34">
        <v>4</v>
      </c>
      <c r="G36">
        <v>10</v>
      </c>
      <c r="H36">
        <v>0</v>
      </c>
      <c r="I36">
        <v>0</v>
      </c>
      <c r="J36">
        <v>10</v>
      </c>
      <c r="K36">
        <v>0</v>
      </c>
      <c r="L36">
        <v>10</v>
      </c>
      <c r="M36">
        <v>0</v>
      </c>
      <c r="N36" s="143">
        <f t="shared" si="0"/>
        <v>4.333333333333333</v>
      </c>
      <c r="O36">
        <v>0</v>
      </c>
      <c r="P36">
        <v>5</v>
      </c>
      <c r="Q36">
        <v>10</v>
      </c>
      <c r="R36">
        <v>10</v>
      </c>
      <c r="S36">
        <v>10</v>
      </c>
      <c r="T36">
        <v>10</v>
      </c>
      <c r="U36">
        <v>10</v>
      </c>
      <c r="V36" s="146">
        <f t="shared" si="1"/>
        <v>7.8571428571428568</v>
      </c>
      <c r="W36">
        <v>10</v>
      </c>
      <c r="X36">
        <v>10</v>
      </c>
      <c r="Y36">
        <v>10</v>
      </c>
      <c r="Z36">
        <v>10</v>
      </c>
      <c r="AA36" s="149">
        <f t="shared" si="2"/>
        <v>10</v>
      </c>
      <c r="AB36">
        <v>0</v>
      </c>
      <c r="AC36">
        <v>0</v>
      </c>
      <c r="AD36">
        <v>0</v>
      </c>
      <c r="AE36">
        <v>0</v>
      </c>
      <c r="AF36">
        <v>10</v>
      </c>
      <c r="AG36">
        <v>10</v>
      </c>
      <c r="AH36">
        <v>10</v>
      </c>
      <c r="AI36">
        <v>10</v>
      </c>
      <c r="AJ36">
        <v>10</v>
      </c>
      <c r="AK36">
        <v>5</v>
      </c>
      <c r="AL36">
        <v>8</v>
      </c>
      <c r="AM36">
        <v>10</v>
      </c>
      <c r="AN36">
        <v>5</v>
      </c>
      <c r="AO36">
        <v>10</v>
      </c>
      <c r="AP36">
        <v>4</v>
      </c>
      <c r="AQ36">
        <v>4</v>
      </c>
      <c r="AR36">
        <v>10</v>
      </c>
      <c r="AS36" s="152">
        <f t="shared" si="3"/>
        <v>6.2352941176470589</v>
      </c>
      <c r="AT36">
        <v>253</v>
      </c>
    </row>
    <row r="37" spans="1:256" ht="15" customHeight="1">
      <c r="A37" t="s">
        <v>354</v>
      </c>
      <c r="B37" s="34">
        <v>8</v>
      </c>
      <c r="C37" s="34">
        <v>10</v>
      </c>
      <c r="D37" s="34">
        <v>10</v>
      </c>
      <c r="E37" s="34">
        <v>0</v>
      </c>
      <c r="F37" s="34">
        <v>6</v>
      </c>
      <c r="G37">
        <v>6</v>
      </c>
      <c r="H37">
        <v>10</v>
      </c>
      <c r="I37">
        <v>10</v>
      </c>
      <c r="J37">
        <v>10</v>
      </c>
      <c r="K37">
        <v>0</v>
      </c>
      <c r="L37">
        <v>5</v>
      </c>
      <c r="M37">
        <v>0</v>
      </c>
      <c r="N37" s="143">
        <f t="shared" si="0"/>
        <v>6.25</v>
      </c>
      <c r="O37">
        <v>0</v>
      </c>
      <c r="P37">
        <v>5</v>
      </c>
      <c r="Q37">
        <v>10</v>
      </c>
      <c r="R37">
        <v>10</v>
      </c>
      <c r="S37">
        <v>10</v>
      </c>
      <c r="T37">
        <v>0</v>
      </c>
      <c r="U37">
        <v>0</v>
      </c>
      <c r="V37" s="146">
        <f t="shared" si="1"/>
        <v>5</v>
      </c>
      <c r="W37">
        <v>10</v>
      </c>
      <c r="X37">
        <v>10</v>
      </c>
      <c r="Y37">
        <v>10</v>
      </c>
      <c r="Z37">
        <v>10</v>
      </c>
      <c r="AA37" s="149">
        <f t="shared" si="2"/>
        <v>10</v>
      </c>
      <c r="AB37">
        <v>0</v>
      </c>
      <c r="AC37">
        <v>0</v>
      </c>
      <c r="AD37">
        <v>0</v>
      </c>
      <c r="AE37">
        <v>10</v>
      </c>
      <c r="AF37">
        <v>10</v>
      </c>
      <c r="AG37">
        <v>10</v>
      </c>
      <c r="AH37">
        <v>10</v>
      </c>
      <c r="AI37">
        <v>10</v>
      </c>
      <c r="AJ37">
        <v>10</v>
      </c>
      <c r="AK37">
        <v>16</v>
      </c>
      <c r="AL37">
        <v>6</v>
      </c>
      <c r="AM37">
        <v>0</v>
      </c>
      <c r="AN37">
        <v>0</v>
      </c>
      <c r="AO37">
        <v>0</v>
      </c>
      <c r="AP37">
        <v>4</v>
      </c>
      <c r="AQ37">
        <v>2</v>
      </c>
      <c r="AR37">
        <v>12</v>
      </c>
      <c r="AS37" s="152">
        <f t="shared" si="3"/>
        <v>5.882352941176471</v>
      </c>
      <c r="AT37">
        <v>250</v>
      </c>
    </row>
    <row r="38" spans="1:256" ht="15" customHeight="1">
      <c r="A38" t="s">
        <v>450</v>
      </c>
      <c r="B38" s="34">
        <v>10</v>
      </c>
      <c r="C38" s="34">
        <v>10</v>
      </c>
      <c r="D38" s="34">
        <v>0</v>
      </c>
      <c r="E38" s="34">
        <v>0</v>
      </c>
      <c r="F38" s="34">
        <v>5</v>
      </c>
      <c r="G38">
        <v>10</v>
      </c>
      <c r="H38">
        <v>0</v>
      </c>
      <c r="I38">
        <v>0</v>
      </c>
      <c r="J38">
        <v>0</v>
      </c>
      <c r="K38">
        <v>0</v>
      </c>
      <c r="L38">
        <v>5</v>
      </c>
      <c r="M38">
        <v>0</v>
      </c>
      <c r="N38" s="143">
        <f t="shared" si="0"/>
        <v>3.3333333333333335</v>
      </c>
      <c r="O38">
        <v>10</v>
      </c>
      <c r="P38">
        <v>10</v>
      </c>
      <c r="Q38">
        <v>10</v>
      </c>
      <c r="R38">
        <v>0</v>
      </c>
      <c r="S38">
        <v>10</v>
      </c>
      <c r="T38">
        <v>6</v>
      </c>
      <c r="U38">
        <v>0</v>
      </c>
      <c r="V38" s="146">
        <f t="shared" si="1"/>
        <v>6.5714285714285712</v>
      </c>
      <c r="W38">
        <v>0</v>
      </c>
      <c r="X38">
        <v>10</v>
      </c>
      <c r="Y38">
        <v>10</v>
      </c>
      <c r="Z38">
        <v>10</v>
      </c>
      <c r="AA38" s="149">
        <f t="shared" si="2"/>
        <v>7.5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12</v>
      </c>
      <c r="AL38">
        <v>8</v>
      </c>
      <c r="AM38">
        <v>10</v>
      </c>
      <c r="AN38">
        <v>3</v>
      </c>
      <c r="AO38">
        <v>10</v>
      </c>
      <c r="AP38">
        <v>8</v>
      </c>
      <c r="AQ38">
        <v>8</v>
      </c>
      <c r="AR38">
        <v>0</v>
      </c>
      <c r="AS38" s="152">
        <f t="shared" si="3"/>
        <v>3.4705882352941178</v>
      </c>
      <c r="AT38">
        <v>175</v>
      </c>
    </row>
    <row r="39" spans="1:256" ht="15" customHeight="1">
      <c r="A39" t="s">
        <v>341</v>
      </c>
      <c r="B39" s="34">
        <v>8</v>
      </c>
      <c r="C39" s="34">
        <v>0</v>
      </c>
      <c r="D39" s="34">
        <v>0</v>
      </c>
      <c r="E39" s="34">
        <v>0</v>
      </c>
      <c r="F39" s="34">
        <v>10</v>
      </c>
      <c r="G39">
        <v>6</v>
      </c>
      <c r="H39">
        <v>10</v>
      </c>
      <c r="I39">
        <v>0</v>
      </c>
      <c r="J39">
        <v>10</v>
      </c>
      <c r="K39">
        <v>0</v>
      </c>
      <c r="L39">
        <v>10</v>
      </c>
      <c r="M39">
        <v>0</v>
      </c>
      <c r="N39" s="143">
        <f t="shared" si="0"/>
        <v>4.5</v>
      </c>
      <c r="O39">
        <v>10</v>
      </c>
      <c r="P39">
        <v>10</v>
      </c>
      <c r="Q39">
        <v>10</v>
      </c>
      <c r="R39">
        <v>10</v>
      </c>
      <c r="S39">
        <v>0</v>
      </c>
      <c r="T39">
        <v>0</v>
      </c>
      <c r="U39">
        <v>0</v>
      </c>
      <c r="V39" s="146">
        <f t="shared" si="1"/>
        <v>5.7142857142857144</v>
      </c>
      <c r="W39">
        <v>10</v>
      </c>
      <c r="X39">
        <v>10</v>
      </c>
      <c r="Y39">
        <v>10</v>
      </c>
      <c r="Z39">
        <v>10</v>
      </c>
      <c r="AA39" s="149">
        <f t="shared" si="2"/>
        <v>10</v>
      </c>
      <c r="AB39">
        <v>0</v>
      </c>
      <c r="AC39">
        <v>0</v>
      </c>
      <c r="AD39">
        <v>6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10</v>
      </c>
      <c r="AK39">
        <v>15</v>
      </c>
      <c r="AL39">
        <v>0</v>
      </c>
      <c r="AM39">
        <v>10</v>
      </c>
      <c r="AN39">
        <v>5</v>
      </c>
      <c r="AO39">
        <v>10</v>
      </c>
      <c r="AP39">
        <v>8</v>
      </c>
      <c r="AQ39">
        <v>12</v>
      </c>
      <c r="AR39">
        <v>12</v>
      </c>
      <c r="AS39" s="152">
        <f t="shared" si="3"/>
        <v>5.1764705882352944</v>
      </c>
      <c r="AT39">
        <v>222</v>
      </c>
    </row>
    <row r="40" spans="1:256" ht="15" customHeight="1">
      <c r="A40" t="s">
        <v>373</v>
      </c>
      <c r="B40" s="34">
        <v>10</v>
      </c>
      <c r="C40" s="34">
        <v>10</v>
      </c>
      <c r="D40" s="34">
        <v>0</v>
      </c>
      <c r="E40" s="34">
        <v>10</v>
      </c>
      <c r="F40" s="34">
        <v>9</v>
      </c>
      <c r="G40">
        <v>8</v>
      </c>
      <c r="H40">
        <v>10</v>
      </c>
      <c r="I40">
        <v>10</v>
      </c>
      <c r="J40">
        <v>10</v>
      </c>
      <c r="K40">
        <v>0</v>
      </c>
      <c r="L40">
        <v>10</v>
      </c>
      <c r="M40">
        <v>10</v>
      </c>
      <c r="N40" s="143">
        <f t="shared" si="0"/>
        <v>8.0833333333333339</v>
      </c>
      <c r="O40">
        <v>0</v>
      </c>
      <c r="P40">
        <v>0</v>
      </c>
      <c r="Q40">
        <v>0</v>
      </c>
      <c r="R40">
        <v>0</v>
      </c>
      <c r="S40">
        <v>0</v>
      </c>
      <c r="T40">
        <v>10</v>
      </c>
      <c r="U40">
        <v>10</v>
      </c>
      <c r="V40" s="146">
        <f t="shared" si="1"/>
        <v>2.8571428571428572</v>
      </c>
      <c r="W40">
        <v>10</v>
      </c>
      <c r="X40">
        <v>10</v>
      </c>
      <c r="Y40">
        <v>10</v>
      </c>
      <c r="Z40">
        <v>10</v>
      </c>
      <c r="AA40" s="149">
        <f t="shared" si="2"/>
        <v>10</v>
      </c>
      <c r="AB40">
        <v>0</v>
      </c>
      <c r="AC40">
        <v>0</v>
      </c>
      <c r="AD40">
        <v>0</v>
      </c>
      <c r="AE40">
        <v>10</v>
      </c>
      <c r="AF40">
        <v>10</v>
      </c>
      <c r="AG40">
        <v>0</v>
      </c>
      <c r="AH40">
        <v>0</v>
      </c>
      <c r="AI40">
        <v>0</v>
      </c>
      <c r="AJ40">
        <v>14</v>
      </c>
      <c r="AK40">
        <v>7</v>
      </c>
      <c r="AL40">
        <v>0</v>
      </c>
      <c r="AM40">
        <v>10</v>
      </c>
      <c r="AN40">
        <v>0</v>
      </c>
      <c r="AO40">
        <v>10</v>
      </c>
      <c r="AP40">
        <v>8</v>
      </c>
      <c r="AQ40">
        <v>8</v>
      </c>
      <c r="AR40">
        <v>8</v>
      </c>
      <c r="AS40" s="152">
        <f t="shared" si="3"/>
        <v>5</v>
      </c>
      <c r="AT40">
        <v>242</v>
      </c>
    </row>
    <row r="41" spans="1:256" ht="15" customHeight="1">
      <c r="A41" t="s">
        <v>329</v>
      </c>
      <c r="B41" s="34">
        <v>10</v>
      </c>
      <c r="C41" s="34">
        <v>10</v>
      </c>
      <c r="D41" s="34">
        <v>0</v>
      </c>
      <c r="E41" s="34">
        <v>0</v>
      </c>
      <c r="F41" s="34">
        <v>8</v>
      </c>
      <c r="G41">
        <v>10</v>
      </c>
      <c r="H41">
        <v>10</v>
      </c>
      <c r="I41">
        <v>10</v>
      </c>
      <c r="J41">
        <v>7</v>
      </c>
      <c r="K41">
        <v>0</v>
      </c>
      <c r="L41">
        <v>10</v>
      </c>
      <c r="M41">
        <v>7</v>
      </c>
      <c r="N41" s="143">
        <f t="shared" si="0"/>
        <v>6.833333333333333</v>
      </c>
      <c r="O41">
        <v>10</v>
      </c>
      <c r="P41">
        <v>5</v>
      </c>
      <c r="Q41">
        <v>10</v>
      </c>
      <c r="R41">
        <v>10</v>
      </c>
      <c r="S41">
        <v>10</v>
      </c>
      <c r="T41">
        <v>6</v>
      </c>
      <c r="U41">
        <v>0</v>
      </c>
      <c r="V41" s="146">
        <f t="shared" si="1"/>
        <v>7.2857142857142856</v>
      </c>
      <c r="W41">
        <v>10</v>
      </c>
      <c r="X41">
        <v>10</v>
      </c>
      <c r="Y41">
        <v>10</v>
      </c>
      <c r="Z41">
        <v>10</v>
      </c>
      <c r="AA41" s="149">
        <f t="shared" si="2"/>
        <v>10</v>
      </c>
      <c r="AB41">
        <v>0</v>
      </c>
      <c r="AC41">
        <v>0</v>
      </c>
      <c r="AD41">
        <v>0</v>
      </c>
      <c r="AE41">
        <v>0</v>
      </c>
      <c r="AF41">
        <v>10</v>
      </c>
      <c r="AG41">
        <v>10</v>
      </c>
      <c r="AH41">
        <v>10</v>
      </c>
      <c r="AI41">
        <v>10</v>
      </c>
      <c r="AJ41">
        <v>4</v>
      </c>
      <c r="AK41">
        <v>10</v>
      </c>
      <c r="AL41">
        <v>10</v>
      </c>
      <c r="AM41">
        <v>10</v>
      </c>
      <c r="AN41">
        <v>5</v>
      </c>
      <c r="AO41">
        <v>10</v>
      </c>
      <c r="AP41">
        <v>8</v>
      </c>
      <c r="AQ41">
        <v>8</v>
      </c>
      <c r="AR41">
        <v>0</v>
      </c>
      <c r="AS41" s="152">
        <f t="shared" si="3"/>
        <v>6.1764705882352944</v>
      </c>
      <c r="AT41">
        <v>278</v>
      </c>
    </row>
    <row r="42" spans="1:256" ht="15" customHeight="1">
      <c r="A42" t="s">
        <v>309</v>
      </c>
      <c r="B42" s="34">
        <v>10</v>
      </c>
      <c r="C42" s="34">
        <v>10</v>
      </c>
      <c r="D42" s="34">
        <v>0</v>
      </c>
      <c r="E42" s="34">
        <v>0</v>
      </c>
      <c r="F42" s="34">
        <v>2</v>
      </c>
      <c r="G42">
        <v>10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 s="143">
        <f t="shared" si="0"/>
        <v>2.6666666666666665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 s="146">
        <f t="shared" si="1"/>
        <v>0</v>
      </c>
      <c r="W42">
        <v>0</v>
      </c>
      <c r="X42">
        <v>0</v>
      </c>
      <c r="Y42">
        <v>0</v>
      </c>
      <c r="Z42">
        <v>0</v>
      </c>
      <c r="AA42" s="149">
        <f t="shared" si="2"/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 s="152">
        <f t="shared" si="3"/>
        <v>0</v>
      </c>
      <c r="AT42">
        <v>32</v>
      </c>
    </row>
    <row r="43" spans="1:256" ht="15" customHeight="1">
      <c r="A43" t="s">
        <v>451</v>
      </c>
      <c r="B43" s="34">
        <v>10</v>
      </c>
      <c r="C43" s="34">
        <v>10</v>
      </c>
      <c r="D43" s="34">
        <v>10</v>
      </c>
      <c r="E43" s="34">
        <v>0</v>
      </c>
      <c r="F43" s="34">
        <v>4</v>
      </c>
      <c r="G43">
        <v>10</v>
      </c>
      <c r="H43">
        <v>10</v>
      </c>
      <c r="I43">
        <v>10</v>
      </c>
      <c r="J43">
        <v>7</v>
      </c>
      <c r="K43">
        <v>0</v>
      </c>
      <c r="L43">
        <v>10</v>
      </c>
      <c r="M43">
        <v>7</v>
      </c>
      <c r="N43" s="143">
        <f t="shared" si="0"/>
        <v>7.333333333333333</v>
      </c>
      <c r="O43">
        <v>10</v>
      </c>
      <c r="P43">
        <v>7</v>
      </c>
      <c r="Q43">
        <v>10</v>
      </c>
      <c r="R43">
        <v>0</v>
      </c>
      <c r="S43">
        <v>0</v>
      </c>
      <c r="T43">
        <v>10</v>
      </c>
      <c r="U43">
        <v>0</v>
      </c>
      <c r="V43" s="146">
        <f t="shared" si="1"/>
        <v>5.2857142857142856</v>
      </c>
      <c r="W43">
        <v>10</v>
      </c>
      <c r="X43">
        <v>10</v>
      </c>
      <c r="Y43">
        <v>10</v>
      </c>
      <c r="Z43">
        <v>10</v>
      </c>
      <c r="AA43" s="149">
        <f t="shared" si="2"/>
        <v>10</v>
      </c>
      <c r="AB43">
        <v>0</v>
      </c>
      <c r="AC43">
        <v>0</v>
      </c>
      <c r="AD43">
        <v>10</v>
      </c>
      <c r="AE43">
        <v>10</v>
      </c>
      <c r="AF43">
        <v>10</v>
      </c>
      <c r="AG43">
        <v>10</v>
      </c>
      <c r="AH43">
        <v>10</v>
      </c>
      <c r="AI43">
        <v>0</v>
      </c>
      <c r="AJ43">
        <v>14</v>
      </c>
      <c r="AK43">
        <v>10</v>
      </c>
      <c r="AL43">
        <v>6</v>
      </c>
      <c r="AM43">
        <v>0</v>
      </c>
      <c r="AN43">
        <v>0</v>
      </c>
      <c r="AO43">
        <v>0</v>
      </c>
      <c r="AP43">
        <v>0</v>
      </c>
      <c r="AQ43">
        <v>2</v>
      </c>
      <c r="AR43">
        <v>10</v>
      </c>
      <c r="AS43" s="152">
        <f t="shared" si="3"/>
        <v>5.4117647058823533</v>
      </c>
      <c r="AT43">
        <v>257</v>
      </c>
    </row>
    <row r="44" spans="1:256" ht="15" customHeight="1">
      <c r="A44" t="s">
        <v>433</v>
      </c>
      <c r="B44" s="34">
        <v>8</v>
      </c>
      <c r="C44" s="34">
        <v>10</v>
      </c>
      <c r="D44" s="34">
        <v>0</v>
      </c>
      <c r="E44" s="34">
        <v>0</v>
      </c>
      <c r="F44" s="34">
        <v>3</v>
      </c>
      <c r="G44">
        <v>10</v>
      </c>
      <c r="H44">
        <v>10</v>
      </c>
      <c r="I44">
        <v>0</v>
      </c>
      <c r="J44">
        <v>7</v>
      </c>
      <c r="K44">
        <v>0</v>
      </c>
      <c r="L44">
        <v>5</v>
      </c>
      <c r="M44">
        <v>0</v>
      </c>
      <c r="N44" s="143">
        <f t="shared" si="0"/>
        <v>4.416666666666667</v>
      </c>
      <c r="O44">
        <v>10</v>
      </c>
      <c r="P44">
        <v>5</v>
      </c>
      <c r="Q44">
        <v>10</v>
      </c>
      <c r="R44">
        <v>10</v>
      </c>
      <c r="S44">
        <v>10</v>
      </c>
      <c r="T44">
        <v>10</v>
      </c>
      <c r="U44">
        <v>0</v>
      </c>
      <c r="V44" s="146">
        <f t="shared" si="1"/>
        <v>7.8571428571428568</v>
      </c>
      <c r="W44">
        <v>10</v>
      </c>
      <c r="X44">
        <v>10</v>
      </c>
      <c r="Y44">
        <v>10</v>
      </c>
      <c r="Z44">
        <v>10</v>
      </c>
      <c r="AA44" s="149">
        <f t="shared" si="2"/>
        <v>10</v>
      </c>
      <c r="AB44">
        <v>0</v>
      </c>
      <c r="AC44">
        <v>0</v>
      </c>
      <c r="AD44">
        <v>10</v>
      </c>
      <c r="AE44">
        <v>10</v>
      </c>
      <c r="AF44">
        <v>0</v>
      </c>
      <c r="AG44">
        <v>0</v>
      </c>
      <c r="AH44">
        <v>0</v>
      </c>
      <c r="AI44">
        <v>10</v>
      </c>
      <c r="AJ44">
        <v>14</v>
      </c>
      <c r="AK44">
        <v>5</v>
      </c>
      <c r="AL44">
        <v>6</v>
      </c>
      <c r="AM44">
        <v>10</v>
      </c>
      <c r="AN44">
        <v>5</v>
      </c>
      <c r="AO44">
        <v>10</v>
      </c>
      <c r="AP44">
        <v>8</v>
      </c>
      <c r="AQ44">
        <v>8</v>
      </c>
      <c r="AR44">
        <v>12</v>
      </c>
      <c r="AS44" s="152">
        <f t="shared" si="3"/>
        <v>6.3529411764705879</v>
      </c>
      <c r="AT44">
        <v>256</v>
      </c>
    </row>
    <row r="45" spans="1:256" ht="15" customHeight="1">
      <c r="A45" t="s">
        <v>430</v>
      </c>
      <c r="B45" s="34">
        <v>8</v>
      </c>
      <c r="C45" s="34">
        <v>10</v>
      </c>
      <c r="D45" s="34">
        <v>0</v>
      </c>
      <c r="E45" s="34">
        <v>0</v>
      </c>
      <c r="F45" s="34">
        <v>4</v>
      </c>
      <c r="G45">
        <v>0</v>
      </c>
      <c r="H45">
        <v>0</v>
      </c>
      <c r="I45">
        <v>0</v>
      </c>
      <c r="J45">
        <v>0</v>
      </c>
      <c r="K45">
        <v>10</v>
      </c>
      <c r="L45">
        <v>0</v>
      </c>
      <c r="M45">
        <v>0</v>
      </c>
      <c r="N45" s="143">
        <f t="shared" si="0"/>
        <v>2.6666666666666665</v>
      </c>
      <c r="O45">
        <v>10</v>
      </c>
      <c r="P45">
        <v>5</v>
      </c>
      <c r="Q45">
        <v>10</v>
      </c>
      <c r="R45">
        <v>0</v>
      </c>
      <c r="S45">
        <v>0</v>
      </c>
      <c r="T45">
        <v>0</v>
      </c>
      <c r="U45">
        <v>0</v>
      </c>
      <c r="V45" s="146">
        <f t="shared" si="1"/>
        <v>3.5714285714285716</v>
      </c>
      <c r="W45">
        <v>0</v>
      </c>
      <c r="X45">
        <v>0</v>
      </c>
      <c r="Y45">
        <v>0</v>
      </c>
      <c r="Z45">
        <v>10</v>
      </c>
      <c r="AA45" s="149">
        <f t="shared" si="2"/>
        <v>2.5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10</v>
      </c>
      <c r="AK45">
        <v>10</v>
      </c>
      <c r="AL45">
        <v>6</v>
      </c>
      <c r="AM45">
        <v>10</v>
      </c>
      <c r="AN45">
        <v>5</v>
      </c>
      <c r="AO45">
        <v>0</v>
      </c>
      <c r="AP45">
        <v>8</v>
      </c>
      <c r="AQ45">
        <v>8</v>
      </c>
      <c r="AR45">
        <v>0</v>
      </c>
      <c r="AS45" s="152">
        <f t="shared" si="3"/>
        <v>3.3529411764705883</v>
      </c>
      <c r="AT45">
        <v>124</v>
      </c>
    </row>
    <row r="46" spans="1:256" s="2" customFormat="1">
      <c r="A46" s="2" t="s">
        <v>391</v>
      </c>
      <c r="B46" s="110">
        <v>372</v>
      </c>
      <c r="C46" s="110">
        <v>340</v>
      </c>
      <c r="D46" s="110">
        <v>40</v>
      </c>
      <c r="E46" s="110">
        <v>20</v>
      </c>
      <c r="F46" s="110">
        <v>223</v>
      </c>
      <c r="G46" s="110">
        <v>328</v>
      </c>
      <c r="H46" s="110">
        <v>220</v>
      </c>
      <c r="I46" s="110">
        <v>180</v>
      </c>
      <c r="J46" s="110">
        <v>266</v>
      </c>
      <c r="K46" s="110">
        <v>80</v>
      </c>
      <c r="L46" s="110">
        <v>285</v>
      </c>
      <c r="M46" s="110">
        <v>114</v>
      </c>
      <c r="N46" s="144"/>
      <c r="O46" s="110">
        <v>200</v>
      </c>
      <c r="P46" s="110">
        <v>228</v>
      </c>
      <c r="Q46" s="110">
        <v>360</v>
      </c>
      <c r="R46" s="110">
        <v>320</v>
      </c>
      <c r="S46" s="110">
        <v>250</v>
      </c>
      <c r="T46" s="110">
        <v>258</v>
      </c>
      <c r="U46" s="110">
        <v>120</v>
      </c>
      <c r="V46" s="147"/>
      <c r="W46" s="110">
        <v>270</v>
      </c>
      <c r="X46" s="110">
        <v>230</v>
      </c>
      <c r="Y46" s="110">
        <v>280</v>
      </c>
      <c r="Z46" s="110">
        <v>370</v>
      </c>
      <c r="AA46" s="150"/>
      <c r="AB46" s="110">
        <v>54</v>
      </c>
      <c r="AC46" s="110">
        <v>100</v>
      </c>
      <c r="AD46" s="110">
        <v>160</v>
      </c>
      <c r="AE46" s="110">
        <v>210</v>
      </c>
      <c r="AF46" s="110">
        <v>210</v>
      </c>
      <c r="AG46" s="110">
        <v>210</v>
      </c>
      <c r="AH46" s="110">
        <v>150</v>
      </c>
      <c r="AI46" s="110">
        <v>190</v>
      </c>
      <c r="AJ46" s="110">
        <v>362</v>
      </c>
      <c r="AK46" s="110">
        <v>394</v>
      </c>
      <c r="AL46" s="110">
        <v>98</v>
      </c>
      <c r="AM46" s="110">
        <v>210</v>
      </c>
      <c r="AN46" s="110">
        <v>133</v>
      </c>
      <c r="AO46" s="110">
        <v>170</v>
      </c>
      <c r="AP46" s="110">
        <v>228</v>
      </c>
      <c r="AQ46" s="110">
        <v>238</v>
      </c>
      <c r="AR46" s="110">
        <v>206</v>
      </c>
      <c r="AS46" s="153">
        <f>SUM(B46:AR46)</f>
        <v>8677</v>
      </c>
      <c r="AT46" s="110">
        <f>SUM(AT4:AT45)</f>
        <v>8677</v>
      </c>
      <c r="IV46" s="110">
        <f>SUM(IV4:IV45)</f>
        <v>0</v>
      </c>
    </row>
    <row r="47" spans="1:256">
      <c r="B47" s="141">
        <f>AVERAGE(B46:M46)/42</f>
        <v>4.8968253968253963</v>
      </c>
      <c r="C47" s="34"/>
      <c r="D47" s="34"/>
      <c r="E47" s="34"/>
      <c r="F47" s="34"/>
      <c r="N47" s="141">
        <f>AVERAGE(N4:N45)</f>
        <v>4.8968253968253981</v>
      </c>
      <c r="O47" s="141">
        <f>AVERAGE(O46:U46)/42</f>
        <v>5.9047619047619051</v>
      </c>
      <c r="V47" s="141">
        <f>AVERAGE(V4:V45)</f>
        <v>5.9047619047619051</v>
      </c>
      <c r="W47" s="141">
        <f>AVERAGE(W46:Z46)/42</f>
        <v>6.8452380952380949</v>
      </c>
      <c r="AA47" s="141">
        <f>AVERAGE(AA4:AA45)</f>
        <v>6.8452380952380949</v>
      </c>
      <c r="AB47" s="141">
        <f>AVERAGE(AB46:AR46)/42</f>
        <v>4.6540616246498603</v>
      </c>
      <c r="AS47" s="141">
        <f>AVERAGE(AS4:AS45)</f>
        <v>4.6540616246498603</v>
      </c>
    </row>
    <row r="48" spans="1:256" ht="15">
      <c r="B48" s="61">
        <v>131</v>
      </c>
      <c r="C48" s="62" t="s">
        <v>205</v>
      </c>
      <c r="E48" s="34"/>
      <c r="F48" s="34"/>
      <c r="O48" s="61">
        <v>152</v>
      </c>
      <c r="P48" t="s">
        <v>442</v>
      </c>
      <c r="Q48" s="62"/>
      <c r="W48" s="61">
        <v>146</v>
      </c>
      <c r="X48" s="124" t="s">
        <v>443</v>
      </c>
      <c r="Y48" s="62"/>
      <c r="AB48" s="61">
        <v>161</v>
      </c>
      <c r="AC48" s="62" t="s">
        <v>444</v>
      </c>
    </row>
    <row r="49" spans="2:29">
      <c r="B49" s="61">
        <v>132</v>
      </c>
      <c r="C49" s="62" t="s">
        <v>324</v>
      </c>
      <c r="E49" s="34"/>
      <c r="F49" s="34"/>
      <c r="O49" s="61">
        <v>153</v>
      </c>
      <c r="P49" t="s">
        <v>364</v>
      </c>
      <c r="Q49" s="62"/>
      <c r="W49" s="61">
        <v>147</v>
      </c>
      <c r="X49" t="s">
        <v>365</v>
      </c>
      <c r="Y49" s="62"/>
      <c r="AB49" s="61">
        <v>162</v>
      </c>
      <c r="AC49" s="62" t="s">
        <v>366</v>
      </c>
    </row>
    <row r="50" spans="2:29">
      <c r="B50" s="61" t="s">
        <v>419</v>
      </c>
      <c r="C50" s="62" t="s">
        <v>325</v>
      </c>
      <c r="E50" s="34"/>
      <c r="F50" s="34"/>
      <c r="O50" s="61">
        <v>154</v>
      </c>
      <c r="P50" t="s">
        <v>367</v>
      </c>
      <c r="Q50" s="62"/>
      <c r="W50" s="61">
        <v>148</v>
      </c>
      <c r="X50" t="s">
        <v>297</v>
      </c>
      <c r="Y50" s="62"/>
      <c r="AB50" s="61">
        <v>163</v>
      </c>
      <c r="AC50" s="62" t="s">
        <v>298</v>
      </c>
    </row>
    <row r="51" spans="2:29">
      <c r="B51" s="61" t="s">
        <v>418</v>
      </c>
      <c r="C51" s="62" t="s">
        <v>325</v>
      </c>
      <c r="E51" s="34"/>
      <c r="F51" s="34"/>
      <c r="O51" s="61">
        <v>155</v>
      </c>
      <c r="P51" t="s">
        <v>299</v>
      </c>
      <c r="Q51" s="62"/>
      <c r="W51" s="61">
        <v>151</v>
      </c>
      <c r="X51" t="s">
        <v>300</v>
      </c>
      <c r="Y51" s="62"/>
      <c r="AB51" s="61">
        <v>164</v>
      </c>
      <c r="AC51" s="62" t="s">
        <v>301</v>
      </c>
    </row>
    <row r="52" spans="2:29">
      <c r="B52" s="61">
        <v>134</v>
      </c>
      <c r="C52" s="62" t="s">
        <v>209</v>
      </c>
      <c r="E52" s="34"/>
      <c r="F52" s="34"/>
      <c r="O52" s="61">
        <v>157</v>
      </c>
      <c r="P52" t="s">
        <v>302</v>
      </c>
      <c r="Q52" s="62"/>
      <c r="AB52" s="61">
        <v>165</v>
      </c>
      <c r="AC52" s="62" t="s">
        <v>303</v>
      </c>
    </row>
    <row r="53" spans="2:29">
      <c r="B53" s="61">
        <v>138</v>
      </c>
      <c r="C53" s="62" t="s">
        <v>210</v>
      </c>
      <c r="O53" s="61">
        <v>158</v>
      </c>
      <c r="P53" t="s">
        <v>304</v>
      </c>
      <c r="Q53" s="62"/>
      <c r="AB53" s="61">
        <v>166</v>
      </c>
      <c r="AC53" s="62" t="s">
        <v>374</v>
      </c>
    </row>
    <row r="54" spans="2:29">
      <c r="B54" s="61">
        <v>139</v>
      </c>
      <c r="C54" s="62" t="s">
        <v>375</v>
      </c>
      <c r="O54" s="61">
        <v>160</v>
      </c>
      <c r="P54" t="s">
        <v>376</v>
      </c>
      <c r="Q54" s="62"/>
      <c r="AB54" s="61">
        <v>167</v>
      </c>
      <c r="AC54" s="62" t="s">
        <v>377</v>
      </c>
    </row>
    <row r="55" spans="2:29">
      <c r="B55" s="61">
        <v>140</v>
      </c>
      <c r="C55" s="62" t="s">
        <v>211</v>
      </c>
      <c r="AB55" s="61">
        <v>168</v>
      </c>
      <c r="AC55" s="62" t="s">
        <v>378</v>
      </c>
    </row>
    <row r="56" spans="2:29">
      <c r="B56" s="61">
        <v>141</v>
      </c>
      <c r="C56" s="62" t="s">
        <v>379</v>
      </c>
      <c r="AB56" s="61">
        <v>169</v>
      </c>
      <c r="AC56" s="62" t="s">
        <v>380</v>
      </c>
    </row>
    <row r="57" spans="2:29">
      <c r="B57" s="61">
        <v>142</v>
      </c>
      <c r="C57" s="62" t="s">
        <v>212</v>
      </c>
      <c r="AB57" s="61">
        <v>171</v>
      </c>
      <c r="AC57" s="62" t="s">
        <v>381</v>
      </c>
    </row>
    <row r="58" spans="2:29">
      <c r="B58" s="61">
        <v>143</v>
      </c>
      <c r="C58" s="62" t="s">
        <v>382</v>
      </c>
      <c r="AB58" s="61">
        <v>174</v>
      </c>
      <c r="AC58" s="62" t="s">
        <v>383</v>
      </c>
    </row>
    <row r="59" spans="2:29">
      <c r="B59" s="61">
        <v>145</v>
      </c>
      <c r="C59" s="62" t="s">
        <v>384</v>
      </c>
      <c r="AB59" s="61">
        <v>175</v>
      </c>
      <c r="AC59" s="62" t="s">
        <v>385</v>
      </c>
    </row>
    <row r="60" spans="2:29">
      <c r="B60" s="63"/>
      <c r="C60" s="49"/>
      <c r="D60" s="64"/>
      <c r="AB60" s="61">
        <v>176</v>
      </c>
      <c r="AC60" s="62" t="s">
        <v>386</v>
      </c>
    </row>
    <row r="61" spans="2:29">
      <c r="B61" s="49"/>
      <c r="C61" s="49"/>
      <c r="D61" s="49"/>
      <c r="AB61" s="61">
        <v>177</v>
      </c>
      <c r="AC61" s="62" t="s">
        <v>201</v>
      </c>
    </row>
    <row r="62" spans="2:29">
      <c r="B62" s="49"/>
      <c r="C62" s="49"/>
      <c r="D62" s="49"/>
      <c r="AB62" s="61">
        <v>178</v>
      </c>
      <c r="AC62" s="62" t="s">
        <v>202</v>
      </c>
    </row>
    <row r="63" spans="2:29">
      <c r="B63" s="49"/>
      <c r="C63" s="49"/>
      <c r="D63" s="49"/>
      <c r="AB63" s="61">
        <v>179</v>
      </c>
      <c r="AC63" s="62" t="s">
        <v>203</v>
      </c>
    </row>
    <row r="64" spans="2:29">
      <c r="B64" s="49"/>
      <c r="C64" s="49"/>
      <c r="D64" s="49"/>
      <c r="AB64" s="61">
        <v>180</v>
      </c>
      <c r="AC64" s="62" t="s">
        <v>204</v>
      </c>
    </row>
    <row r="65" spans="1:27">
      <c r="B65" s="49"/>
      <c r="C65" s="49"/>
      <c r="D65" s="49"/>
    </row>
    <row r="66" spans="1:27">
      <c r="B66" s="49"/>
      <c r="C66" s="49"/>
      <c r="D66" s="49"/>
    </row>
    <row r="67" spans="1:27">
      <c r="B67" s="49"/>
      <c r="C67" s="49"/>
      <c r="D67" s="49"/>
    </row>
    <row r="68" spans="1:27">
      <c r="A68" s="299" t="s">
        <v>318</v>
      </c>
      <c r="B68" s="156" t="s">
        <v>276</v>
      </c>
      <c r="C68" s="298" t="s">
        <v>174</v>
      </c>
      <c r="D68" s="298" t="s">
        <v>319</v>
      </c>
      <c r="E68" s="298" t="s">
        <v>320</v>
      </c>
      <c r="F68" s="291" t="s">
        <v>321</v>
      </c>
      <c r="G68" s="298" t="s">
        <v>322</v>
      </c>
      <c r="L68" s="49"/>
      <c r="N68"/>
      <c r="V68"/>
      <c r="AA68"/>
    </row>
    <row r="69" spans="1:27">
      <c r="A69" s="15" t="s">
        <v>355</v>
      </c>
      <c r="B69" s="126">
        <v>1</v>
      </c>
      <c r="C69" s="262">
        <v>5.9749999999999996</v>
      </c>
      <c r="D69" s="262">
        <v>5.916666666666667</v>
      </c>
      <c r="E69" s="262">
        <v>5.8571428571428568</v>
      </c>
      <c r="F69" s="262">
        <v>10</v>
      </c>
      <c r="G69" s="262">
        <v>5.117647058823529</v>
      </c>
      <c r="H69" t="str">
        <f>A69</f>
        <v xml:space="preserve">Ministero del lavoro e delle politiche sociali                                                     </v>
      </c>
      <c r="L69" s="49"/>
      <c r="N69"/>
      <c r="V69"/>
      <c r="AA69"/>
    </row>
    <row r="70" spans="1:27">
      <c r="A70" s="11" t="s">
        <v>452</v>
      </c>
      <c r="B70" s="19">
        <v>3</v>
      </c>
      <c r="C70" s="154">
        <v>5.125</v>
      </c>
      <c r="D70" s="154">
        <v>3.5</v>
      </c>
      <c r="E70" s="154">
        <v>7.1428571428571432</v>
      </c>
      <c r="F70" s="154">
        <v>7.5</v>
      </c>
      <c r="G70" s="154">
        <v>4.882352941176471</v>
      </c>
      <c r="H70" t="str">
        <f t="shared" ref="H70:H110" si="4">A70</f>
        <v xml:space="preserve">Ministero  per i beni e le attività culturali                                                       </v>
      </c>
      <c r="L70" s="49"/>
      <c r="N70"/>
      <c r="V70"/>
      <c r="AA70"/>
    </row>
    <row r="71" spans="1:27">
      <c r="A71" s="11" t="s">
        <v>453</v>
      </c>
      <c r="B71" s="19">
        <v>7</v>
      </c>
      <c r="C71" s="154">
        <v>1.45</v>
      </c>
      <c r="D71" s="154">
        <v>0.66666666666666663</v>
      </c>
      <c r="E71" s="154">
        <v>0</v>
      </c>
      <c r="F71" s="154">
        <v>5</v>
      </c>
      <c r="G71" s="154">
        <v>1.7647058823529411</v>
      </c>
      <c r="H71" t="str">
        <f t="shared" si="4"/>
        <v xml:space="preserve">Ministero della difesa                                                                              </v>
      </c>
      <c r="L71" s="49"/>
      <c r="N71"/>
      <c r="V71"/>
      <c r="AA71"/>
    </row>
    <row r="72" spans="1:27">
      <c r="A72" s="11" t="s">
        <v>326</v>
      </c>
      <c r="B72" s="19">
        <v>8</v>
      </c>
      <c r="C72" s="154">
        <v>5.45</v>
      </c>
      <c r="D72" s="154">
        <v>2.8333333333333335</v>
      </c>
      <c r="E72" s="154">
        <v>5.8571428571428568</v>
      </c>
      <c r="F72" s="154">
        <v>10</v>
      </c>
      <c r="G72" s="154">
        <v>6.0588235294117645</v>
      </c>
      <c r="H72" t="str">
        <f t="shared" si="4"/>
        <v xml:space="preserve">Ministero degli affari esteri                                                                       </v>
      </c>
      <c r="L72" s="49"/>
      <c r="N72"/>
      <c r="V72"/>
      <c r="AA72"/>
    </row>
    <row r="73" spans="1:27">
      <c r="A73" s="11" t="s">
        <v>401</v>
      </c>
      <c r="B73" s="19">
        <v>10</v>
      </c>
      <c r="C73" s="154">
        <v>7.65</v>
      </c>
      <c r="D73" s="154">
        <v>6.833333333333333</v>
      </c>
      <c r="E73" s="154">
        <v>10</v>
      </c>
      <c r="F73" s="154">
        <v>10</v>
      </c>
      <c r="G73" s="154">
        <v>6.7058823529411766</v>
      </c>
      <c r="H73" t="str">
        <f t="shared" si="4"/>
        <v xml:space="preserve">Ministero dell'economia e finanze - Area finanze                                              </v>
      </c>
      <c r="L73" s="49"/>
      <c r="N73"/>
      <c r="V73"/>
      <c r="AA73"/>
    </row>
    <row r="74" spans="1:27">
      <c r="A74" s="11" t="s">
        <v>339</v>
      </c>
      <c r="B74" s="19">
        <v>11</v>
      </c>
      <c r="C74" s="154">
        <v>3.55</v>
      </c>
      <c r="D74" s="154">
        <v>3.0833333333333335</v>
      </c>
      <c r="E74" s="154">
        <v>6.1428571428571432</v>
      </c>
      <c r="F74" s="154">
        <v>5</v>
      </c>
      <c r="G74" s="154">
        <v>2.4705882352941178</v>
      </c>
      <c r="H74" t="str">
        <f t="shared" si="4"/>
        <v xml:space="preserve">Ministero della giustizia                                                                           </v>
      </c>
      <c r="L74" s="49"/>
      <c r="N74"/>
      <c r="V74"/>
      <c r="AA74"/>
    </row>
    <row r="75" spans="1:27">
      <c r="A75" s="11" t="s">
        <v>433</v>
      </c>
      <c r="B75" s="19">
        <v>14</v>
      </c>
      <c r="C75" s="154">
        <v>6.4</v>
      </c>
      <c r="D75" s="154">
        <v>4.416666666666667</v>
      </c>
      <c r="E75" s="154">
        <v>7.8571428571428568</v>
      </c>
      <c r="F75" s="154">
        <v>10</v>
      </c>
      <c r="G75" s="154">
        <v>6.3529411764705879</v>
      </c>
      <c r="H75" t="str">
        <f t="shared" si="4"/>
        <v xml:space="preserve">Istituto nazionale di statistica                                                                    </v>
      </c>
      <c r="L75" s="49"/>
      <c r="N75"/>
      <c r="V75"/>
      <c r="AA75"/>
    </row>
    <row r="76" spans="1:27">
      <c r="A76" s="11" t="s">
        <v>353</v>
      </c>
      <c r="B76" s="19">
        <v>17</v>
      </c>
      <c r="C76" s="154">
        <v>7.375</v>
      </c>
      <c r="D76" s="154">
        <v>7.083333333333333</v>
      </c>
      <c r="E76" s="154">
        <v>9.2857142857142865</v>
      </c>
      <c r="F76" s="154">
        <v>10</v>
      </c>
      <c r="G76" s="154">
        <v>6.1764705882352944</v>
      </c>
      <c r="H76" t="str">
        <f t="shared" si="4"/>
        <v xml:space="preserve">Ministero dell'istruzione, università e ricerca                                               </v>
      </c>
      <c r="L76" s="49"/>
      <c r="N76"/>
      <c r="V76"/>
      <c r="AA76"/>
    </row>
    <row r="77" spans="1:27">
      <c r="A77" s="11" t="s">
        <v>387</v>
      </c>
      <c r="B77" s="19">
        <v>20</v>
      </c>
      <c r="C77" s="154">
        <v>5.75</v>
      </c>
      <c r="D77" s="154">
        <v>4.833333333333333</v>
      </c>
      <c r="E77" s="154">
        <v>4.4285714285714288</v>
      </c>
      <c r="F77" s="154">
        <v>10</v>
      </c>
      <c r="G77" s="154">
        <v>5.9411764705882355</v>
      </c>
      <c r="H77" t="str">
        <f t="shared" si="4"/>
        <v xml:space="preserve">Ministero della salute                                                                        </v>
      </c>
      <c r="L77" s="49"/>
      <c r="N77"/>
      <c r="V77"/>
      <c r="AA77"/>
    </row>
    <row r="78" spans="1:27">
      <c r="A78" s="11" t="s">
        <v>394</v>
      </c>
      <c r="B78" s="19">
        <v>21</v>
      </c>
      <c r="C78" s="154">
        <v>4.3250000000000002</v>
      </c>
      <c r="D78" s="154">
        <v>4.666666666666667</v>
      </c>
      <c r="E78" s="154">
        <v>5.7142857142857144</v>
      </c>
      <c r="F78" s="154">
        <v>0</v>
      </c>
      <c r="G78" s="154">
        <v>4.5294117647058822</v>
      </c>
      <c r="H78" t="str">
        <f t="shared" si="4"/>
        <v xml:space="preserve">Ministero delle comunicazioni                                                                       </v>
      </c>
      <c r="L78" s="49"/>
      <c r="N78"/>
      <c r="V78"/>
      <c r="AA78"/>
    </row>
    <row r="79" spans="1:27">
      <c r="A79" s="11" t="s">
        <v>412</v>
      </c>
      <c r="B79" s="19">
        <v>22</v>
      </c>
      <c r="C79" s="154">
        <v>5.35</v>
      </c>
      <c r="D79" s="154">
        <v>4.666666666666667</v>
      </c>
      <c r="E79" s="154">
        <v>9.2857142857142865</v>
      </c>
      <c r="F79" s="154">
        <v>10</v>
      </c>
      <c r="G79" s="154">
        <v>3.1176470588235294</v>
      </c>
      <c r="H79" t="str">
        <f t="shared" si="4"/>
        <v xml:space="preserve">Presidenza del Consiglio dei ministri                                                       </v>
      </c>
      <c r="L79" s="49"/>
      <c r="N79"/>
      <c r="V79"/>
      <c r="AA79"/>
    </row>
    <row r="80" spans="1:27">
      <c r="A80" s="11" t="s">
        <v>350</v>
      </c>
      <c r="B80" s="19">
        <v>33</v>
      </c>
      <c r="C80" s="154">
        <v>5.7</v>
      </c>
      <c r="D80" s="154">
        <v>6.833333333333333</v>
      </c>
      <c r="E80" s="154">
        <v>9.2857142857142865</v>
      </c>
      <c r="F80" s="154">
        <v>10</v>
      </c>
      <c r="G80" s="154">
        <v>2.4117647058823528</v>
      </c>
      <c r="H80" t="str">
        <f t="shared" si="4"/>
        <v xml:space="preserve">Corte dei conti                                                                                     </v>
      </c>
      <c r="L80" s="49"/>
      <c r="N80"/>
      <c r="V80"/>
      <c r="AA80"/>
    </row>
    <row r="81" spans="1:27">
      <c r="A81" s="11" t="s">
        <v>451</v>
      </c>
      <c r="B81" s="19">
        <v>34</v>
      </c>
      <c r="C81" s="154">
        <v>6.4249999999999998</v>
      </c>
      <c r="D81" s="154">
        <v>7.333333333333333</v>
      </c>
      <c r="E81" s="154">
        <v>5.2857142857142856</v>
      </c>
      <c r="F81" s="154">
        <v>10</v>
      </c>
      <c r="G81" s="154">
        <v>5.4117647058823533</v>
      </c>
      <c r="H81" t="str">
        <f t="shared" si="4"/>
        <v xml:space="preserve">Istituto superiore di sanità                                                                        </v>
      </c>
      <c r="L81" s="49"/>
      <c r="N81"/>
      <c r="V81"/>
      <c r="AA81"/>
    </row>
    <row r="82" spans="1:27">
      <c r="A82" s="11" t="s">
        <v>329</v>
      </c>
      <c r="B82" s="19">
        <v>36</v>
      </c>
      <c r="C82" s="154">
        <v>6.95</v>
      </c>
      <c r="D82" s="154">
        <v>6.833333333333333</v>
      </c>
      <c r="E82" s="154">
        <v>7.2857142857142856</v>
      </c>
      <c r="F82" s="154">
        <v>10</v>
      </c>
      <c r="G82" s="154">
        <v>6.1764705882352944</v>
      </c>
      <c r="H82" t="str">
        <f t="shared" si="4"/>
        <v xml:space="preserve">Istituto dei postelegrafonici                                                                       </v>
      </c>
      <c r="L82" s="49"/>
      <c r="N82"/>
      <c r="V82"/>
      <c r="AA82"/>
    </row>
    <row r="83" spans="1:27">
      <c r="A83" s="11" t="s">
        <v>426</v>
      </c>
      <c r="B83" s="19">
        <v>37</v>
      </c>
      <c r="C83" s="154">
        <v>7.3250000000000002</v>
      </c>
      <c r="D83" s="154">
        <v>5.666666666666667</v>
      </c>
      <c r="E83" s="154">
        <v>9.2857142857142865</v>
      </c>
      <c r="F83" s="154">
        <v>10</v>
      </c>
      <c r="G83" s="154">
        <v>7.0588235294117645</v>
      </c>
      <c r="H83" t="str">
        <f t="shared" si="4"/>
        <v xml:space="preserve">Automobile club d'Italia                                                                            </v>
      </c>
      <c r="L83" s="49"/>
      <c r="N83"/>
      <c r="V83"/>
      <c r="AA83"/>
    </row>
    <row r="84" spans="1:27">
      <c r="A84" s="11" t="s">
        <v>327</v>
      </c>
      <c r="B84" s="19">
        <v>44</v>
      </c>
      <c r="C84" s="154">
        <v>5.875</v>
      </c>
      <c r="D84" s="154">
        <v>4.833333333333333</v>
      </c>
      <c r="E84" s="154">
        <v>7.1428571428571432</v>
      </c>
      <c r="F84" s="154">
        <v>10</v>
      </c>
      <c r="G84" s="154">
        <v>5.117647058823529</v>
      </c>
      <c r="H84" t="str">
        <f t="shared" si="4"/>
        <v xml:space="preserve">Ente per le nuove tecnologie, l'energia e l'ambiente                                                </v>
      </c>
      <c r="L84" s="49"/>
      <c r="N84"/>
      <c r="V84"/>
      <c r="AA84"/>
    </row>
    <row r="85" spans="1:27">
      <c r="A85" s="11" t="s">
        <v>403</v>
      </c>
      <c r="B85" s="19">
        <v>45</v>
      </c>
      <c r="C85" s="154">
        <v>6.3250000000000002</v>
      </c>
      <c r="D85" s="154">
        <v>4.333333333333333</v>
      </c>
      <c r="E85" s="154">
        <v>7.8571428571428568</v>
      </c>
      <c r="F85" s="154">
        <v>10</v>
      </c>
      <c r="G85" s="154">
        <v>6.2352941176470589</v>
      </c>
      <c r="H85" t="str">
        <f t="shared" si="4"/>
        <v xml:space="preserve">Istituto nazionale per il commercio estero                                                          </v>
      </c>
      <c r="L85" s="49"/>
      <c r="N85"/>
      <c r="V85"/>
      <c r="AA85"/>
    </row>
    <row r="86" spans="1:27">
      <c r="A86" s="11" t="s">
        <v>354</v>
      </c>
      <c r="B86" s="19">
        <v>46</v>
      </c>
      <c r="C86" s="154">
        <v>6.25</v>
      </c>
      <c r="D86" s="154">
        <v>6.25</v>
      </c>
      <c r="E86" s="154">
        <v>5</v>
      </c>
      <c r="F86" s="154">
        <v>10</v>
      </c>
      <c r="G86" s="154">
        <v>5.882352941176471</v>
      </c>
      <c r="H86" t="str">
        <f t="shared" si="4"/>
        <v xml:space="preserve">Istituto nazionale per l'assicurazione infortuni sul lavoro                                         </v>
      </c>
      <c r="L86" s="49"/>
      <c r="N86"/>
      <c r="V86"/>
      <c r="AA86"/>
    </row>
    <row r="87" spans="1:27">
      <c r="A87" s="11" t="s">
        <v>341</v>
      </c>
      <c r="B87" s="19">
        <v>48</v>
      </c>
      <c r="C87" s="154">
        <v>5.55</v>
      </c>
      <c r="D87" s="154">
        <v>4.5</v>
      </c>
      <c r="E87" s="154">
        <v>5.7142857142857144</v>
      </c>
      <c r="F87" s="154">
        <v>10</v>
      </c>
      <c r="G87" s="154">
        <v>5.1764705882352944</v>
      </c>
      <c r="H87" t="str">
        <f t="shared" si="4"/>
        <v xml:space="preserve">Istituto nazionale di previdenza dei dipendenti dell'amministrazione pubblica                       </v>
      </c>
      <c r="L87" s="49"/>
      <c r="N87"/>
      <c r="V87"/>
      <c r="AA87"/>
    </row>
    <row r="88" spans="1:27">
      <c r="A88" s="11" t="s">
        <v>373</v>
      </c>
      <c r="B88" s="19">
        <v>50</v>
      </c>
      <c r="C88" s="154">
        <v>6.05</v>
      </c>
      <c r="D88" s="154">
        <v>8.0833333333333339</v>
      </c>
      <c r="E88" s="154">
        <v>2.8571428571428572</v>
      </c>
      <c r="F88" s="154">
        <v>10</v>
      </c>
      <c r="G88" s="154">
        <v>5</v>
      </c>
      <c r="H88" t="str">
        <f t="shared" si="4"/>
        <v xml:space="preserve">Istituto nazionale per la previdenza sociale                                                        </v>
      </c>
      <c r="L88" s="49"/>
      <c r="N88"/>
      <c r="V88"/>
      <c r="AA88"/>
    </row>
    <row r="89" spans="1:27">
      <c r="A89" s="11" t="s">
        <v>352</v>
      </c>
      <c r="B89" s="19">
        <v>52</v>
      </c>
      <c r="C89" s="154">
        <v>7.2750000000000004</v>
      </c>
      <c r="D89" s="154">
        <v>7.416666666666667</v>
      </c>
      <c r="E89" s="154">
        <v>8.5714285714285712</v>
      </c>
      <c r="F89" s="154">
        <v>10</v>
      </c>
      <c r="G89" s="154">
        <v>6</v>
      </c>
      <c r="H89" t="str">
        <f t="shared" si="4"/>
        <v xml:space="preserve">Arma dei Carabinieri                                                                                </v>
      </c>
      <c r="L89" s="49"/>
      <c r="N89"/>
      <c r="V89"/>
      <c r="AA89"/>
    </row>
    <row r="90" spans="1:27">
      <c r="A90" s="11" t="s">
        <v>357</v>
      </c>
      <c r="B90" s="19">
        <v>57</v>
      </c>
      <c r="C90" s="154">
        <v>4.8</v>
      </c>
      <c r="D90" s="154">
        <v>4.583333333333333</v>
      </c>
      <c r="E90" s="154">
        <v>5.8571428571428568</v>
      </c>
      <c r="F90" s="154">
        <v>2.5</v>
      </c>
      <c r="G90" s="154">
        <v>5.0588235294117645</v>
      </c>
      <c r="H90" t="str">
        <f t="shared" si="4"/>
        <v xml:space="preserve">Avvocatura Generale dello Stato                                  </v>
      </c>
      <c r="L90" s="49"/>
      <c r="N90"/>
      <c r="V90"/>
      <c r="AA90"/>
    </row>
    <row r="91" spans="1:27">
      <c r="A91" s="11" t="s">
        <v>450</v>
      </c>
      <c r="B91" s="19">
        <v>60</v>
      </c>
      <c r="C91" s="154">
        <v>4.375</v>
      </c>
      <c r="D91" s="154">
        <v>3.3333333333333335</v>
      </c>
      <c r="E91" s="154">
        <v>6.5714285714285712</v>
      </c>
      <c r="F91" s="154">
        <v>7.5</v>
      </c>
      <c r="G91" s="154">
        <v>3.4705882352941178</v>
      </c>
      <c r="H91" t="str">
        <f t="shared" si="4"/>
        <v xml:space="preserve">Istituto nazionale di economia agraria                                                       </v>
      </c>
      <c r="L91" s="49"/>
      <c r="N91"/>
      <c r="V91"/>
      <c r="AA91"/>
    </row>
    <row r="92" spans="1:27">
      <c r="A92" s="11" t="s">
        <v>398</v>
      </c>
      <c r="B92" s="19">
        <v>61</v>
      </c>
      <c r="C92" s="154">
        <v>4.3499999999999996</v>
      </c>
      <c r="D92" s="154">
        <v>4.416666666666667</v>
      </c>
      <c r="E92" s="154">
        <v>7.2857142857142856</v>
      </c>
      <c r="F92" s="154">
        <v>2.5</v>
      </c>
      <c r="G92" s="154">
        <v>3.5294117647058822</v>
      </c>
      <c r="H92" t="str">
        <f t="shared" si="4"/>
        <v xml:space="preserve">Ente nazionale assistenza magistrale                                                                </v>
      </c>
      <c r="L92" s="49"/>
      <c r="N92"/>
      <c r="V92"/>
      <c r="AA92"/>
    </row>
    <row r="93" spans="1:27">
      <c r="A93" s="11" t="s">
        <v>351</v>
      </c>
      <c r="B93" s="19">
        <v>62</v>
      </c>
      <c r="C93" s="154">
        <v>5</v>
      </c>
      <c r="D93" s="154">
        <v>4.5</v>
      </c>
      <c r="E93" s="154">
        <v>5.8571428571428568</v>
      </c>
      <c r="F93" s="154">
        <v>2.5</v>
      </c>
      <c r="G93" s="154">
        <v>5.5882352941176467</v>
      </c>
      <c r="H93" t="str">
        <f t="shared" si="4"/>
        <v xml:space="preserve">Ente nazionale previdenza assistenza lavoratori dello spettacolo                                    </v>
      </c>
      <c r="L93" s="49"/>
      <c r="N93"/>
      <c r="V93"/>
      <c r="AA93"/>
    </row>
    <row r="94" spans="1:27">
      <c r="A94" s="11" t="s">
        <v>430</v>
      </c>
      <c r="B94" s="19">
        <v>64</v>
      </c>
      <c r="C94" s="154">
        <v>3.1</v>
      </c>
      <c r="D94" s="154">
        <v>2.6666666666666665</v>
      </c>
      <c r="E94" s="154">
        <v>3.5714285714285716</v>
      </c>
      <c r="F94" s="154">
        <v>2.5</v>
      </c>
      <c r="G94" s="154">
        <v>3.3529411764705883</v>
      </c>
      <c r="H94" t="str">
        <f t="shared" si="4"/>
        <v xml:space="preserve">Unione nazionale incremento razze equine                                                            </v>
      </c>
      <c r="L94" s="49"/>
      <c r="N94"/>
      <c r="V94"/>
      <c r="AA94"/>
    </row>
    <row r="95" spans="1:27">
      <c r="A95" s="11" t="s">
        <v>328</v>
      </c>
      <c r="B95" s="19">
        <v>68</v>
      </c>
      <c r="C95" s="154">
        <v>4.8499999999999996</v>
      </c>
      <c r="D95" s="154">
        <v>3</v>
      </c>
      <c r="E95" s="154">
        <v>4.7142857142857144</v>
      </c>
      <c r="F95" s="154">
        <v>5</v>
      </c>
      <c r="G95" s="154">
        <v>6.1764705882352944</v>
      </c>
      <c r="H95" t="str">
        <f t="shared" si="4"/>
        <v xml:space="preserve">Ente nazionale italiano per il turismo                                                              </v>
      </c>
      <c r="L95" s="49"/>
      <c r="N95"/>
      <c r="V95"/>
      <c r="AA95"/>
    </row>
    <row r="96" spans="1:27">
      <c r="A96" s="11" t="s">
        <v>338</v>
      </c>
      <c r="B96" s="19">
        <v>71</v>
      </c>
      <c r="C96" s="154">
        <v>4.25</v>
      </c>
      <c r="D96" s="154">
        <v>4.833333333333333</v>
      </c>
      <c r="E96" s="154">
        <v>6.4285714285714288</v>
      </c>
      <c r="F96" s="154">
        <v>7.5</v>
      </c>
      <c r="G96" s="154">
        <v>2.1764705882352939</v>
      </c>
      <c r="H96" t="str">
        <f t="shared" si="4"/>
        <v xml:space="preserve">Ministero dell'economia e finanze - Area tesoro        </v>
      </c>
      <c r="L96" s="49"/>
      <c r="N96"/>
      <c r="V96"/>
      <c r="AA96"/>
    </row>
    <row r="97" spans="1:27">
      <c r="A97" s="11" t="s">
        <v>431</v>
      </c>
      <c r="B97" s="19">
        <v>75</v>
      </c>
      <c r="C97" s="154">
        <v>4.7249999999999996</v>
      </c>
      <c r="D97" s="154">
        <v>3.9166666666666665</v>
      </c>
      <c r="E97" s="154">
        <v>7.8571428571428568</v>
      </c>
      <c r="F97" s="154">
        <v>2.5</v>
      </c>
      <c r="G97" s="154">
        <v>4.5294117647058822</v>
      </c>
      <c r="H97" t="str">
        <f t="shared" si="4"/>
        <v xml:space="preserve">Ministero delle infrastrutture e dei trasporti                                            </v>
      </c>
      <c r="L97" s="49"/>
      <c r="N97"/>
      <c r="V97"/>
      <c r="AA97"/>
    </row>
    <row r="98" spans="1:27">
      <c r="A98" s="11" t="s">
        <v>309</v>
      </c>
      <c r="B98" s="19">
        <v>77</v>
      </c>
      <c r="C98" s="154">
        <v>0.8</v>
      </c>
      <c r="D98" s="154">
        <v>2.6666666666666665</v>
      </c>
      <c r="E98" s="154">
        <v>0</v>
      </c>
      <c r="F98" s="154">
        <v>0</v>
      </c>
      <c r="G98" s="154">
        <v>0</v>
      </c>
      <c r="H98" t="str">
        <f t="shared" si="4"/>
        <v xml:space="preserve">Istituto di Studi per l'Analisi Economica                                                           </v>
      </c>
      <c r="L98" s="49"/>
      <c r="N98"/>
      <c r="V98"/>
      <c r="AA98"/>
    </row>
    <row r="99" spans="1:27">
      <c r="A99" s="11" t="s">
        <v>356</v>
      </c>
      <c r="B99" s="19">
        <v>82</v>
      </c>
      <c r="C99" s="154">
        <v>2.7250000000000001</v>
      </c>
      <c r="D99" s="154">
        <v>4</v>
      </c>
      <c r="E99" s="154">
        <v>2.2857142857142856</v>
      </c>
      <c r="F99" s="154">
        <v>2.5</v>
      </c>
      <c r="G99" s="154">
        <v>2.0588235294117645</v>
      </c>
      <c r="H99" t="str">
        <f t="shared" si="4"/>
        <v xml:space="preserve">Scuola Superiore della Pubblica Amministrazione                                               </v>
      </c>
      <c r="L99" s="49"/>
      <c r="N99"/>
      <c r="V99"/>
      <c r="AA99"/>
    </row>
    <row r="100" spans="1:27">
      <c r="A100" s="11" t="s">
        <v>348</v>
      </c>
      <c r="B100" s="19">
        <v>701</v>
      </c>
      <c r="C100" s="154">
        <v>4.8250000000000002</v>
      </c>
      <c r="D100" s="154">
        <v>6.333333333333333</v>
      </c>
      <c r="E100" s="154">
        <v>3.2857142857142856</v>
      </c>
      <c r="F100" s="154">
        <v>10</v>
      </c>
      <c r="G100" s="154">
        <v>3.1764705882352939</v>
      </c>
      <c r="H100" t="str">
        <f t="shared" si="4"/>
        <v>Ministero dell'interno - DIA</v>
      </c>
      <c r="L100" s="49"/>
      <c r="N100"/>
      <c r="V100"/>
      <c r="AA100"/>
    </row>
    <row r="101" spans="1:27">
      <c r="A101" s="11" t="s">
        <v>417</v>
      </c>
      <c r="B101" s="19">
        <v>702</v>
      </c>
      <c r="C101" s="154">
        <v>5.5250000000000004</v>
      </c>
      <c r="D101" s="154">
        <v>5.5</v>
      </c>
      <c r="E101" s="154">
        <v>5.8571428571428568</v>
      </c>
      <c r="F101" s="154">
        <v>7.5</v>
      </c>
      <c r="G101" s="154">
        <v>4.9411764705882355</v>
      </c>
      <c r="H101" t="str">
        <f t="shared" si="4"/>
        <v>Ministero dell'interno - Affari Interni e Territoriali</v>
      </c>
      <c r="L101" s="49"/>
      <c r="N101"/>
      <c r="V101"/>
      <c r="AA101"/>
    </row>
    <row r="102" spans="1:27">
      <c r="A102" s="11" t="s">
        <v>349</v>
      </c>
      <c r="B102" s="19">
        <v>703</v>
      </c>
      <c r="C102" s="154">
        <v>6.25</v>
      </c>
      <c r="D102" s="154">
        <v>6.833333333333333</v>
      </c>
      <c r="E102" s="154">
        <v>5.8571428571428568</v>
      </c>
      <c r="F102" s="154">
        <v>2.5</v>
      </c>
      <c r="G102" s="154">
        <v>6.882352941176471</v>
      </c>
      <c r="H102" t="str">
        <f t="shared" si="4"/>
        <v>Ministero dell'interno - Servizi Demografici</v>
      </c>
      <c r="L102" s="49"/>
      <c r="N102"/>
      <c r="V102"/>
      <c r="AA102"/>
    </row>
    <row r="103" spans="1:27">
      <c r="A103" s="11" t="s">
        <v>416</v>
      </c>
      <c r="B103" s="19">
        <v>704</v>
      </c>
      <c r="C103" s="154">
        <v>5.2249999999999996</v>
      </c>
      <c r="D103" s="154">
        <v>4.25</v>
      </c>
      <c r="E103" s="154">
        <v>6.4285714285714288</v>
      </c>
      <c r="F103" s="154">
        <v>7.5</v>
      </c>
      <c r="G103" s="154">
        <v>4.882352941176471</v>
      </c>
      <c r="H103" t="str">
        <f t="shared" si="4"/>
        <v>Ministero dell'interno - Vigili del  Fuoco</v>
      </c>
      <c r="L103" s="49"/>
      <c r="N103"/>
      <c r="V103"/>
      <c r="AA103"/>
    </row>
    <row r="104" spans="1:27">
      <c r="A104" s="11" t="s">
        <v>340</v>
      </c>
      <c r="B104" s="19">
        <v>705</v>
      </c>
      <c r="C104" s="154">
        <v>7.05</v>
      </c>
      <c r="D104" s="154">
        <v>7.666666666666667</v>
      </c>
      <c r="E104" s="154">
        <v>7.1428571428571432</v>
      </c>
      <c r="F104" s="154">
        <v>10</v>
      </c>
      <c r="G104" s="154">
        <v>5.882352941176471</v>
      </c>
      <c r="H104" t="str">
        <f t="shared" si="4"/>
        <v>Ministero dell'interno - Libertà Civili</v>
      </c>
      <c r="L104" s="49"/>
      <c r="N104"/>
      <c r="V104"/>
      <c r="AA104"/>
    </row>
    <row r="105" spans="1:27">
      <c r="A105" s="11" t="s">
        <v>347</v>
      </c>
      <c r="B105" s="19">
        <v>706</v>
      </c>
      <c r="C105" s="154">
        <v>4.4249999999999998</v>
      </c>
      <c r="D105" s="154">
        <v>4.916666666666667</v>
      </c>
      <c r="E105" s="154">
        <v>1.5714285714285714</v>
      </c>
      <c r="F105" s="154">
        <v>5</v>
      </c>
      <c r="G105" s="154">
        <v>5.117647058823529</v>
      </c>
      <c r="H105" t="str">
        <f t="shared" si="4"/>
        <v>Ministero dell'interno - Dipartimento P.S.</v>
      </c>
      <c r="L105" s="49"/>
      <c r="N105"/>
      <c r="V105"/>
      <c r="AA105"/>
    </row>
    <row r="106" spans="1:27">
      <c r="A106" s="11" t="s">
        <v>402</v>
      </c>
      <c r="B106" s="19">
        <v>707</v>
      </c>
      <c r="C106" s="154">
        <v>4.5250000000000004</v>
      </c>
      <c r="D106" s="154">
        <v>4.916666666666667</v>
      </c>
      <c r="E106" s="154">
        <v>5.8571428571428568</v>
      </c>
      <c r="F106" s="154">
        <v>5</v>
      </c>
      <c r="G106" s="154">
        <v>3.5882352941176472</v>
      </c>
      <c r="H106" t="str">
        <f t="shared" si="4"/>
        <v>Ministero dell'interno - Servizi Elettorali</v>
      </c>
      <c r="L106" s="49"/>
      <c r="N106"/>
      <c r="V106"/>
      <c r="AA106"/>
    </row>
    <row r="107" spans="1:27">
      <c r="A107" s="11" t="s">
        <v>268</v>
      </c>
      <c r="B107" s="19">
        <v>708</v>
      </c>
      <c r="C107" s="154">
        <v>4.3250000000000002</v>
      </c>
      <c r="D107" s="154">
        <v>4.916666666666667</v>
      </c>
      <c r="E107" s="154">
        <v>1.5714285714285714</v>
      </c>
      <c r="F107" s="154">
        <v>5</v>
      </c>
      <c r="G107" s="154">
        <v>4.882352941176471</v>
      </c>
      <c r="H107" t="str">
        <f t="shared" si="4"/>
        <v>Ministero dell'interno - Centro Elaborazione Nazionale Amministrazione Pubblica Sicurezza</v>
      </c>
      <c r="L107" s="49"/>
      <c r="N107"/>
      <c r="V107"/>
      <c r="AA107"/>
    </row>
    <row r="108" spans="1:27">
      <c r="A108" s="11" t="s">
        <v>269</v>
      </c>
      <c r="B108" s="19">
        <v>709</v>
      </c>
      <c r="C108" s="154">
        <v>3.1749999999999998</v>
      </c>
      <c r="D108" s="154">
        <v>2.4166666666666665</v>
      </c>
      <c r="E108" s="154">
        <v>5</v>
      </c>
      <c r="F108" s="154">
        <v>2.5</v>
      </c>
      <c r="G108" s="154">
        <v>3.1176470588235294</v>
      </c>
      <c r="H108" t="str">
        <f t="shared" si="4"/>
        <v>Ministero dell'interno - Servizio Polizia Scientifica</v>
      </c>
      <c r="L108" s="49"/>
      <c r="N108"/>
      <c r="V108"/>
      <c r="AA108"/>
    </row>
    <row r="109" spans="1:27">
      <c r="A109" s="11" t="s">
        <v>270</v>
      </c>
      <c r="B109" s="19">
        <v>710</v>
      </c>
      <c r="C109" s="154">
        <v>6.05</v>
      </c>
      <c r="D109" s="154">
        <v>5.5</v>
      </c>
      <c r="E109" s="154">
        <v>7.8571428571428568</v>
      </c>
      <c r="F109" s="154">
        <v>5</v>
      </c>
      <c r="G109" s="154">
        <v>5.9411764705882355</v>
      </c>
      <c r="H109" t="str">
        <f t="shared" si="4"/>
        <v>Ministero dell'interno - Polizia specialistica (già Centro elettronico Polizia stradale)</v>
      </c>
      <c r="L109" s="49"/>
      <c r="N109"/>
      <c r="V109"/>
      <c r="AA109"/>
    </row>
    <row r="110" spans="1:27">
      <c r="A110" s="13" t="s">
        <v>271</v>
      </c>
      <c r="B110" s="127">
        <v>711</v>
      </c>
      <c r="C110" s="155">
        <v>4.45</v>
      </c>
      <c r="D110" s="155">
        <v>3.9166666666666665</v>
      </c>
      <c r="E110" s="155">
        <v>7.2857142857142856</v>
      </c>
      <c r="F110" s="155">
        <v>5</v>
      </c>
      <c r="G110" s="155">
        <v>3.5294117647058822</v>
      </c>
      <c r="H110" t="str">
        <f t="shared" si="4"/>
        <v>Ministero dell'interno - Polizia di Stato</v>
      </c>
      <c r="L110" s="49"/>
      <c r="N110"/>
      <c r="V110"/>
      <c r="AA110"/>
    </row>
    <row r="111" spans="1:27">
      <c r="A111" s="300" t="s">
        <v>219</v>
      </c>
      <c r="B111" s="301">
        <v>1000</v>
      </c>
      <c r="C111" s="301" t="s">
        <v>218</v>
      </c>
      <c r="D111" s="301" t="s">
        <v>218</v>
      </c>
      <c r="E111" s="301" t="s">
        <v>218</v>
      </c>
      <c r="F111" s="301" t="s">
        <v>218</v>
      </c>
      <c r="G111" s="302" t="s">
        <v>218</v>
      </c>
      <c r="K111" s="49"/>
      <c r="N111"/>
      <c r="P111" s="49"/>
      <c r="V111"/>
      <c r="AA111"/>
    </row>
    <row r="112" spans="1:27">
      <c r="M112" s="49"/>
      <c r="N112"/>
      <c r="R112" s="49"/>
      <c r="V112"/>
      <c r="AA112"/>
    </row>
    <row r="113" spans="11:27">
      <c r="M113" s="49"/>
      <c r="N113"/>
      <c r="R113" s="49"/>
      <c r="V113"/>
      <c r="AA113"/>
    </row>
    <row r="114" spans="11:27">
      <c r="M114" s="49"/>
      <c r="N114"/>
      <c r="R114" s="49"/>
      <c r="V114"/>
      <c r="AA114"/>
    </row>
    <row r="115" spans="11:27">
      <c r="M115" s="49"/>
      <c r="N115"/>
      <c r="R115" s="49"/>
      <c r="V115"/>
      <c r="AA115"/>
    </row>
    <row r="116" spans="11:27">
      <c r="M116" s="49"/>
      <c r="N116"/>
      <c r="R116" s="49"/>
      <c r="V116"/>
      <c r="AA116"/>
    </row>
    <row r="117" spans="11:27">
      <c r="M117" s="49"/>
      <c r="N117"/>
      <c r="R117" s="49"/>
      <c r="V117"/>
      <c r="AA117"/>
    </row>
    <row r="118" spans="11:27">
      <c r="M118" s="49"/>
      <c r="N118"/>
      <c r="R118" s="49"/>
      <c r="V118"/>
      <c r="AA118"/>
    </row>
    <row r="119" spans="11:27">
      <c r="M119" s="49"/>
      <c r="N119"/>
      <c r="R119" s="49"/>
      <c r="V119"/>
      <c r="AA119"/>
    </row>
    <row r="120" spans="11:27">
      <c r="M120" s="49"/>
      <c r="N120"/>
      <c r="R120" s="49"/>
      <c r="V120"/>
      <c r="AA120"/>
    </row>
    <row r="121" spans="11:27">
      <c r="M121" s="49"/>
      <c r="N121"/>
      <c r="R121" s="49"/>
      <c r="V121"/>
      <c r="AA121"/>
    </row>
    <row r="122" spans="11:27">
      <c r="M122" s="49"/>
      <c r="N122"/>
      <c r="R122" s="49"/>
      <c r="V122"/>
      <c r="AA122"/>
    </row>
    <row r="123" spans="11:27">
      <c r="M123" s="49"/>
      <c r="N123"/>
      <c r="R123" s="49"/>
      <c r="V123"/>
      <c r="AA123"/>
    </row>
    <row r="124" spans="11:27">
      <c r="K124" s="141"/>
      <c r="N124"/>
      <c r="S124" s="49"/>
      <c r="V124"/>
      <c r="X124" s="49"/>
      <c r="AA124"/>
    </row>
  </sheetData>
  <mergeCells count="5">
    <mergeCell ref="AB2:AR2"/>
    <mergeCell ref="B2:H2"/>
    <mergeCell ref="I2:M2"/>
    <mergeCell ref="O2:U2"/>
    <mergeCell ref="W2:Z2"/>
  </mergeCells>
  <phoneticPr fontId="3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 enableFormatConditionsCalculation="0"/>
  <dimension ref="A1:AQ125"/>
  <sheetViews>
    <sheetView workbookViewId="0">
      <selection activeCell="A2" sqref="A2"/>
    </sheetView>
  </sheetViews>
  <sheetFormatPr baseColWidth="10" defaultColWidth="8.83203125" defaultRowHeight="12" x14ac:dyDescent="0"/>
  <cols>
    <col min="1" max="1" width="58.5" customWidth="1"/>
    <col min="2" max="9" width="5.6640625" customWidth="1"/>
    <col min="10" max="10" width="8.6640625" customWidth="1"/>
    <col min="11" max="16" width="5.6640625" customWidth="1"/>
    <col min="17" max="17" width="8.6640625" customWidth="1"/>
    <col min="18" max="26" width="5.6640625" customWidth="1"/>
    <col min="27" max="27" width="8.6640625" customWidth="1"/>
    <col min="28" max="40" width="5.6640625" customWidth="1"/>
    <col min="41" max="41" width="8.6640625" customWidth="1"/>
  </cols>
  <sheetData>
    <row r="1" spans="1:43">
      <c r="A1" s="34"/>
      <c r="J1" s="49"/>
      <c r="Q1" s="49"/>
      <c r="AA1" s="49"/>
      <c r="AO1" s="49"/>
    </row>
    <row r="2" spans="1:43" ht="21">
      <c r="A2" s="425">
        <v>2006</v>
      </c>
      <c r="B2" s="599" t="s">
        <v>319</v>
      </c>
      <c r="C2" s="599"/>
      <c r="D2" s="599"/>
      <c r="E2" s="599"/>
      <c r="F2" s="599"/>
      <c r="G2" s="599"/>
      <c r="H2" s="599"/>
      <c r="I2" s="599"/>
      <c r="J2" s="49"/>
      <c r="K2" s="599" t="s">
        <v>320</v>
      </c>
      <c r="L2" s="599"/>
      <c r="M2" s="599"/>
      <c r="N2" s="599"/>
      <c r="O2" s="599"/>
      <c r="P2" s="599"/>
      <c r="Q2" s="49"/>
      <c r="R2" s="599" t="s">
        <v>321</v>
      </c>
      <c r="S2" s="599"/>
      <c r="T2" s="599"/>
      <c r="U2" s="599"/>
      <c r="V2" s="599"/>
      <c r="W2" s="599"/>
      <c r="X2" s="599"/>
      <c r="Y2" s="599"/>
      <c r="Z2" s="599"/>
      <c r="AA2" s="49"/>
      <c r="AB2" s="599" t="s">
        <v>322</v>
      </c>
      <c r="AC2" s="599"/>
      <c r="AD2" s="599"/>
      <c r="AE2" s="599"/>
      <c r="AF2" s="599"/>
      <c r="AG2" s="599"/>
      <c r="AH2" s="599"/>
      <c r="AI2" s="599"/>
      <c r="AJ2" s="599"/>
      <c r="AK2" s="599"/>
      <c r="AL2" s="599"/>
      <c r="AM2" s="599"/>
      <c r="AN2" s="599"/>
      <c r="AO2" s="49"/>
    </row>
    <row r="3" spans="1:43">
      <c r="A3" s="99"/>
      <c r="B3" s="61">
        <v>1</v>
      </c>
      <c r="C3" s="61">
        <v>2</v>
      </c>
      <c r="D3" s="61">
        <v>3</v>
      </c>
      <c r="E3" s="61">
        <v>4</v>
      </c>
      <c r="F3" s="61">
        <v>5</v>
      </c>
      <c r="G3" s="61">
        <v>6</v>
      </c>
      <c r="H3" s="61">
        <v>7</v>
      </c>
      <c r="I3" s="61">
        <v>8</v>
      </c>
      <c r="J3" s="106" t="s">
        <v>392</v>
      </c>
      <c r="K3" s="61">
        <v>9</v>
      </c>
      <c r="L3" s="61">
        <v>10</v>
      </c>
      <c r="M3" s="61">
        <v>11</v>
      </c>
      <c r="N3" s="61">
        <v>12</v>
      </c>
      <c r="O3" s="61">
        <v>13</v>
      </c>
      <c r="P3" s="61">
        <v>14</v>
      </c>
      <c r="Q3" s="104" t="s">
        <v>392</v>
      </c>
      <c r="R3" s="61">
        <v>15</v>
      </c>
      <c r="S3" s="61">
        <v>16</v>
      </c>
      <c r="T3" s="61">
        <v>17</v>
      </c>
      <c r="U3" s="61">
        <v>18</v>
      </c>
      <c r="V3" s="61">
        <v>19</v>
      </c>
      <c r="W3" s="61">
        <v>20</v>
      </c>
      <c r="X3" s="61">
        <v>21</v>
      </c>
      <c r="Y3" s="61">
        <v>22</v>
      </c>
      <c r="Z3" s="61">
        <v>23</v>
      </c>
      <c r="AA3" s="102" t="s">
        <v>392</v>
      </c>
      <c r="AB3" s="61">
        <v>24</v>
      </c>
      <c r="AC3" s="61">
        <v>25</v>
      </c>
      <c r="AD3" s="61">
        <v>26</v>
      </c>
      <c r="AE3" s="61">
        <v>27</v>
      </c>
      <c r="AF3" s="61">
        <v>28</v>
      </c>
      <c r="AG3" s="61">
        <v>29</v>
      </c>
      <c r="AH3" s="61">
        <v>30</v>
      </c>
      <c r="AI3" s="61">
        <v>31</v>
      </c>
      <c r="AJ3" s="61">
        <v>32</v>
      </c>
      <c r="AK3" s="61">
        <v>33</v>
      </c>
      <c r="AL3" s="61">
        <v>34</v>
      </c>
      <c r="AM3" s="61">
        <v>35</v>
      </c>
      <c r="AN3" s="61">
        <v>36</v>
      </c>
      <c r="AO3" s="100" t="s">
        <v>392</v>
      </c>
      <c r="AP3" s="61" t="s">
        <v>435</v>
      </c>
      <c r="AQ3" s="60"/>
    </row>
    <row r="4" spans="1:43">
      <c r="A4" s="34" t="s">
        <v>404</v>
      </c>
      <c r="B4" s="34">
        <v>8</v>
      </c>
      <c r="C4" s="34">
        <v>10</v>
      </c>
      <c r="D4" s="34">
        <v>0</v>
      </c>
      <c r="E4" s="34">
        <v>6</v>
      </c>
      <c r="F4">
        <v>6</v>
      </c>
      <c r="G4">
        <v>10</v>
      </c>
      <c r="H4">
        <v>10</v>
      </c>
      <c r="I4">
        <v>10</v>
      </c>
      <c r="J4" s="107">
        <v>60</v>
      </c>
      <c r="K4">
        <v>10</v>
      </c>
      <c r="L4">
        <v>10</v>
      </c>
      <c r="M4" s="34">
        <v>6</v>
      </c>
      <c r="N4" s="34">
        <v>6</v>
      </c>
      <c r="O4">
        <v>10</v>
      </c>
      <c r="P4">
        <v>0</v>
      </c>
      <c r="Q4" s="105">
        <v>42</v>
      </c>
      <c r="R4">
        <v>0</v>
      </c>
      <c r="S4">
        <v>7</v>
      </c>
      <c r="T4">
        <v>7</v>
      </c>
      <c r="U4">
        <v>0</v>
      </c>
      <c r="V4">
        <v>10</v>
      </c>
      <c r="W4">
        <v>0</v>
      </c>
      <c r="X4">
        <v>0</v>
      </c>
      <c r="Y4">
        <v>10</v>
      </c>
      <c r="Z4">
        <v>0</v>
      </c>
      <c r="AA4" s="103">
        <v>34</v>
      </c>
      <c r="AB4">
        <v>10</v>
      </c>
      <c r="AC4">
        <v>10</v>
      </c>
      <c r="AD4">
        <v>10</v>
      </c>
      <c r="AE4">
        <v>0</v>
      </c>
      <c r="AF4">
        <v>0</v>
      </c>
      <c r="AG4">
        <v>0</v>
      </c>
      <c r="AH4">
        <v>10</v>
      </c>
      <c r="AI4">
        <v>5</v>
      </c>
      <c r="AJ4">
        <v>10</v>
      </c>
      <c r="AK4">
        <v>8</v>
      </c>
      <c r="AL4">
        <v>10</v>
      </c>
      <c r="AM4">
        <v>10</v>
      </c>
      <c r="AN4">
        <v>0</v>
      </c>
      <c r="AO4" s="101">
        <v>83</v>
      </c>
      <c r="AP4">
        <v>219</v>
      </c>
    </row>
    <row r="5" spans="1:43">
      <c r="A5" s="34" t="s">
        <v>333</v>
      </c>
      <c r="B5" s="34">
        <v>6</v>
      </c>
      <c r="C5" s="34">
        <v>10</v>
      </c>
      <c r="D5" s="34">
        <v>0</v>
      </c>
      <c r="E5" s="34">
        <v>6</v>
      </c>
      <c r="F5">
        <v>6</v>
      </c>
      <c r="G5">
        <v>0</v>
      </c>
      <c r="H5">
        <v>10</v>
      </c>
      <c r="I5">
        <v>10</v>
      </c>
      <c r="J5" s="107">
        <v>48</v>
      </c>
      <c r="K5">
        <v>0</v>
      </c>
      <c r="L5">
        <v>10</v>
      </c>
      <c r="M5" s="34">
        <v>4</v>
      </c>
      <c r="N5" s="34">
        <v>10</v>
      </c>
      <c r="O5">
        <v>10</v>
      </c>
      <c r="P5">
        <v>0</v>
      </c>
      <c r="Q5" s="105">
        <v>34</v>
      </c>
      <c r="R5">
        <v>0</v>
      </c>
      <c r="S5">
        <v>7</v>
      </c>
      <c r="T5">
        <v>7</v>
      </c>
      <c r="U5">
        <v>10</v>
      </c>
      <c r="V5">
        <v>10</v>
      </c>
      <c r="W5">
        <v>10</v>
      </c>
      <c r="X5">
        <v>10</v>
      </c>
      <c r="Y5">
        <v>10</v>
      </c>
      <c r="Z5">
        <v>4</v>
      </c>
      <c r="AA5" s="103">
        <v>68</v>
      </c>
      <c r="AB5">
        <v>0</v>
      </c>
      <c r="AC5">
        <v>10</v>
      </c>
      <c r="AD5">
        <v>7</v>
      </c>
      <c r="AE5">
        <v>0</v>
      </c>
      <c r="AF5">
        <v>10</v>
      </c>
      <c r="AG5">
        <v>10</v>
      </c>
      <c r="AH5">
        <v>10</v>
      </c>
      <c r="AI5">
        <v>5</v>
      </c>
      <c r="AJ5">
        <v>6</v>
      </c>
      <c r="AK5">
        <v>0</v>
      </c>
      <c r="AL5">
        <v>5</v>
      </c>
      <c r="AM5">
        <v>10</v>
      </c>
      <c r="AN5">
        <v>10</v>
      </c>
      <c r="AO5" s="101">
        <v>83</v>
      </c>
      <c r="AP5">
        <v>233</v>
      </c>
    </row>
    <row r="6" spans="1:43">
      <c r="A6" s="34" t="s">
        <v>350</v>
      </c>
      <c r="B6" s="34">
        <v>8</v>
      </c>
      <c r="C6" s="34">
        <v>10</v>
      </c>
      <c r="D6" s="34">
        <v>10</v>
      </c>
      <c r="E6" s="34">
        <v>6</v>
      </c>
      <c r="F6">
        <v>6</v>
      </c>
      <c r="G6">
        <v>10</v>
      </c>
      <c r="H6">
        <v>10</v>
      </c>
      <c r="I6">
        <v>10</v>
      </c>
      <c r="J6" s="107">
        <v>70</v>
      </c>
      <c r="K6">
        <v>10</v>
      </c>
      <c r="L6">
        <v>10</v>
      </c>
      <c r="M6" s="34">
        <v>10</v>
      </c>
      <c r="N6" s="34">
        <v>10</v>
      </c>
      <c r="O6">
        <v>10</v>
      </c>
      <c r="P6">
        <v>10</v>
      </c>
      <c r="Q6" s="105">
        <v>60</v>
      </c>
      <c r="R6">
        <v>0</v>
      </c>
      <c r="S6">
        <v>7</v>
      </c>
      <c r="T6">
        <v>0</v>
      </c>
      <c r="U6">
        <v>10</v>
      </c>
      <c r="V6">
        <v>10</v>
      </c>
      <c r="W6">
        <v>10</v>
      </c>
      <c r="X6">
        <v>10</v>
      </c>
      <c r="Y6">
        <v>10</v>
      </c>
      <c r="Z6">
        <v>0</v>
      </c>
      <c r="AA6" s="103">
        <v>57</v>
      </c>
      <c r="AB6">
        <v>10</v>
      </c>
      <c r="AC6">
        <v>10</v>
      </c>
      <c r="AD6">
        <v>7</v>
      </c>
      <c r="AE6">
        <v>0</v>
      </c>
      <c r="AF6">
        <v>0</v>
      </c>
      <c r="AG6">
        <v>0</v>
      </c>
      <c r="AH6">
        <v>10</v>
      </c>
      <c r="AI6">
        <v>5</v>
      </c>
      <c r="AJ6">
        <v>8</v>
      </c>
      <c r="AK6">
        <v>6</v>
      </c>
      <c r="AL6">
        <v>0</v>
      </c>
      <c r="AM6">
        <v>10</v>
      </c>
      <c r="AN6">
        <v>0</v>
      </c>
      <c r="AO6" s="101">
        <v>66</v>
      </c>
      <c r="AP6">
        <v>253</v>
      </c>
    </row>
    <row r="7" spans="1:43">
      <c r="A7" s="34" t="s">
        <v>412</v>
      </c>
      <c r="B7" s="34">
        <v>8</v>
      </c>
      <c r="C7" s="34">
        <v>10</v>
      </c>
      <c r="D7" s="34">
        <v>6</v>
      </c>
      <c r="E7" s="34">
        <v>6</v>
      </c>
      <c r="F7">
        <v>10</v>
      </c>
      <c r="G7">
        <v>10</v>
      </c>
      <c r="H7">
        <v>0</v>
      </c>
      <c r="I7">
        <v>10</v>
      </c>
      <c r="J7" s="107">
        <v>60</v>
      </c>
      <c r="K7">
        <v>10</v>
      </c>
      <c r="L7">
        <v>10</v>
      </c>
      <c r="M7" s="34">
        <v>10</v>
      </c>
      <c r="N7" s="34">
        <v>6</v>
      </c>
      <c r="O7">
        <v>10</v>
      </c>
      <c r="P7">
        <v>0</v>
      </c>
      <c r="Q7" s="105">
        <v>46</v>
      </c>
      <c r="R7">
        <v>0</v>
      </c>
      <c r="S7">
        <v>7</v>
      </c>
      <c r="T7">
        <v>0</v>
      </c>
      <c r="U7">
        <v>0</v>
      </c>
      <c r="V7">
        <v>10</v>
      </c>
      <c r="W7">
        <v>10</v>
      </c>
      <c r="X7">
        <v>10</v>
      </c>
      <c r="Y7">
        <v>10</v>
      </c>
      <c r="Z7">
        <v>0</v>
      </c>
      <c r="AA7" s="103">
        <v>47</v>
      </c>
      <c r="AB7">
        <v>0</v>
      </c>
      <c r="AC7">
        <v>0</v>
      </c>
      <c r="AD7">
        <v>7</v>
      </c>
      <c r="AE7">
        <v>10</v>
      </c>
      <c r="AF7">
        <v>10</v>
      </c>
      <c r="AG7">
        <v>10</v>
      </c>
      <c r="AH7">
        <v>10</v>
      </c>
      <c r="AI7">
        <v>0</v>
      </c>
      <c r="AJ7">
        <v>6</v>
      </c>
      <c r="AK7">
        <v>0</v>
      </c>
      <c r="AL7">
        <v>0</v>
      </c>
      <c r="AM7">
        <v>10</v>
      </c>
      <c r="AN7">
        <v>0</v>
      </c>
      <c r="AO7" s="101">
        <v>63</v>
      </c>
      <c r="AP7">
        <v>216</v>
      </c>
    </row>
    <row r="8" spans="1:43">
      <c r="A8" s="34" t="s">
        <v>356</v>
      </c>
      <c r="B8" s="34">
        <v>8</v>
      </c>
      <c r="C8" s="34">
        <v>10</v>
      </c>
      <c r="D8" s="34">
        <v>6</v>
      </c>
      <c r="E8" s="34">
        <v>3</v>
      </c>
      <c r="F8">
        <v>10</v>
      </c>
      <c r="G8">
        <v>10</v>
      </c>
      <c r="H8">
        <v>10</v>
      </c>
      <c r="I8">
        <v>10</v>
      </c>
      <c r="J8" s="107">
        <v>67</v>
      </c>
      <c r="K8">
        <v>10</v>
      </c>
      <c r="L8">
        <v>10</v>
      </c>
      <c r="M8" s="34">
        <v>10</v>
      </c>
      <c r="N8" s="34">
        <v>10</v>
      </c>
      <c r="O8">
        <v>10</v>
      </c>
      <c r="P8">
        <v>0</v>
      </c>
      <c r="Q8" s="105">
        <v>50</v>
      </c>
      <c r="R8">
        <v>0</v>
      </c>
      <c r="S8">
        <v>7</v>
      </c>
      <c r="T8">
        <v>0</v>
      </c>
      <c r="U8">
        <v>10</v>
      </c>
      <c r="V8">
        <v>0</v>
      </c>
      <c r="W8">
        <v>0</v>
      </c>
      <c r="X8">
        <v>10</v>
      </c>
      <c r="Y8">
        <v>10</v>
      </c>
      <c r="Z8">
        <v>4</v>
      </c>
      <c r="AA8" s="103">
        <v>41</v>
      </c>
      <c r="AB8">
        <v>10</v>
      </c>
      <c r="AC8">
        <v>10</v>
      </c>
      <c r="AD8">
        <v>7</v>
      </c>
      <c r="AE8">
        <v>0</v>
      </c>
      <c r="AF8">
        <v>0</v>
      </c>
      <c r="AG8">
        <v>0</v>
      </c>
      <c r="AH8">
        <v>0</v>
      </c>
      <c r="AI8">
        <v>0</v>
      </c>
      <c r="AJ8">
        <v>6</v>
      </c>
      <c r="AK8">
        <v>8</v>
      </c>
      <c r="AL8">
        <v>6</v>
      </c>
      <c r="AM8">
        <v>10</v>
      </c>
      <c r="AN8">
        <v>0</v>
      </c>
      <c r="AO8" s="101">
        <v>57</v>
      </c>
      <c r="AP8">
        <v>215</v>
      </c>
    </row>
    <row r="9" spans="1:43">
      <c r="A9" s="34" t="s">
        <v>326</v>
      </c>
      <c r="B9" s="34">
        <v>6</v>
      </c>
      <c r="C9" s="34">
        <v>10</v>
      </c>
      <c r="D9" s="34">
        <v>8</v>
      </c>
      <c r="E9" s="34">
        <v>6</v>
      </c>
      <c r="F9">
        <v>8</v>
      </c>
      <c r="G9">
        <v>10</v>
      </c>
      <c r="H9">
        <v>10</v>
      </c>
      <c r="I9">
        <v>10</v>
      </c>
      <c r="J9" s="107">
        <v>68</v>
      </c>
      <c r="K9">
        <v>10</v>
      </c>
      <c r="L9">
        <v>10</v>
      </c>
      <c r="M9" s="34">
        <v>6</v>
      </c>
      <c r="N9" s="34">
        <v>6</v>
      </c>
      <c r="O9">
        <v>10</v>
      </c>
      <c r="P9">
        <v>10</v>
      </c>
      <c r="Q9" s="105">
        <v>52</v>
      </c>
      <c r="R9">
        <v>0</v>
      </c>
      <c r="S9">
        <v>0</v>
      </c>
      <c r="T9">
        <v>0</v>
      </c>
      <c r="U9">
        <v>0</v>
      </c>
      <c r="V9">
        <v>10</v>
      </c>
      <c r="W9">
        <v>10</v>
      </c>
      <c r="X9">
        <v>10</v>
      </c>
      <c r="Y9">
        <v>10</v>
      </c>
      <c r="Z9">
        <v>0</v>
      </c>
      <c r="AA9" s="103">
        <v>40</v>
      </c>
      <c r="AB9">
        <v>0</v>
      </c>
      <c r="AC9">
        <v>0</v>
      </c>
      <c r="AD9">
        <v>0</v>
      </c>
      <c r="AE9">
        <v>10</v>
      </c>
      <c r="AF9">
        <v>10</v>
      </c>
      <c r="AG9">
        <v>0</v>
      </c>
      <c r="AH9">
        <v>0</v>
      </c>
      <c r="AI9">
        <v>10</v>
      </c>
      <c r="AJ9">
        <v>6</v>
      </c>
      <c r="AK9">
        <v>0</v>
      </c>
      <c r="AL9">
        <v>5</v>
      </c>
      <c r="AM9">
        <v>10</v>
      </c>
      <c r="AN9">
        <v>0</v>
      </c>
      <c r="AO9" s="101">
        <v>51</v>
      </c>
      <c r="AP9">
        <v>211</v>
      </c>
    </row>
    <row r="10" spans="1:43">
      <c r="A10" s="34" t="s">
        <v>405</v>
      </c>
      <c r="B10" s="34">
        <v>8</v>
      </c>
      <c r="C10" s="34">
        <v>0</v>
      </c>
      <c r="D10" s="34">
        <v>6</v>
      </c>
      <c r="E10" s="34">
        <v>6</v>
      </c>
      <c r="F10">
        <v>10</v>
      </c>
      <c r="G10">
        <v>10</v>
      </c>
      <c r="H10">
        <v>10</v>
      </c>
      <c r="I10">
        <v>10</v>
      </c>
      <c r="J10" s="107">
        <v>60</v>
      </c>
      <c r="K10">
        <v>10</v>
      </c>
      <c r="L10">
        <v>0</v>
      </c>
      <c r="M10" s="34">
        <v>6</v>
      </c>
      <c r="N10" s="34">
        <v>10</v>
      </c>
      <c r="O10">
        <v>10</v>
      </c>
      <c r="P10">
        <v>10</v>
      </c>
      <c r="Q10" s="105">
        <v>46</v>
      </c>
      <c r="R10">
        <v>0</v>
      </c>
      <c r="S10">
        <v>7</v>
      </c>
      <c r="T10">
        <v>0</v>
      </c>
      <c r="U10">
        <v>0</v>
      </c>
      <c r="V10">
        <v>10</v>
      </c>
      <c r="W10">
        <v>10</v>
      </c>
      <c r="X10">
        <v>10</v>
      </c>
      <c r="Y10">
        <v>10</v>
      </c>
      <c r="Z10">
        <v>0</v>
      </c>
      <c r="AA10" s="103">
        <v>47</v>
      </c>
      <c r="AB10">
        <v>0</v>
      </c>
      <c r="AC10">
        <v>0</v>
      </c>
      <c r="AD10">
        <v>0</v>
      </c>
      <c r="AE10">
        <v>10</v>
      </c>
      <c r="AF10">
        <v>10</v>
      </c>
      <c r="AG10">
        <v>0</v>
      </c>
      <c r="AH10">
        <v>10</v>
      </c>
      <c r="AI10">
        <v>5</v>
      </c>
      <c r="AJ10">
        <v>6</v>
      </c>
      <c r="AK10">
        <v>0</v>
      </c>
      <c r="AL10">
        <v>0</v>
      </c>
      <c r="AM10">
        <v>0</v>
      </c>
      <c r="AN10">
        <v>0</v>
      </c>
      <c r="AO10" s="101">
        <v>41</v>
      </c>
      <c r="AP10">
        <v>194</v>
      </c>
    </row>
    <row r="11" spans="1:43">
      <c r="A11" s="34" t="s">
        <v>406</v>
      </c>
      <c r="B11" s="34">
        <v>6</v>
      </c>
      <c r="C11" s="34">
        <v>10</v>
      </c>
      <c r="D11" s="34">
        <v>6</v>
      </c>
      <c r="E11" s="34">
        <v>6</v>
      </c>
      <c r="F11">
        <v>10</v>
      </c>
      <c r="G11">
        <v>10</v>
      </c>
      <c r="H11">
        <v>0</v>
      </c>
      <c r="I11">
        <v>10</v>
      </c>
      <c r="J11" s="107">
        <v>58</v>
      </c>
      <c r="K11">
        <v>10</v>
      </c>
      <c r="L11">
        <v>10</v>
      </c>
      <c r="M11" s="34">
        <v>6</v>
      </c>
      <c r="N11" s="34">
        <v>10</v>
      </c>
      <c r="O11">
        <v>10</v>
      </c>
      <c r="P11">
        <v>0</v>
      </c>
      <c r="Q11" s="105">
        <v>46</v>
      </c>
      <c r="R11">
        <v>0</v>
      </c>
      <c r="S11">
        <v>10</v>
      </c>
      <c r="T11">
        <v>10</v>
      </c>
      <c r="U11">
        <v>0</v>
      </c>
      <c r="V11">
        <v>10</v>
      </c>
      <c r="W11">
        <v>0</v>
      </c>
      <c r="X11">
        <v>10</v>
      </c>
      <c r="Y11">
        <v>10</v>
      </c>
      <c r="Z11">
        <v>5</v>
      </c>
      <c r="AA11" s="103">
        <v>55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6</v>
      </c>
      <c r="AK11">
        <v>0</v>
      </c>
      <c r="AL11">
        <v>0</v>
      </c>
      <c r="AM11">
        <v>0</v>
      </c>
      <c r="AN11">
        <v>0</v>
      </c>
      <c r="AO11" s="101">
        <v>6</v>
      </c>
      <c r="AP11">
        <v>165</v>
      </c>
    </row>
    <row r="12" spans="1:43">
      <c r="A12" s="34" t="s">
        <v>407</v>
      </c>
      <c r="B12" s="34">
        <v>6</v>
      </c>
      <c r="C12" s="34">
        <v>10</v>
      </c>
      <c r="D12" s="34">
        <v>0</v>
      </c>
      <c r="E12" s="34">
        <v>2</v>
      </c>
      <c r="F12">
        <v>6</v>
      </c>
      <c r="G12">
        <v>10</v>
      </c>
      <c r="H12">
        <v>10</v>
      </c>
      <c r="I12">
        <v>10</v>
      </c>
      <c r="J12" s="107">
        <v>54</v>
      </c>
      <c r="K12">
        <v>10</v>
      </c>
      <c r="L12">
        <v>10</v>
      </c>
      <c r="M12" s="34">
        <v>6</v>
      </c>
      <c r="N12" s="34">
        <v>6</v>
      </c>
      <c r="O12">
        <v>10</v>
      </c>
      <c r="P12">
        <v>0</v>
      </c>
      <c r="Q12" s="105">
        <v>42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10</v>
      </c>
      <c r="Z12">
        <v>4</v>
      </c>
      <c r="AA12" s="103">
        <v>14</v>
      </c>
      <c r="AB12">
        <v>10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10</v>
      </c>
      <c r="AJ12">
        <v>10</v>
      </c>
      <c r="AK12">
        <v>0</v>
      </c>
      <c r="AL12">
        <v>8</v>
      </c>
      <c r="AM12">
        <v>0</v>
      </c>
      <c r="AN12">
        <v>0</v>
      </c>
      <c r="AO12" s="101">
        <v>38</v>
      </c>
      <c r="AP12">
        <v>148</v>
      </c>
    </row>
    <row r="13" spans="1:43">
      <c r="A13" s="34" t="s">
        <v>452</v>
      </c>
      <c r="B13" s="34">
        <v>8</v>
      </c>
      <c r="C13" s="34">
        <v>10</v>
      </c>
      <c r="D13" s="34">
        <v>0</v>
      </c>
      <c r="E13" s="34">
        <v>6</v>
      </c>
      <c r="F13">
        <v>8</v>
      </c>
      <c r="G13">
        <v>10</v>
      </c>
      <c r="H13">
        <v>10</v>
      </c>
      <c r="I13">
        <v>10</v>
      </c>
      <c r="J13" s="107">
        <v>62</v>
      </c>
      <c r="K13">
        <v>10</v>
      </c>
      <c r="L13">
        <v>10</v>
      </c>
      <c r="M13" s="34">
        <v>4</v>
      </c>
      <c r="N13" s="34">
        <v>10</v>
      </c>
      <c r="O13">
        <v>10</v>
      </c>
      <c r="P13">
        <v>10</v>
      </c>
      <c r="Q13" s="105">
        <v>54</v>
      </c>
      <c r="R13">
        <v>0</v>
      </c>
      <c r="S13">
        <v>0</v>
      </c>
      <c r="T13">
        <v>0</v>
      </c>
      <c r="U13">
        <v>10</v>
      </c>
      <c r="V13">
        <v>10</v>
      </c>
      <c r="W13">
        <v>10</v>
      </c>
      <c r="X13">
        <v>0</v>
      </c>
      <c r="Y13">
        <v>0</v>
      </c>
      <c r="Z13">
        <v>8</v>
      </c>
      <c r="AA13" s="103">
        <v>38</v>
      </c>
      <c r="AB13">
        <v>0</v>
      </c>
      <c r="AC13">
        <v>0</v>
      </c>
      <c r="AD13">
        <v>7</v>
      </c>
      <c r="AE13">
        <v>0</v>
      </c>
      <c r="AF13">
        <v>10</v>
      </c>
      <c r="AG13">
        <v>10</v>
      </c>
      <c r="AH13">
        <v>10</v>
      </c>
      <c r="AI13">
        <v>0</v>
      </c>
      <c r="AJ13">
        <v>6</v>
      </c>
      <c r="AK13">
        <v>4</v>
      </c>
      <c r="AL13">
        <v>6</v>
      </c>
      <c r="AM13">
        <v>0</v>
      </c>
      <c r="AN13">
        <v>0</v>
      </c>
      <c r="AO13" s="101">
        <v>53</v>
      </c>
      <c r="AP13">
        <v>207</v>
      </c>
    </row>
    <row r="14" spans="1:43">
      <c r="A14" s="34" t="s">
        <v>394</v>
      </c>
      <c r="B14" s="34">
        <v>6</v>
      </c>
      <c r="C14" s="34">
        <v>10</v>
      </c>
      <c r="D14" s="34">
        <v>0</v>
      </c>
      <c r="E14" s="34">
        <v>4</v>
      </c>
      <c r="F14">
        <v>8</v>
      </c>
      <c r="G14">
        <v>0</v>
      </c>
      <c r="H14">
        <v>10</v>
      </c>
      <c r="I14">
        <v>10</v>
      </c>
      <c r="J14" s="107">
        <v>48</v>
      </c>
      <c r="K14">
        <v>10</v>
      </c>
      <c r="L14">
        <v>10</v>
      </c>
      <c r="M14" s="34">
        <v>10</v>
      </c>
      <c r="N14" s="34">
        <v>0</v>
      </c>
      <c r="O14">
        <v>10</v>
      </c>
      <c r="P14">
        <v>10</v>
      </c>
      <c r="Q14" s="105">
        <v>50</v>
      </c>
      <c r="R14">
        <v>0</v>
      </c>
      <c r="S14">
        <v>7</v>
      </c>
      <c r="T14">
        <v>0</v>
      </c>
      <c r="U14">
        <v>0</v>
      </c>
      <c r="V14">
        <v>0</v>
      </c>
      <c r="W14">
        <v>0</v>
      </c>
      <c r="X14">
        <v>0</v>
      </c>
      <c r="Y14">
        <v>10</v>
      </c>
      <c r="Z14">
        <v>5</v>
      </c>
      <c r="AA14" s="103">
        <v>22</v>
      </c>
      <c r="AB14">
        <v>10</v>
      </c>
      <c r="AC14">
        <v>0</v>
      </c>
      <c r="AD14">
        <v>0</v>
      </c>
      <c r="AE14">
        <v>10</v>
      </c>
      <c r="AF14">
        <v>10</v>
      </c>
      <c r="AG14">
        <v>0</v>
      </c>
      <c r="AH14">
        <v>10</v>
      </c>
      <c r="AI14">
        <v>5</v>
      </c>
      <c r="AJ14">
        <v>6</v>
      </c>
      <c r="AK14">
        <v>0</v>
      </c>
      <c r="AL14">
        <v>6</v>
      </c>
      <c r="AM14">
        <v>0</v>
      </c>
      <c r="AN14">
        <v>0</v>
      </c>
      <c r="AO14" s="101">
        <v>57</v>
      </c>
      <c r="AP14">
        <v>177</v>
      </c>
    </row>
    <row r="15" spans="1:43">
      <c r="A15" s="34" t="s">
        <v>453</v>
      </c>
      <c r="B15" s="34">
        <v>8</v>
      </c>
      <c r="C15" s="34">
        <v>0</v>
      </c>
      <c r="D15" s="34">
        <v>4</v>
      </c>
      <c r="E15" s="34">
        <v>0</v>
      </c>
      <c r="F15">
        <v>0</v>
      </c>
      <c r="G15">
        <v>0</v>
      </c>
      <c r="H15">
        <v>0</v>
      </c>
      <c r="I15">
        <v>0</v>
      </c>
      <c r="J15" s="107">
        <v>12</v>
      </c>
      <c r="K15">
        <v>0</v>
      </c>
      <c r="L15">
        <v>0</v>
      </c>
      <c r="M15" s="34">
        <v>0</v>
      </c>
      <c r="N15" s="34">
        <v>0</v>
      </c>
      <c r="O15">
        <v>0</v>
      </c>
      <c r="P15">
        <v>0</v>
      </c>
      <c r="Q15" s="105">
        <v>0</v>
      </c>
      <c r="R15">
        <v>0</v>
      </c>
      <c r="S15">
        <v>0</v>
      </c>
      <c r="T15">
        <v>0</v>
      </c>
      <c r="U15">
        <v>10</v>
      </c>
      <c r="V15">
        <v>10</v>
      </c>
      <c r="W15">
        <v>10</v>
      </c>
      <c r="X15">
        <v>0</v>
      </c>
      <c r="Y15">
        <v>0</v>
      </c>
      <c r="Z15">
        <v>5</v>
      </c>
      <c r="AA15" s="103">
        <v>35</v>
      </c>
      <c r="AB15">
        <v>0</v>
      </c>
      <c r="AC15">
        <v>0</v>
      </c>
      <c r="AD15">
        <v>0</v>
      </c>
      <c r="AE15">
        <v>10</v>
      </c>
      <c r="AF15">
        <v>10</v>
      </c>
      <c r="AG15">
        <v>0</v>
      </c>
      <c r="AH15">
        <v>0</v>
      </c>
      <c r="AI15">
        <v>0</v>
      </c>
      <c r="AJ15">
        <v>10</v>
      </c>
      <c r="AK15">
        <v>0</v>
      </c>
      <c r="AL15">
        <v>0</v>
      </c>
      <c r="AM15">
        <v>10</v>
      </c>
      <c r="AN15">
        <v>0</v>
      </c>
      <c r="AO15" s="101">
        <v>40</v>
      </c>
      <c r="AP15">
        <v>87</v>
      </c>
    </row>
    <row r="16" spans="1:43">
      <c r="A16" s="34" t="s">
        <v>352</v>
      </c>
      <c r="B16" s="34">
        <v>6</v>
      </c>
      <c r="C16" s="34">
        <v>10</v>
      </c>
      <c r="D16" s="34">
        <v>0</v>
      </c>
      <c r="E16" s="34">
        <v>4</v>
      </c>
      <c r="F16">
        <v>10</v>
      </c>
      <c r="G16">
        <v>10</v>
      </c>
      <c r="H16">
        <v>10</v>
      </c>
      <c r="I16">
        <v>10</v>
      </c>
      <c r="J16" s="107">
        <v>60</v>
      </c>
      <c r="K16">
        <v>10</v>
      </c>
      <c r="L16">
        <v>10</v>
      </c>
      <c r="M16" s="34">
        <v>6</v>
      </c>
      <c r="N16" s="34">
        <v>10</v>
      </c>
      <c r="O16">
        <v>10</v>
      </c>
      <c r="P16">
        <v>0</v>
      </c>
      <c r="Q16" s="105">
        <v>46</v>
      </c>
      <c r="R16">
        <v>10</v>
      </c>
      <c r="S16">
        <v>7</v>
      </c>
      <c r="T16">
        <v>7</v>
      </c>
      <c r="U16">
        <v>10</v>
      </c>
      <c r="V16">
        <v>10</v>
      </c>
      <c r="W16">
        <v>10</v>
      </c>
      <c r="X16">
        <v>10</v>
      </c>
      <c r="Y16">
        <v>10</v>
      </c>
      <c r="Z16">
        <v>0</v>
      </c>
      <c r="AA16" s="103">
        <v>74</v>
      </c>
      <c r="AB16">
        <v>10</v>
      </c>
      <c r="AC16">
        <v>10</v>
      </c>
      <c r="AD16">
        <v>10</v>
      </c>
      <c r="AE16">
        <v>10</v>
      </c>
      <c r="AF16">
        <v>10</v>
      </c>
      <c r="AG16">
        <v>10</v>
      </c>
      <c r="AH16">
        <v>10</v>
      </c>
      <c r="AI16">
        <v>10</v>
      </c>
      <c r="AJ16">
        <v>10</v>
      </c>
      <c r="AK16">
        <v>8</v>
      </c>
      <c r="AL16">
        <v>5</v>
      </c>
      <c r="AM16">
        <v>10</v>
      </c>
      <c r="AN16">
        <v>10</v>
      </c>
      <c r="AO16" s="101">
        <v>123</v>
      </c>
      <c r="AP16">
        <v>303</v>
      </c>
    </row>
    <row r="17" spans="1:42">
      <c r="A17" s="34" t="s">
        <v>408</v>
      </c>
      <c r="B17" s="34">
        <v>8</v>
      </c>
      <c r="C17" s="34">
        <v>10</v>
      </c>
      <c r="D17" s="34">
        <v>10</v>
      </c>
      <c r="E17" s="34">
        <v>6</v>
      </c>
      <c r="F17">
        <v>10</v>
      </c>
      <c r="G17">
        <v>10</v>
      </c>
      <c r="H17">
        <v>10</v>
      </c>
      <c r="I17">
        <v>10</v>
      </c>
      <c r="J17" s="107">
        <v>74</v>
      </c>
      <c r="K17">
        <v>10</v>
      </c>
      <c r="L17">
        <v>10</v>
      </c>
      <c r="M17" s="34">
        <v>6</v>
      </c>
      <c r="N17" s="34">
        <v>6</v>
      </c>
      <c r="O17">
        <v>10</v>
      </c>
      <c r="P17">
        <v>10</v>
      </c>
      <c r="Q17" s="105">
        <v>52</v>
      </c>
      <c r="R17">
        <v>10</v>
      </c>
      <c r="S17">
        <v>10</v>
      </c>
      <c r="T17">
        <v>7</v>
      </c>
      <c r="U17">
        <v>10</v>
      </c>
      <c r="V17">
        <v>10</v>
      </c>
      <c r="W17">
        <v>10</v>
      </c>
      <c r="X17">
        <v>10</v>
      </c>
      <c r="Y17">
        <v>10</v>
      </c>
      <c r="Z17">
        <v>0</v>
      </c>
      <c r="AA17" s="103">
        <v>77</v>
      </c>
      <c r="AB17">
        <v>10</v>
      </c>
      <c r="AC17">
        <v>10</v>
      </c>
      <c r="AD17">
        <v>10</v>
      </c>
      <c r="AE17">
        <v>10</v>
      </c>
      <c r="AF17">
        <v>10</v>
      </c>
      <c r="AG17">
        <v>10</v>
      </c>
      <c r="AH17">
        <v>10</v>
      </c>
      <c r="AI17">
        <v>10</v>
      </c>
      <c r="AJ17">
        <v>6</v>
      </c>
      <c r="AK17">
        <v>6</v>
      </c>
      <c r="AL17">
        <v>5</v>
      </c>
      <c r="AM17">
        <v>10</v>
      </c>
      <c r="AN17">
        <v>0</v>
      </c>
      <c r="AO17" s="101">
        <v>107</v>
      </c>
      <c r="AP17">
        <v>310</v>
      </c>
    </row>
    <row r="18" spans="1:42">
      <c r="A18" s="34" t="s">
        <v>409</v>
      </c>
      <c r="B18" s="34">
        <v>8</v>
      </c>
      <c r="C18" s="34">
        <v>10</v>
      </c>
      <c r="D18" s="34">
        <v>8</v>
      </c>
      <c r="E18" s="34">
        <v>6</v>
      </c>
      <c r="F18">
        <v>10</v>
      </c>
      <c r="G18">
        <v>0</v>
      </c>
      <c r="H18">
        <v>10</v>
      </c>
      <c r="I18">
        <v>10</v>
      </c>
      <c r="J18" s="107">
        <v>62</v>
      </c>
      <c r="K18">
        <v>10</v>
      </c>
      <c r="L18">
        <v>10</v>
      </c>
      <c r="M18" s="34">
        <v>4</v>
      </c>
      <c r="N18" s="34">
        <v>6</v>
      </c>
      <c r="O18">
        <v>10</v>
      </c>
      <c r="P18">
        <v>10</v>
      </c>
      <c r="Q18" s="105">
        <v>50</v>
      </c>
      <c r="R18">
        <v>10</v>
      </c>
      <c r="S18">
        <v>10</v>
      </c>
      <c r="T18">
        <v>10</v>
      </c>
      <c r="U18">
        <v>10</v>
      </c>
      <c r="V18">
        <v>10</v>
      </c>
      <c r="W18">
        <v>10</v>
      </c>
      <c r="X18">
        <v>10</v>
      </c>
      <c r="Y18">
        <v>10</v>
      </c>
      <c r="Z18">
        <v>5</v>
      </c>
      <c r="AA18" s="103">
        <v>85</v>
      </c>
      <c r="AB18">
        <v>10</v>
      </c>
      <c r="AC18">
        <v>10</v>
      </c>
      <c r="AD18">
        <v>10</v>
      </c>
      <c r="AE18">
        <v>10</v>
      </c>
      <c r="AF18">
        <v>10</v>
      </c>
      <c r="AG18">
        <v>10</v>
      </c>
      <c r="AH18">
        <v>10</v>
      </c>
      <c r="AI18">
        <v>10</v>
      </c>
      <c r="AJ18">
        <v>10</v>
      </c>
      <c r="AK18">
        <v>4</v>
      </c>
      <c r="AL18">
        <v>5</v>
      </c>
      <c r="AM18">
        <v>10</v>
      </c>
      <c r="AN18">
        <v>6</v>
      </c>
      <c r="AO18" s="101">
        <v>115</v>
      </c>
      <c r="AP18">
        <v>312</v>
      </c>
    </row>
    <row r="19" spans="1:42">
      <c r="A19" s="34" t="s">
        <v>410</v>
      </c>
      <c r="B19" s="34">
        <v>0</v>
      </c>
      <c r="C19" s="34">
        <v>0</v>
      </c>
      <c r="D19" s="34">
        <v>0</v>
      </c>
      <c r="E19" s="34">
        <v>0</v>
      </c>
      <c r="F19">
        <v>0</v>
      </c>
      <c r="G19">
        <v>0</v>
      </c>
      <c r="H19">
        <v>0</v>
      </c>
      <c r="I19">
        <v>0</v>
      </c>
      <c r="J19" s="107">
        <v>0</v>
      </c>
      <c r="K19">
        <v>0</v>
      </c>
      <c r="L19">
        <v>0</v>
      </c>
      <c r="M19" s="34">
        <v>0</v>
      </c>
      <c r="N19" s="34">
        <v>0</v>
      </c>
      <c r="O19">
        <v>0</v>
      </c>
      <c r="P19">
        <v>0</v>
      </c>
      <c r="Q19" s="105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4</v>
      </c>
      <c r="AA19" s="103">
        <v>4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 s="101">
        <v>0</v>
      </c>
      <c r="AP19">
        <v>4</v>
      </c>
    </row>
    <row r="20" spans="1:42">
      <c r="A20" s="34" t="s">
        <v>411</v>
      </c>
      <c r="B20" s="34">
        <v>8</v>
      </c>
      <c r="C20" s="34">
        <v>10</v>
      </c>
      <c r="D20" s="34">
        <v>12</v>
      </c>
      <c r="E20" s="34">
        <v>6</v>
      </c>
      <c r="F20">
        <v>10</v>
      </c>
      <c r="G20">
        <v>10</v>
      </c>
      <c r="H20">
        <v>10</v>
      </c>
      <c r="I20">
        <v>10</v>
      </c>
      <c r="J20" s="107">
        <v>76</v>
      </c>
      <c r="K20">
        <v>10</v>
      </c>
      <c r="L20">
        <v>10</v>
      </c>
      <c r="M20" s="34">
        <v>0</v>
      </c>
      <c r="N20" s="34">
        <v>6</v>
      </c>
      <c r="O20">
        <v>10</v>
      </c>
      <c r="P20">
        <v>10</v>
      </c>
      <c r="Q20" s="105">
        <v>46</v>
      </c>
      <c r="R20">
        <v>10</v>
      </c>
      <c r="S20">
        <v>7</v>
      </c>
      <c r="T20">
        <v>0</v>
      </c>
      <c r="U20">
        <v>10</v>
      </c>
      <c r="V20">
        <v>10</v>
      </c>
      <c r="W20">
        <v>10</v>
      </c>
      <c r="X20">
        <v>10</v>
      </c>
      <c r="Y20">
        <v>10</v>
      </c>
      <c r="Z20">
        <v>0</v>
      </c>
      <c r="AA20" s="103">
        <v>67</v>
      </c>
      <c r="AB20">
        <v>10</v>
      </c>
      <c r="AC20">
        <v>10</v>
      </c>
      <c r="AD20">
        <v>7</v>
      </c>
      <c r="AE20">
        <v>10</v>
      </c>
      <c r="AF20">
        <v>10</v>
      </c>
      <c r="AG20">
        <v>10</v>
      </c>
      <c r="AH20">
        <v>10</v>
      </c>
      <c r="AI20">
        <v>10</v>
      </c>
      <c r="AJ20">
        <v>6</v>
      </c>
      <c r="AK20">
        <v>6</v>
      </c>
      <c r="AL20">
        <v>8</v>
      </c>
      <c r="AM20">
        <v>10</v>
      </c>
      <c r="AN20">
        <v>7</v>
      </c>
      <c r="AO20" s="101">
        <v>114</v>
      </c>
      <c r="AP20">
        <v>303</v>
      </c>
    </row>
    <row r="21" spans="1:42">
      <c r="A21" s="34" t="s">
        <v>337</v>
      </c>
      <c r="B21" s="34">
        <v>6</v>
      </c>
      <c r="C21" s="34">
        <v>10</v>
      </c>
      <c r="D21" s="34">
        <v>6</v>
      </c>
      <c r="E21" s="34">
        <v>6</v>
      </c>
      <c r="F21">
        <v>10</v>
      </c>
      <c r="G21">
        <v>10</v>
      </c>
      <c r="H21">
        <v>10</v>
      </c>
      <c r="I21">
        <v>10</v>
      </c>
      <c r="J21" s="107">
        <v>68</v>
      </c>
      <c r="K21">
        <v>10</v>
      </c>
      <c r="L21">
        <v>10</v>
      </c>
      <c r="M21" s="34">
        <v>6</v>
      </c>
      <c r="N21" s="34">
        <v>10</v>
      </c>
      <c r="O21">
        <v>10</v>
      </c>
      <c r="P21">
        <v>10</v>
      </c>
      <c r="Q21" s="105">
        <v>56</v>
      </c>
      <c r="R21">
        <v>0</v>
      </c>
      <c r="S21">
        <v>0</v>
      </c>
      <c r="T21">
        <v>0</v>
      </c>
      <c r="U21">
        <v>10</v>
      </c>
      <c r="V21">
        <v>10</v>
      </c>
      <c r="W21">
        <v>10</v>
      </c>
      <c r="X21">
        <v>10</v>
      </c>
      <c r="Y21">
        <v>10</v>
      </c>
      <c r="Z21">
        <v>0</v>
      </c>
      <c r="AA21" s="103">
        <v>50</v>
      </c>
      <c r="AB21">
        <v>10</v>
      </c>
      <c r="AC21">
        <v>10</v>
      </c>
      <c r="AD21">
        <v>0</v>
      </c>
      <c r="AE21">
        <v>0</v>
      </c>
      <c r="AF21">
        <v>0</v>
      </c>
      <c r="AG21">
        <v>10</v>
      </c>
      <c r="AH21">
        <v>10</v>
      </c>
      <c r="AI21">
        <v>0</v>
      </c>
      <c r="AJ21">
        <v>6</v>
      </c>
      <c r="AK21">
        <v>0</v>
      </c>
      <c r="AL21">
        <v>6</v>
      </c>
      <c r="AM21">
        <v>10</v>
      </c>
      <c r="AN21">
        <v>0</v>
      </c>
      <c r="AO21" s="101">
        <v>62</v>
      </c>
      <c r="AP21">
        <v>236</v>
      </c>
    </row>
    <row r="22" spans="1:42">
      <c r="A22" s="34" t="s">
        <v>338</v>
      </c>
      <c r="B22" s="34">
        <v>8</v>
      </c>
      <c r="C22" s="34">
        <v>10</v>
      </c>
      <c r="D22" s="34">
        <v>14</v>
      </c>
      <c r="E22" s="34">
        <v>6</v>
      </c>
      <c r="F22">
        <v>6</v>
      </c>
      <c r="G22">
        <v>10</v>
      </c>
      <c r="H22">
        <v>10</v>
      </c>
      <c r="I22">
        <v>10</v>
      </c>
      <c r="J22" s="107">
        <v>74</v>
      </c>
      <c r="K22">
        <v>10</v>
      </c>
      <c r="L22">
        <v>10</v>
      </c>
      <c r="M22" s="34">
        <v>4</v>
      </c>
      <c r="N22" s="34">
        <v>10</v>
      </c>
      <c r="O22">
        <v>10</v>
      </c>
      <c r="P22">
        <v>10</v>
      </c>
      <c r="Q22" s="105">
        <v>54</v>
      </c>
      <c r="R22">
        <v>0</v>
      </c>
      <c r="S22">
        <v>7</v>
      </c>
      <c r="T22">
        <v>0</v>
      </c>
      <c r="U22">
        <v>10</v>
      </c>
      <c r="V22">
        <v>10</v>
      </c>
      <c r="W22">
        <v>10</v>
      </c>
      <c r="X22">
        <v>10</v>
      </c>
      <c r="Y22">
        <v>10</v>
      </c>
      <c r="Z22">
        <v>0</v>
      </c>
      <c r="AA22" s="103">
        <v>57</v>
      </c>
      <c r="AB22">
        <v>0</v>
      </c>
      <c r="AC22">
        <v>0</v>
      </c>
      <c r="AD22">
        <v>7</v>
      </c>
      <c r="AE22">
        <v>0</v>
      </c>
      <c r="AF22">
        <v>10</v>
      </c>
      <c r="AG22">
        <v>10</v>
      </c>
      <c r="AH22">
        <v>10</v>
      </c>
      <c r="AI22">
        <v>5</v>
      </c>
      <c r="AJ22">
        <v>6</v>
      </c>
      <c r="AK22">
        <v>8</v>
      </c>
      <c r="AL22">
        <v>8</v>
      </c>
      <c r="AM22">
        <v>0</v>
      </c>
      <c r="AN22">
        <v>0</v>
      </c>
      <c r="AO22" s="101">
        <v>64</v>
      </c>
      <c r="AP22">
        <v>249</v>
      </c>
    </row>
    <row r="23" spans="1:42">
      <c r="A23" s="34" t="s">
        <v>339</v>
      </c>
      <c r="B23" s="34">
        <v>8</v>
      </c>
      <c r="C23" s="34">
        <v>10</v>
      </c>
      <c r="D23" s="34">
        <v>16</v>
      </c>
      <c r="E23" s="34">
        <v>6</v>
      </c>
      <c r="F23">
        <v>10</v>
      </c>
      <c r="G23">
        <v>10</v>
      </c>
      <c r="H23">
        <v>10</v>
      </c>
      <c r="I23">
        <v>10</v>
      </c>
      <c r="J23" s="107">
        <v>80</v>
      </c>
      <c r="K23">
        <v>10</v>
      </c>
      <c r="L23">
        <v>10</v>
      </c>
      <c r="M23" s="34">
        <v>4</v>
      </c>
      <c r="N23" s="34">
        <v>6</v>
      </c>
      <c r="O23">
        <v>10</v>
      </c>
      <c r="P23">
        <v>10</v>
      </c>
      <c r="Q23" s="105">
        <v>50</v>
      </c>
      <c r="R23">
        <v>10</v>
      </c>
      <c r="S23">
        <v>7</v>
      </c>
      <c r="T23">
        <v>7</v>
      </c>
      <c r="U23">
        <v>10</v>
      </c>
      <c r="V23">
        <v>10</v>
      </c>
      <c r="W23">
        <v>0</v>
      </c>
      <c r="X23">
        <v>10</v>
      </c>
      <c r="Y23">
        <v>10</v>
      </c>
      <c r="Z23">
        <v>9</v>
      </c>
      <c r="AA23" s="103">
        <v>73</v>
      </c>
      <c r="AB23">
        <v>10</v>
      </c>
      <c r="AC23">
        <v>10</v>
      </c>
      <c r="AD23">
        <v>7</v>
      </c>
      <c r="AE23">
        <v>10</v>
      </c>
      <c r="AF23">
        <v>10</v>
      </c>
      <c r="AG23">
        <v>0</v>
      </c>
      <c r="AH23">
        <v>10</v>
      </c>
      <c r="AI23">
        <v>10</v>
      </c>
      <c r="AJ23">
        <v>6</v>
      </c>
      <c r="AK23">
        <v>0</v>
      </c>
      <c r="AL23">
        <v>5</v>
      </c>
      <c r="AM23">
        <v>10</v>
      </c>
      <c r="AN23">
        <v>9</v>
      </c>
      <c r="AO23" s="101">
        <v>97</v>
      </c>
      <c r="AP23">
        <v>300</v>
      </c>
    </row>
    <row r="24" spans="1:42">
      <c r="A24" s="34" t="s">
        <v>248</v>
      </c>
      <c r="B24" s="34">
        <v>10</v>
      </c>
      <c r="C24" s="34">
        <v>10</v>
      </c>
      <c r="D24" s="34">
        <v>16</v>
      </c>
      <c r="E24" s="34">
        <v>6</v>
      </c>
      <c r="F24">
        <v>8</v>
      </c>
      <c r="G24">
        <v>10</v>
      </c>
      <c r="H24">
        <v>10</v>
      </c>
      <c r="I24">
        <v>10</v>
      </c>
      <c r="J24" s="107">
        <v>80</v>
      </c>
      <c r="K24">
        <v>10</v>
      </c>
      <c r="L24">
        <v>10</v>
      </c>
      <c r="M24" s="34">
        <v>6</v>
      </c>
      <c r="N24" s="34">
        <v>10</v>
      </c>
      <c r="O24">
        <v>10</v>
      </c>
      <c r="P24">
        <v>10</v>
      </c>
      <c r="Q24" s="105">
        <v>56</v>
      </c>
      <c r="R24">
        <v>10</v>
      </c>
      <c r="S24">
        <v>7</v>
      </c>
      <c r="T24">
        <v>7</v>
      </c>
      <c r="U24">
        <v>10</v>
      </c>
      <c r="V24">
        <v>10</v>
      </c>
      <c r="W24">
        <v>10</v>
      </c>
      <c r="X24">
        <v>10</v>
      </c>
      <c r="Y24">
        <v>0</v>
      </c>
      <c r="Z24">
        <v>7</v>
      </c>
      <c r="AA24" s="103">
        <v>71</v>
      </c>
      <c r="AB24">
        <v>10</v>
      </c>
      <c r="AC24">
        <v>10</v>
      </c>
      <c r="AD24">
        <v>7</v>
      </c>
      <c r="AE24">
        <v>10</v>
      </c>
      <c r="AF24">
        <v>10</v>
      </c>
      <c r="AG24">
        <v>10</v>
      </c>
      <c r="AH24">
        <v>10</v>
      </c>
      <c r="AI24">
        <v>10</v>
      </c>
      <c r="AJ24">
        <v>6</v>
      </c>
      <c r="AK24">
        <v>8</v>
      </c>
      <c r="AL24">
        <v>8</v>
      </c>
      <c r="AM24">
        <v>10</v>
      </c>
      <c r="AN24">
        <v>7</v>
      </c>
      <c r="AO24" s="101">
        <v>116</v>
      </c>
      <c r="AP24">
        <v>323</v>
      </c>
    </row>
    <row r="25" spans="1:42">
      <c r="A25" s="34" t="s">
        <v>353</v>
      </c>
      <c r="B25" s="34">
        <v>6</v>
      </c>
      <c r="C25" s="34">
        <v>10</v>
      </c>
      <c r="D25" s="34">
        <v>8</v>
      </c>
      <c r="E25" s="34">
        <v>6</v>
      </c>
      <c r="F25">
        <v>8</v>
      </c>
      <c r="G25">
        <v>10</v>
      </c>
      <c r="H25">
        <v>10</v>
      </c>
      <c r="I25">
        <v>10</v>
      </c>
      <c r="J25" s="107">
        <v>68</v>
      </c>
      <c r="K25">
        <v>10</v>
      </c>
      <c r="L25">
        <v>10</v>
      </c>
      <c r="M25" s="34">
        <v>6</v>
      </c>
      <c r="N25" s="34">
        <v>10</v>
      </c>
      <c r="O25">
        <v>10</v>
      </c>
      <c r="P25">
        <v>10</v>
      </c>
      <c r="Q25" s="105">
        <v>56</v>
      </c>
      <c r="R25">
        <v>0</v>
      </c>
      <c r="S25">
        <v>10</v>
      </c>
      <c r="T25">
        <v>7</v>
      </c>
      <c r="U25">
        <v>10</v>
      </c>
      <c r="V25">
        <v>10</v>
      </c>
      <c r="W25">
        <v>10</v>
      </c>
      <c r="X25">
        <v>10</v>
      </c>
      <c r="Y25">
        <v>10</v>
      </c>
      <c r="Z25">
        <v>8</v>
      </c>
      <c r="AA25" s="103">
        <v>75</v>
      </c>
      <c r="AB25">
        <v>10</v>
      </c>
      <c r="AC25">
        <v>10</v>
      </c>
      <c r="AD25">
        <v>10</v>
      </c>
      <c r="AE25">
        <v>10</v>
      </c>
      <c r="AF25">
        <v>10</v>
      </c>
      <c r="AG25">
        <v>10</v>
      </c>
      <c r="AH25">
        <v>10</v>
      </c>
      <c r="AI25">
        <v>10</v>
      </c>
      <c r="AJ25">
        <v>8</v>
      </c>
      <c r="AK25">
        <v>6</v>
      </c>
      <c r="AL25">
        <v>5</v>
      </c>
      <c r="AM25">
        <v>10</v>
      </c>
      <c r="AN25">
        <v>10</v>
      </c>
      <c r="AO25" s="101">
        <v>119</v>
      </c>
      <c r="AP25">
        <v>318</v>
      </c>
    </row>
    <row r="26" spans="1:42">
      <c r="A26" s="34" t="s">
        <v>249</v>
      </c>
      <c r="B26" s="34">
        <v>8</v>
      </c>
      <c r="C26" s="34">
        <v>10</v>
      </c>
      <c r="D26" s="34">
        <v>8</v>
      </c>
      <c r="E26" s="34">
        <v>6</v>
      </c>
      <c r="F26">
        <v>8</v>
      </c>
      <c r="G26">
        <v>0</v>
      </c>
      <c r="H26">
        <v>10</v>
      </c>
      <c r="I26">
        <v>10</v>
      </c>
      <c r="J26" s="107">
        <v>60</v>
      </c>
      <c r="K26">
        <v>10</v>
      </c>
      <c r="L26">
        <v>10</v>
      </c>
      <c r="M26" s="34">
        <v>6</v>
      </c>
      <c r="N26" s="34">
        <v>6</v>
      </c>
      <c r="O26">
        <v>10</v>
      </c>
      <c r="P26">
        <v>10</v>
      </c>
      <c r="Q26" s="105">
        <v>52</v>
      </c>
      <c r="R26">
        <v>0</v>
      </c>
      <c r="S26">
        <v>10</v>
      </c>
      <c r="T26">
        <v>10</v>
      </c>
      <c r="U26">
        <v>10</v>
      </c>
      <c r="V26">
        <v>10</v>
      </c>
      <c r="W26">
        <v>0</v>
      </c>
      <c r="X26">
        <v>10</v>
      </c>
      <c r="Y26">
        <v>10</v>
      </c>
      <c r="Z26">
        <v>0</v>
      </c>
      <c r="AA26" s="103">
        <v>60</v>
      </c>
      <c r="AB26">
        <v>10</v>
      </c>
      <c r="AC26">
        <v>10</v>
      </c>
      <c r="AD26">
        <v>7</v>
      </c>
      <c r="AE26">
        <v>10</v>
      </c>
      <c r="AF26">
        <v>10</v>
      </c>
      <c r="AG26">
        <v>10</v>
      </c>
      <c r="AH26">
        <v>10</v>
      </c>
      <c r="AI26">
        <v>10</v>
      </c>
      <c r="AJ26">
        <v>10</v>
      </c>
      <c r="AK26">
        <v>6</v>
      </c>
      <c r="AL26">
        <v>0</v>
      </c>
      <c r="AM26">
        <v>10</v>
      </c>
      <c r="AN26">
        <v>0</v>
      </c>
      <c r="AO26" s="101">
        <v>103</v>
      </c>
      <c r="AP26">
        <v>275</v>
      </c>
    </row>
    <row r="27" spans="1:42">
      <c r="A27" s="34" t="s">
        <v>250</v>
      </c>
      <c r="B27" s="34">
        <v>8</v>
      </c>
      <c r="C27" s="34">
        <v>10</v>
      </c>
      <c r="D27" s="34">
        <v>14</v>
      </c>
      <c r="E27" s="34">
        <v>6</v>
      </c>
      <c r="F27">
        <v>10</v>
      </c>
      <c r="G27">
        <v>10</v>
      </c>
      <c r="H27">
        <v>10</v>
      </c>
      <c r="I27">
        <v>10</v>
      </c>
      <c r="J27" s="107">
        <v>78</v>
      </c>
      <c r="K27">
        <v>10</v>
      </c>
      <c r="L27">
        <v>10</v>
      </c>
      <c r="M27" s="34">
        <v>6</v>
      </c>
      <c r="N27" s="34">
        <v>6</v>
      </c>
      <c r="O27">
        <v>10</v>
      </c>
      <c r="P27">
        <v>10</v>
      </c>
      <c r="Q27" s="105">
        <v>52</v>
      </c>
      <c r="R27">
        <v>10</v>
      </c>
      <c r="S27">
        <v>7</v>
      </c>
      <c r="T27">
        <v>10</v>
      </c>
      <c r="U27">
        <v>10</v>
      </c>
      <c r="V27">
        <v>10</v>
      </c>
      <c r="W27">
        <v>10</v>
      </c>
      <c r="X27">
        <v>10</v>
      </c>
      <c r="Y27">
        <v>10</v>
      </c>
      <c r="Z27">
        <v>0</v>
      </c>
      <c r="AA27" s="103">
        <v>77</v>
      </c>
      <c r="AB27">
        <v>10</v>
      </c>
      <c r="AC27">
        <v>10</v>
      </c>
      <c r="AD27">
        <v>7</v>
      </c>
      <c r="AE27">
        <v>0</v>
      </c>
      <c r="AF27">
        <v>10</v>
      </c>
      <c r="AG27">
        <v>10</v>
      </c>
      <c r="AH27">
        <v>10</v>
      </c>
      <c r="AI27">
        <v>5</v>
      </c>
      <c r="AJ27">
        <v>10</v>
      </c>
      <c r="AK27">
        <v>0</v>
      </c>
      <c r="AL27">
        <v>5</v>
      </c>
      <c r="AM27">
        <v>10</v>
      </c>
      <c r="AN27">
        <v>0</v>
      </c>
      <c r="AO27" s="101">
        <v>87</v>
      </c>
      <c r="AP27">
        <v>294</v>
      </c>
    </row>
    <row r="28" spans="1:42">
      <c r="A28" s="34" t="s">
        <v>387</v>
      </c>
      <c r="B28" s="34">
        <v>8</v>
      </c>
      <c r="C28" s="34">
        <v>10</v>
      </c>
      <c r="D28" s="34">
        <v>8</v>
      </c>
      <c r="E28" s="34">
        <v>6</v>
      </c>
      <c r="F28">
        <v>0</v>
      </c>
      <c r="G28">
        <v>0</v>
      </c>
      <c r="H28">
        <v>10</v>
      </c>
      <c r="I28">
        <v>10</v>
      </c>
      <c r="J28" s="107">
        <v>52</v>
      </c>
      <c r="K28">
        <v>10</v>
      </c>
      <c r="L28">
        <v>10</v>
      </c>
      <c r="M28" s="34">
        <v>6</v>
      </c>
      <c r="N28" s="34">
        <v>6</v>
      </c>
      <c r="O28">
        <v>10</v>
      </c>
      <c r="P28">
        <v>0</v>
      </c>
      <c r="Q28" s="105">
        <v>42</v>
      </c>
      <c r="R28">
        <v>10</v>
      </c>
      <c r="S28">
        <v>10</v>
      </c>
      <c r="T28">
        <v>10</v>
      </c>
      <c r="U28">
        <v>10</v>
      </c>
      <c r="V28">
        <v>10</v>
      </c>
      <c r="W28">
        <v>10</v>
      </c>
      <c r="X28">
        <v>10</v>
      </c>
      <c r="Y28">
        <v>10</v>
      </c>
      <c r="Z28">
        <v>4</v>
      </c>
      <c r="AA28" s="103">
        <v>84</v>
      </c>
      <c r="AB28">
        <v>10</v>
      </c>
      <c r="AC28">
        <v>10</v>
      </c>
      <c r="AD28">
        <v>10</v>
      </c>
      <c r="AE28">
        <v>10</v>
      </c>
      <c r="AF28">
        <v>0</v>
      </c>
      <c r="AG28">
        <v>10</v>
      </c>
      <c r="AH28">
        <v>10</v>
      </c>
      <c r="AI28">
        <v>10</v>
      </c>
      <c r="AJ28">
        <v>6</v>
      </c>
      <c r="AK28">
        <v>0</v>
      </c>
      <c r="AL28">
        <v>5</v>
      </c>
      <c r="AM28">
        <v>10</v>
      </c>
      <c r="AN28">
        <v>0</v>
      </c>
      <c r="AO28" s="101">
        <v>91</v>
      </c>
      <c r="AP28">
        <v>269</v>
      </c>
    </row>
    <row r="29" spans="1:42">
      <c r="A29" s="34" t="s">
        <v>426</v>
      </c>
      <c r="B29" s="34">
        <v>6</v>
      </c>
      <c r="C29" s="34">
        <v>10</v>
      </c>
      <c r="D29" s="34">
        <v>0</v>
      </c>
      <c r="E29" s="34">
        <v>6</v>
      </c>
      <c r="F29">
        <v>6</v>
      </c>
      <c r="G29">
        <v>0</v>
      </c>
      <c r="H29">
        <v>10</v>
      </c>
      <c r="I29">
        <v>10</v>
      </c>
      <c r="J29" s="107">
        <v>48</v>
      </c>
      <c r="K29">
        <v>10</v>
      </c>
      <c r="L29">
        <v>10</v>
      </c>
      <c r="M29" s="34">
        <v>6</v>
      </c>
      <c r="N29" s="34">
        <v>10</v>
      </c>
      <c r="O29">
        <v>10</v>
      </c>
      <c r="P29">
        <v>10</v>
      </c>
      <c r="Q29" s="105">
        <v>56</v>
      </c>
      <c r="R29">
        <v>10</v>
      </c>
      <c r="S29">
        <v>0</v>
      </c>
      <c r="T29">
        <v>7</v>
      </c>
      <c r="U29">
        <v>10</v>
      </c>
      <c r="V29">
        <v>10</v>
      </c>
      <c r="W29">
        <v>10</v>
      </c>
      <c r="X29">
        <v>10</v>
      </c>
      <c r="Y29">
        <v>10</v>
      </c>
      <c r="Z29">
        <v>0</v>
      </c>
      <c r="AA29" s="103">
        <v>67</v>
      </c>
      <c r="AB29">
        <v>10</v>
      </c>
      <c r="AC29">
        <v>10</v>
      </c>
      <c r="AD29">
        <v>10</v>
      </c>
      <c r="AE29">
        <v>10</v>
      </c>
      <c r="AF29">
        <v>10</v>
      </c>
      <c r="AG29">
        <v>10</v>
      </c>
      <c r="AH29">
        <v>10</v>
      </c>
      <c r="AI29">
        <v>10</v>
      </c>
      <c r="AJ29">
        <v>10</v>
      </c>
      <c r="AK29">
        <v>6</v>
      </c>
      <c r="AL29">
        <v>5</v>
      </c>
      <c r="AM29">
        <v>10</v>
      </c>
      <c r="AN29">
        <v>10</v>
      </c>
      <c r="AO29" s="101">
        <v>121</v>
      </c>
      <c r="AP29">
        <v>292</v>
      </c>
    </row>
    <row r="30" spans="1:42">
      <c r="A30" s="34" t="s">
        <v>342</v>
      </c>
      <c r="B30" s="34">
        <v>10</v>
      </c>
      <c r="C30" s="34">
        <v>10</v>
      </c>
      <c r="D30" s="34">
        <v>14</v>
      </c>
      <c r="E30" s="34">
        <v>6</v>
      </c>
      <c r="F30">
        <v>10</v>
      </c>
      <c r="G30">
        <v>0</v>
      </c>
      <c r="H30">
        <v>10</v>
      </c>
      <c r="I30">
        <v>10</v>
      </c>
      <c r="J30" s="107">
        <v>70</v>
      </c>
      <c r="K30">
        <v>10</v>
      </c>
      <c r="L30">
        <v>10</v>
      </c>
      <c r="M30" s="34">
        <v>6</v>
      </c>
      <c r="N30" s="34">
        <v>0</v>
      </c>
      <c r="O30">
        <v>10</v>
      </c>
      <c r="P30">
        <v>10</v>
      </c>
      <c r="Q30" s="105">
        <v>46</v>
      </c>
      <c r="R30">
        <v>10</v>
      </c>
      <c r="S30">
        <v>7</v>
      </c>
      <c r="T30">
        <v>10</v>
      </c>
      <c r="U30">
        <v>10</v>
      </c>
      <c r="V30">
        <v>10</v>
      </c>
      <c r="W30">
        <v>10</v>
      </c>
      <c r="X30">
        <v>10</v>
      </c>
      <c r="Y30">
        <v>10</v>
      </c>
      <c r="Z30">
        <v>0</v>
      </c>
      <c r="AA30" s="103">
        <v>77</v>
      </c>
      <c r="AB30">
        <v>10</v>
      </c>
      <c r="AC30">
        <v>10</v>
      </c>
      <c r="AD30">
        <v>10</v>
      </c>
      <c r="AE30">
        <v>10</v>
      </c>
      <c r="AF30">
        <v>10</v>
      </c>
      <c r="AG30">
        <v>10</v>
      </c>
      <c r="AH30">
        <v>10</v>
      </c>
      <c r="AI30">
        <v>10</v>
      </c>
      <c r="AJ30">
        <v>10</v>
      </c>
      <c r="AK30">
        <v>6</v>
      </c>
      <c r="AL30">
        <v>5</v>
      </c>
      <c r="AM30">
        <v>0</v>
      </c>
      <c r="AN30">
        <v>0</v>
      </c>
      <c r="AO30" s="101">
        <v>101</v>
      </c>
      <c r="AP30">
        <v>294</v>
      </c>
    </row>
    <row r="31" spans="1:42">
      <c r="A31" s="34" t="s">
        <v>343</v>
      </c>
      <c r="B31" s="34">
        <v>8</v>
      </c>
      <c r="C31" s="34">
        <v>0</v>
      </c>
      <c r="D31" s="34">
        <v>0</v>
      </c>
      <c r="E31" s="34">
        <v>4</v>
      </c>
      <c r="F31">
        <v>6</v>
      </c>
      <c r="G31">
        <v>10</v>
      </c>
      <c r="H31">
        <v>10</v>
      </c>
      <c r="I31">
        <v>10</v>
      </c>
      <c r="J31" s="107">
        <v>48</v>
      </c>
      <c r="K31">
        <v>10</v>
      </c>
      <c r="L31">
        <v>10</v>
      </c>
      <c r="M31" s="34">
        <v>4</v>
      </c>
      <c r="N31" s="34">
        <v>10</v>
      </c>
      <c r="O31">
        <v>10</v>
      </c>
      <c r="P31">
        <v>0</v>
      </c>
      <c r="Q31" s="105">
        <v>44</v>
      </c>
      <c r="R31">
        <v>0</v>
      </c>
      <c r="S31">
        <v>7</v>
      </c>
      <c r="T31">
        <v>0</v>
      </c>
      <c r="U31">
        <v>0</v>
      </c>
      <c r="V31">
        <v>10</v>
      </c>
      <c r="W31">
        <v>10</v>
      </c>
      <c r="X31">
        <v>10</v>
      </c>
      <c r="Y31">
        <v>10</v>
      </c>
      <c r="Z31">
        <v>6</v>
      </c>
      <c r="AA31" s="103">
        <v>53</v>
      </c>
      <c r="AB31">
        <v>10</v>
      </c>
      <c r="AC31">
        <v>0</v>
      </c>
      <c r="AD31">
        <v>0</v>
      </c>
      <c r="AE31">
        <v>0</v>
      </c>
      <c r="AF31">
        <v>0</v>
      </c>
      <c r="AG31">
        <v>10</v>
      </c>
      <c r="AH31">
        <v>0</v>
      </c>
      <c r="AI31">
        <v>10</v>
      </c>
      <c r="AJ31">
        <v>10</v>
      </c>
      <c r="AK31">
        <v>0</v>
      </c>
      <c r="AL31">
        <v>0</v>
      </c>
      <c r="AM31">
        <v>0</v>
      </c>
      <c r="AN31">
        <v>0</v>
      </c>
      <c r="AO31" s="101">
        <v>40</v>
      </c>
      <c r="AP31">
        <v>185</v>
      </c>
    </row>
    <row r="32" spans="1:42">
      <c r="A32" s="34" t="s">
        <v>344</v>
      </c>
      <c r="B32" s="34">
        <v>8</v>
      </c>
      <c r="C32" s="34">
        <v>10</v>
      </c>
      <c r="D32" s="34">
        <v>0</v>
      </c>
      <c r="E32" s="34">
        <v>3</v>
      </c>
      <c r="F32">
        <v>10</v>
      </c>
      <c r="G32">
        <v>10</v>
      </c>
      <c r="H32">
        <v>10</v>
      </c>
      <c r="I32">
        <v>10</v>
      </c>
      <c r="J32" s="107">
        <v>61</v>
      </c>
      <c r="K32">
        <v>10</v>
      </c>
      <c r="L32">
        <v>10</v>
      </c>
      <c r="M32" s="34">
        <v>0</v>
      </c>
      <c r="N32" s="34">
        <v>0</v>
      </c>
      <c r="O32">
        <v>10</v>
      </c>
      <c r="P32">
        <v>0</v>
      </c>
      <c r="Q32" s="105">
        <v>30</v>
      </c>
      <c r="R32">
        <v>0</v>
      </c>
      <c r="S32">
        <v>7</v>
      </c>
      <c r="T32">
        <v>7</v>
      </c>
      <c r="U32">
        <v>0</v>
      </c>
      <c r="V32">
        <v>10</v>
      </c>
      <c r="W32">
        <v>10</v>
      </c>
      <c r="X32">
        <v>10</v>
      </c>
      <c r="Y32">
        <v>10</v>
      </c>
      <c r="Z32">
        <v>0</v>
      </c>
      <c r="AA32" s="103">
        <v>54</v>
      </c>
      <c r="AB32">
        <v>0</v>
      </c>
      <c r="AC32">
        <v>0</v>
      </c>
      <c r="AD32">
        <v>7</v>
      </c>
      <c r="AE32">
        <v>10</v>
      </c>
      <c r="AF32">
        <v>0</v>
      </c>
      <c r="AG32">
        <v>10</v>
      </c>
      <c r="AH32">
        <v>10</v>
      </c>
      <c r="AI32">
        <v>0</v>
      </c>
      <c r="AJ32">
        <v>6</v>
      </c>
      <c r="AK32">
        <v>0</v>
      </c>
      <c r="AL32">
        <v>8</v>
      </c>
      <c r="AM32">
        <v>0</v>
      </c>
      <c r="AN32">
        <v>6</v>
      </c>
      <c r="AO32" s="101">
        <v>57</v>
      </c>
      <c r="AP32">
        <v>202</v>
      </c>
    </row>
    <row r="33" spans="1:42">
      <c r="A33" s="34" t="s">
        <v>345</v>
      </c>
      <c r="B33" s="34">
        <v>6</v>
      </c>
      <c r="C33" s="34">
        <v>10</v>
      </c>
      <c r="D33" s="34">
        <v>0</v>
      </c>
      <c r="E33" s="34">
        <v>6</v>
      </c>
      <c r="F33">
        <v>0</v>
      </c>
      <c r="G33">
        <v>10</v>
      </c>
      <c r="H33">
        <v>10</v>
      </c>
      <c r="I33">
        <v>10</v>
      </c>
      <c r="J33" s="107">
        <v>52</v>
      </c>
      <c r="K33">
        <v>10</v>
      </c>
      <c r="L33">
        <v>10</v>
      </c>
      <c r="M33" s="34">
        <v>6</v>
      </c>
      <c r="N33" s="34">
        <v>10</v>
      </c>
      <c r="O33">
        <v>10</v>
      </c>
      <c r="P33">
        <v>0</v>
      </c>
      <c r="Q33" s="105">
        <v>46</v>
      </c>
      <c r="R33">
        <v>0</v>
      </c>
      <c r="S33">
        <v>0</v>
      </c>
      <c r="T33">
        <v>0</v>
      </c>
      <c r="U33">
        <v>10</v>
      </c>
      <c r="V33">
        <v>0</v>
      </c>
      <c r="W33">
        <v>0</v>
      </c>
      <c r="X33">
        <v>0</v>
      </c>
      <c r="Y33">
        <v>10</v>
      </c>
      <c r="Z33">
        <v>0</v>
      </c>
      <c r="AA33" s="103">
        <v>20</v>
      </c>
      <c r="AB33">
        <v>0</v>
      </c>
      <c r="AC33">
        <v>0</v>
      </c>
      <c r="AD33">
        <v>7</v>
      </c>
      <c r="AE33">
        <v>10</v>
      </c>
      <c r="AF33">
        <v>0</v>
      </c>
      <c r="AG33">
        <v>10</v>
      </c>
      <c r="AH33">
        <v>10</v>
      </c>
      <c r="AI33">
        <v>0</v>
      </c>
      <c r="AJ33">
        <v>6</v>
      </c>
      <c r="AK33">
        <v>0</v>
      </c>
      <c r="AL33">
        <v>8</v>
      </c>
      <c r="AM33">
        <v>0</v>
      </c>
      <c r="AN33">
        <v>6</v>
      </c>
      <c r="AO33" s="101">
        <v>57</v>
      </c>
      <c r="AP33">
        <v>175</v>
      </c>
    </row>
    <row r="34" spans="1:42">
      <c r="A34" s="34" t="s">
        <v>346</v>
      </c>
      <c r="B34" s="34">
        <v>0</v>
      </c>
      <c r="C34" s="34">
        <v>10</v>
      </c>
      <c r="D34" s="34">
        <v>0</v>
      </c>
      <c r="E34" s="34">
        <v>3</v>
      </c>
      <c r="F34">
        <v>0</v>
      </c>
      <c r="G34">
        <v>0</v>
      </c>
      <c r="H34">
        <v>0</v>
      </c>
      <c r="I34">
        <v>10</v>
      </c>
      <c r="J34" s="107">
        <v>23</v>
      </c>
      <c r="K34">
        <v>0</v>
      </c>
      <c r="L34">
        <v>0</v>
      </c>
      <c r="M34" s="34">
        <v>6</v>
      </c>
      <c r="N34" s="34">
        <v>6</v>
      </c>
      <c r="O34">
        <v>0</v>
      </c>
      <c r="P34">
        <v>0</v>
      </c>
      <c r="Q34" s="105">
        <v>12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 s="103">
        <v>0</v>
      </c>
      <c r="AB34">
        <v>0</v>
      </c>
      <c r="AC34">
        <v>0</v>
      </c>
      <c r="AD34">
        <v>7</v>
      </c>
      <c r="AE34">
        <v>10</v>
      </c>
      <c r="AF34">
        <v>0</v>
      </c>
      <c r="AG34">
        <v>10</v>
      </c>
      <c r="AH34">
        <v>10</v>
      </c>
      <c r="AI34">
        <v>0</v>
      </c>
      <c r="AJ34">
        <v>6</v>
      </c>
      <c r="AK34">
        <v>0</v>
      </c>
      <c r="AL34">
        <v>8</v>
      </c>
      <c r="AM34">
        <v>0</v>
      </c>
      <c r="AN34">
        <v>6</v>
      </c>
      <c r="AO34" s="101">
        <v>57</v>
      </c>
      <c r="AP34">
        <v>92</v>
      </c>
    </row>
    <row r="35" spans="1:42">
      <c r="A35" s="34" t="s">
        <v>328</v>
      </c>
      <c r="B35" s="34">
        <v>8</v>
      </c>
      <c r="C35" s="34">
        <v>10</v>
      </c>
      <c r="D35" s="34">
        <v>0</v>
      </c>
      <c r="E35" s="34">
        <v>2</v>
      </c>
      <c r="F35">
        <v>6</v>
      </c>
      <c r="G35">
        <v>0</v>
      </c>
      <c r="H35">
        <v>10</v>
      </c>
      <c r="I35">
        <v>10</v>
      </c>
      <c r="J35" s="107">
        <v>46</v>
      </c>
      <c r="K35">
        <v>10</v>
      </c>
      <c r="L35">
        <v>0</v>
      </c>
      <c r="M35" s="34">
        <v>4</v>
      </c>
      <c r="N35" s="34">
        <v>0</v>
      </c>
      <c r="O35">
        <v>10</v>
      </c>
      <c r="P35">
        <v>0</v>
      </c>
      <c r="Q35" s="105">
        <v>24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4</v>
      </c>
      <c r="AA35" s="103">
        <v>4</v>
      </c>
      <c r="AB35">
        <v>0</v>
      </c>
      <c r="AC35">
        <v>0</v>
      </c>
      <c r="AD35">
        <v>7</v>
      </c>
      <c r="AE35">
        <v>10</v>
      </c>
      <c r="AF35">
        <v>0</v>
      </c>
      <c r="AG35">
        <v>10</v>
      </c>
      <c r="AH35">
        <v>10</v>
      </c>
      <c r="AI35">
        <v>10</v>
      </c>
      <c r="AJ35">
        <v>12</v>
      </c>
      <c r="AK35">
        <v>0</v>
      </c>
      <c r="AL35">
        <v>5</v>
      </c>
      <c r="AM35">
        <v>10</v>
      </c>
      <c r="AN35">
        <v>0</v>
      </c>
      <c r="AO35" s="101">
        <v>74</v>
      </c>
      <c r="AP35">
        <v>148</v>
      </c>
    </row>
    <row r="36" spans="1:42">
      <c r="A36" s="34" t="s">
        <v>351</v>
      </c>
      <c r="B36" s="34">
        <v>8</v>
      </c>
      <c r="C36" s="34">
        <v>10</v>
      </c>
      <c r="D36" s="34">
        <v>6</v>
      </c>
      <c r="E36" s="34">
        <v>6</v>
      </c>
      <c r="F36">
        <v>10</v>
      </c>
      <c r="G36">
        <v>10</v>
      </c>
      <c r="H36">
        <v>10</v>
      </c>
      <c r="I36">
        <v>10</v>
      </c>
      <c r="J36" s="107">
        <v>70</v>
      </c>
      <c r="K36">
        <v>10</v>
      </c>
      <c r="L36">
        <v>10</v>
      </c>
      <c r="M36" s="34">
        <v>4</v>
      </c>
      <c r="N36" s="34">
        <v>10</v>
      </c>
      <c r="O36">
        <v>10</v>
      </c>
      <c r="P36">
        <v>0</v>
      </c>
      <c r="Q36" s="105">
        <v>44</v>
      </c>
      <c r="R36">
        <v>0</v>
      </c>
      <c r="S36">
        <v>10</v>
      </c>
      <c r="T36">
        <v>0</v>
      </c>
      <c r="U36">
        <v>10</v>
      </c>
      <c r="V36">
        <v>10</v>
      </c>
      <c r="W36">
        <v>0</v>
      </c>
      <c r="X36">
        <v>10</v>
      </c>
      <c r="Y36">
        <v>10</v>
      </c>
      <c r="Z36">
        <v>0</v>
      </c>
      <c r="AA36" s="103">
        <v>50</v>
      </c>
      <c r="AB36">
        <v>10</v>
      </c>
      <c r="AC36">
        <v>10</v>
      </c>
      <c r="AD36">
        <v>10</v>
      </c>
      <c r="AE36">
        <v>10</v>
      </c>
      <c r="AF36">
        <v>10</v>
      </c>
      <c r="AG36">
        <v>0</v>
      </c>
      <c r="AH36">
        <v>10</v>
      </c>
      <c r="AI36">
        <v>10</v>
      </c>
      <c r="AJ36">
        <v>10</v>
      </c>
      <c r="AK36">
        <v>4</v>
      </c>
      <c r="AL36">
        <v>5</v>
      </c>
      <c r="AM36">
        <v>10</v>
      </c>
      <c r="AN36">
        <v>0</v>
      </c>
      <c r="AO36" s="101">
        <v>99</v>
      </c>
      <c r="AP36">
        <v>263</v>
      </c>
    </row>
    <row r="37" spans="1:42">
      <c r="A37" s="34" t="s">
        <v>403</v>
      </c>
      <c r="B37" s="34">
        <v>6</v>
      </c>
      <c r="C37" s="34">
        <v>10</v>
      </c>
      <c r="D37" s="34">
        <v>10</v>
      </c>
      <c r="E37" s="34">
        <v>6</v>
      </c>
      <c r="F37">
        <v>10</v>
      </c>
      <c r="G37">
        <v>10</v>
      </c>
      <c r="H37">
        <v>10</v>
      </c>
      <c r="I37">
        <v>10</v>
      </c>
      <c r="J37" s="107">
        <v>72</v>
      </c>
      <c r="K37">
        <v>10</v>
      </c>
      <c r="L37">
        <v>10</v>
      </c>
      <c r="M37" s="34">
        <v>6</v>
      </c>
      <c r="N37" s="34">
        <v>6</v>
      </c>
      <c r="O37">
        <v>10</v>
      </c>
      <c r="P37">
        <v>0</v>
      </c>
      <c r="Q37" s="105">
        <v>42</v>
      </c>
      <c r="R37">
        <v>10</v>
      </c>
      <c r="S37">
        <v>7</v>
      </c>
      <c r="T37">
        <v>7</v>
      </c>
      <c r="U37">
        <v>10</v>
      </c>
      <c r="V37">
        <v>0</v>
      </c>
      <c r="W37">
        <v>0</v>
      </c>
      <c r="X37">
        <v>10</v>
      </c>
      <c r="Y37">
        <v>10</v>
      </c>
      <c r="Z37">
        <v>0</v>
      </c>
      <c r="AA37" s="103">
        <v>54</v>
      </c>
      <c r="AB37">
        <v>0</v>
      </c>
      <c r="AC37">
        <v>10</v>
      </c>
      <c r="AD37">
        <v>7</v>
      </c>
      <c r="AE37">
        <v>0</v>
      </c>
      <c r="AF37">
        <v>0</v>
      </c>
      <c r="AG37">
        <v>10</v>
      </c>
      <c r="AH37">
        <v>10</v>
      </c>
      <c r="AI37">
        <v>5</v>
      </c>
      <c r="AJ37">
        <v>6</v>
      </c>
      <c r="AK37">
        <v>0</v>
      </c>
      <c r="AL37">
        <v>6</v>
      </c>
      <c r="AM37">
        <v>10</v>
      </c>
      <c r="AN37">
        <v>0</v>
      </c>
      <c r="AO37" s="101">
        <v>64</v>
      </c>
      <c r="AP37">
        <v>232</v>
      </c>
    </row>
    <row r="38" spans="1:42">
      <c r="A38" s="34" t="s">
        <v>162</v>
      </c>
      <c r="B38" s="34">
        <v>8</v>
      </c>
      <c r="C38" s="34">
        <v>10</v>
      </c>
      <c r="D38" s="34">
        <v>0</v>
      </c>
      <c r="E38" s="34">
        <v>4</v>
      </c>
      <c r="F38">
        <v>10</v>
      </c>
      <c r="G38">
        <v>10</v>
      </c>
      <c r="H38">
        <v>10</v>
      </c>
      <c r="I38">
        <v>10</v>
      </c>
      <c r="J38" s="107">
        <v>62</v>
      </c>
      <c r="K38">
        <v>10</v>
      </c>
      <c r="L38">
        <v>10</v>
      </c>
      <c r="M38" s="34">
        <v>6</v>
      </c>
      <c r="N38" s="34">
        <v>10</v>
      </c>
      <c r="O38">
        <v>10</v>
      </c>
      <c r="P38">
        <v>10</v>
      </c>
      <c r="Q38" s="105">
        <v>56</v>
      </c>
      <c r="R38">
        <v>10</v>
      </c>
      <c r="S38">
        <v>7</v>
      </c>
      <c r="T38">
        <v>0</v>
      </c>
      <c r="U38">
        <v>0</v>
      </c>
      <c r="V38">
        <v>10</v>
      </c>
      <c r="W38">
        <v>10</v>
      </c>
      <c r="X38">
        <v>10</v>
      </c>
      <c r="Y38">
        <v>10</v>
      </c>
      <c r="Z38">
        <v>10</v>
      </c>
      <c r="AA38" s="103">
        <v>67</v>
      </c>
      <c r="AB38">
        <v>10</v>
      </c>
      <c r="AC38">
        <v>10</v>
      </c>
      <c r="AD38">
        <v>10</v>
      </c>
      <c r="AE38">
        <v>0</v>
      </c>
      <c r="AF38">
        <v>0</v>
      </c>
      <c r="AG38">
        <v>0</v>
      </c>
      <c r="AH38">
        <v>0</v>
      </c>
      <c r="AI38">
        <v>5</v>
      </c>
      <c r="AJ38">
        <v>10</v>
      </c>
      <c r="AK38">
        <v>0</v>
      </c>
      <c r="AL38">
        <v>5</v>
      </c>
      <c r="AM38">
        <v>10</v>
      </c>
      <c r="AN38">
        <v>0</v>
      </c>
      <c r="AO38" s="101">
        <v>60</v>
      </c>
      <c r="AP38">
        <v>245</v>
      </c>
    </row>
    <row r="39" spans="1:42">
      <c r="A39" s="34" t="s">
        <v>354</v>
      </c>
      <c r="B39" s="34">
        <v>8</v>
      </c>
      <c r="C39" s="34">
        <v>10</v>
      </c>
      <c r="D39" s="34">
        <v>14</v>
      </c>
      <c r="E39" s="34">
        <v>3</v>
      </c>
      <c r="F39">
        <v>0</v>
      </c>
      <c r="G39">
        <v>0</v>
      </c>
      <c r="H39">
        <v>10</v>
      </c>
      <c r="I39">
        <v>10</v>
      </c>
      <c r="J39" s="107">
        <v>55</v>
      </c>
      <c r="K39">
        <v>0</v>
      </c>
      <c r="L39">
        <v>0</v>
      </c>
      <c r="M39" s="34">
        <v>6</v>
      </c>
      <c r="N39" s="34">
        <v>6</v>
      </c>
      <c r="O39">
        <v>10</v>
      </c>
      <c r="P39">
        <v>0</v>
      </c>
      <c r="Q39" s="105">
        <v>22</v>
      </c>
      <c r="R39">
        <v>0</v>
      </c>
      <c r="S39">
        <v>7</v>
      </c>
      <c r="T39">
        <v>7</v>
      </c>
      <c r="U39">
        <v>10</v>
      </c>
      <c r="V39">
        <v>0</v>
      </c>
      <c r="W39">
        <v>0</v>
      </c>
      <c r="X39">
        <v>10</v>
      </c>
      <c r="Y39">
        <v>10</v>
      </c>
      <c r="Z39">
        <v>0</v>
      </c>
      <c r="AA39" s="103">
        <v>44</v>
      </c>
      <c r="AB39">
        <v>10</v>
      </c>
      <c r="AC39">
        <v>0</v>
      </c>
      <c r="AD39">
        <v>7</v>
      </c>
      <c r="AE39">
        <v>10</v>
      </c>
      <c r="AF39">
        <v>10</v>
      </c>
      <c r="AG39">
        <v>0</v>
      </c>
      <c r="AH39">
        <v>0</v>
      </c>
      <c r="AI39">
        <v>5</v>
      </c>
      <c r="AJ39">
        <v>6</v>
      </c>
      <c r="AK39">
        <v>8</v>
      </c>
      <c r="AL39">
        <v>10</v>
      </c>
      <c r="AM39">
        <v>10</v>
      </c>
      <c r="AN39">
        <v>10</v>
      </c>
      <c r="AO39" s="101">
        <v>86</v>
      </c>
      <c r="AP39">
        <v>207</v>
      </c>
    </row>
    <row r="40" spans="1:42">
      <c r="A40" s="34" t="s">
        <v>163</v>
      </c>
      <c r="B40" s="34">
        <v>8</v>
      </c>
      <c r="C40" s="34">
        <v>10</v>
      </c>
      <c r="D40" s="34">
        <v>8</v>
      </c>
      <c r="E40" s="34">
        <v>3</v>
      </c>
      <c r="F40">
        <v>0</v>
      </c>
      <c r="G40">
        <v>10</v>
      </c>
      <c r="H40">
        <v>10</v>
      </c>
      <c r="I40">
        <v>10</v>
      </c>
      <c r="J40" s="107">
        <v>59</v>
      </c>
      <c r="K40">
        <v>10</v>
      </c>
      <c r="L40">
        <v>10</v>
      </c>
      <c r="M40" s="34">
        <v>6</v>
      </c>
      <c r="N40" s="34">
        <v>10</v>
      </c>
      <c r="O40">
        <v>10</v>
      </c>
      <c r="P40">
        <v>10</v>
      </c>
      <c r="Q40" s="105">
        <v>56</v>
      </c>
      <c r="R40">
        <v>0</v>
      </c>
      <c r="S40">
        <v>0</v>
      </c>
      <c r="T40">
        <v>0</v>
      </c>
      <c r="U40">
        <v>0</v>
      </c>
      <c r="V40">
        <v>10</v>
      </c>
      <c r="W40">
        <v>10</v>
      </c>
      <c r="X40">
        <v>0</v>
      </c>
      <c r="Y40">
        <v>10</v>
      </c>
      <c r="Z40">
        <v>0</v>
      </c>
      <c r="AA40" s="103">
        <v>30</v>
      </c>
      <c r="AB40">
        <v>0</v>
      </c>
      <c r="AC40">
        <v>0</v>
      </c>
      <c r="AD40">
        <v>10</v>
      </c>
      <c r="AE40">
        <v>10</v>
      </c>
      <c r="AF40">
        <v>0</v>
      </c>
      <c r="AG40">
        <v>10</v>
      </c>
      <c r="AH40">
        <v>0</v>
      </c>
      <c r="AI40">
        <v>5</v>
      </c>
      <c r="AJ40">
        <v>10</v>
      </c>
      <c r="AK40">
        <v>0</v>
      </c>
      <c r="AL40">
        <v>5</v>
      </c>
      <c r="AM40">
        <v>10</v>
      </c>
      <c r="AN40">
        <v>0</v>
      </c>
      <c r="AO40" s="101">
        <v>60</v>
      </c>
      <c r="AP40">
        <v>205</v>
      </c>
    </row>
    <row r="41" spans="1:42">
      <c r="A41" s="34" t="s">
        <v>450</v>
      </c>
      <c r="B41" s="34">
        <v>8</v>
      </c>
      <c r="C41" s="34">
        <v>0</v>
      </c>
      <c r="D41" s="34">
        <v>0</v>
      </c>
      <c r="E41" s="34">
        <v>4</v>
      </c>
      <c r="F41">
        <v>10</v>
      </c>
      <c r="G41">
        <v>0</v>
      </c>
      <c r="H41">
        <v>10</v>
      </c>
      <c r="I41">
        <v>0</v>
      </c>
      <c r="J41" s="107">
        <v>32</v>
      </c>
      <c r="K41">
        <v>0</v>
      </c>
      <c r="L41">
        <v>10</v>
      </c>
      <c r="M41" s="34">
        <v>10</v>
      </c>
      <c r="N41" s="34">
        <v>10</v>
      </c>
      <c r="O41">
        <v>10</v>
      </c>
      <c r="P41">
        <v>0</v>
      </c>
      <c r="Q41" s="105">
        <v>40</v>
      </c>
      <c r="R41">
        <v>0</v>
      </c>
      <c r="S41">
        <v>0</v>
      </c>
      <c r="T41">
        <v>7</v>
      </c>
      <c r="U41">
        <v>10</v>
      </c>
      <c r="V41">
        <v>0</v>
      </c>
      <c r="W41">
        <v>0</v>
      </c>
      <c r="X41">
        <v>0</v>
      </c>
      <c r="Y41">
        <v>10</v>
      </c>
      <c r="Z41">
        <v>0</v>
      </c>
      <c r="AA41" s="103">
        <v>27</v>
      </c>
      <c r="AB41">
        <v>0</v>
      </c>
      <c r="AC41">
        <v>10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5</v>
      </c>
      <c r="AJ41">
        <v>6</v>
      </c>
      <c r="AK41">
        <v>0</v>
      </c>
      <c r="AL41">
        <v>0</v>
      </c>
      <c r="AM41">
        <v>10</v>
      </c>
      <c r="AN41">
        <v>0</v>
      </c>
      <c r="AO41" s="101">
        <v>31</v>
      </c>
      <c r="AP41">
        <v>130</v>
      </c>
    </row>
    <row r="42" spans="1:42">
      <c r="A42" s="34" t="s">
        <v>341</v>
      </c>
      <c r="B42" s="34">
        <v>8</v>
      </c>
      <c r="C42" s="34">
        <v>10</v>
      </c>
      <c r="D42" s="34">
        <v>4</v>
      </c>
      <c r="E42" s="34">
        <v>2</v>
      </c>
      <c r="F42">
        <v>10</v>
      </c>
      <c r="G42">
        <v>0</v>
      </c>
      <c r="H42">
        <v>10</v>
      </c>
      <c r="I42">
        <v>10</v>
      </c>
      <c r="J42" s="107">
        <v>54</v>
      </c>
      <c r="K42">
        <v>10</v>
      </c>
      <c r="L42">
        <v>0</v>
      </c>
      <c r="M42" s="34">
        <v>4</v>
      </c>
      <c r="N42" s="34">
        <v>6</v>
      </c>
      <c r="O42">
        <v>10</v>
      </c>
      <c r="P42">
        <v>10</v>
      </c>
      <c r="Q42" s="105">
        <v>40</v>
      </c>
      <c r="R42">
        <v>0</v>
      </c>
      <c r="S42">
        <v>7</v>
      </c>
      <c r="T42">
        <v>0</v>
      </c>
      <c r="U42">
        <v>0</v>
      </c>
      <c r="V42">
        <v>10</v>
      </c>
      <c r="W42">
        <v>10</v>
      </c>
      <c r="X42">
        <v>10</v>
      </c>
      <c r="Y42">
        <v>10</v>
      </c>
      <c r="Z42">
        <v>0</v>
      </c>
      <c r="AA42" s="103">
        <v>47</v>
      </c>
      <c r="AB42">
        <v>0</v>
      </c>
      <c r="AC42">
        <v>0</v>
      </c>
      <c r="AD42">
        <v>0</v>
      </c>
      <c r="AE42">
        <v>0</v>
      </c>
      <c r="AF42">
        <v>10</v>
      </c>
      <c r="AG42">
        <v>10</v>
      </c>
      <c r="AH42">
        <v>10</v>
      </c>
      <c r="AI42">
        <v>0</v>
      </c>
      <c r="AJ42">
        <v>6</v>
      </c>
      <c r="AK42">
        <v>8</v>
      </c>
      <c r="AL42">
        <v>0</v>
      </c>
      <c r="AM42">
        <v>0</v>
      </c>
      <c r="AN42">
        <v>0</v>
      </c>
      <c r="AO42" s="101">
        <v>44</v>
      </c>
      <c r="AP42">
        <v>185</v>
      </c>
    </row>
    <row r="43" spans="1:42">
      <c r="A43" s="34" t="s">
        <v>373</v>
      </c>
      <c r="B43" s="34">
        <v>0</v>
      </c>
      <c r="C43" s="34">
        <v>10</v>
      </c>
      <c r="D43" s="34">
        <v>0</v>
      </c>
      <c r="E43" s="34">
        <v>6</v>
      </c>
      <c r="F43">
        <v>6</v>
      </c>
      <c r="G43">
        <v>10</v>
      </c>
      <c r="H43">
        <v>10</v>
      </c>
      <c r="I43">
        <v>10</v>
      </c>
      <c r="J43" s="107">
        <v>52</v>
      </c>
      <c r="K43">
        <v>0</v>
      </c>
      <c r="L43">
        <v>10</v>
      </c>
      <c r="M43" s="34">
        <v>4</v>
      </c>
      <c r="N43" s="34">
        <v>10</v>
      </c>
      <c r="O43">
        <v>10</v>
      </c>
      <c r="P43">
        <v>10</v>
      </c>
      <c r="Q43" s="105">
        <v>44</v>
      </c>
      <c r="R43">
        <v>0</v>
      </c>
      <c r="S43">
        <v>7</v>
      </c>
      <c r="T43">
        <v>0</v>
      </c>
      <c r="U43">
        <v>0</v>
      </c>
      <c r="V43">
        <v>10</v>
      </c>
      <c r="W43">
        <v>10</v>
      </c>
      <c r="X43">
        <v>10</v>
      </c>
      <c r="Y43">
        <v>10</v>
      </c>
      <c r="Z43">
        <v>0</v>
      </c>
      <c r="AA43" s="103">
        <v>47</v>
      </c>
      <c r="AB43">
        <v>0</v>
      </c>
      <c r="AC43">
        <v>0</v>
      </c>
      <c r="AD43">
        <v>0</v>
      </c>
      <c r="AE43">
        <v>10</v>
      </c>
      <c r="AF43">
        <v>10</v>
      </c>
      <c r="AG43">
        <v>10</v>
      </c>
      <c r="AH43">
        <v>10</v>
      </c>
      <c r="AI43">
        <v>10</v>
      </c>
      <c r="AJ43">
        <v>6</v>
      </c>
      <c r="AK43">
        <v>8</v>
      </c>
      <c r="AL43">
        <v>5</v>
      </c>
      <c r="AM43">
        <v>10</v>
      </c>
      <c r="AN43">
        <v>0</v>
      </c>
      <c r="AO43" s="101">
        <v>79</v>
      </c>
      <c r="AP43">
        <v>222</v>
      </c>
    </row>
    <row r="44" spans="1:42">
      <c r="A44" s="34" t="s">
        <v>329</v>
      </c>
      <c r="B44" s="34">
        <v>6</v>
      </c>
      <c r="C44" s="34">
        <v>10</v>
      </c>
      <c r="D44" s="34">
        <v>0</v>
      </c>
      <c r="E44" s="34">
        <v>5</v>
      </c>
      <c r="F44">
        <v>10</v>
      </c>
      <c r="G44">
        <v>10</v>
      </c>
      <c r="H44">
        <v>10</v>
      </c>
      <c r="I44">
        <v>10</v>
      </c>
      <c r="J44" s="107">
        <v>61</v>
      </c>
      <c r="K44">
        <v>10</v>
      </c>
      <c r="L44">
        <v>10</v>
      </c>
      <c r="M44" s="34">
        <v>10</v>
      </c>
      <c r="N44" s="34">
        <v>10</v>
      </c>
      <c r="O44">
        <v>10</v>
      </c>
      <c r="P44">
        <v>10</v>
      </c>
      <c r="Q44" s="105">
        <v>60</v>
      </c>
      <c r="R44">
        <v>10</v>
      </c>
      <c r="S44">
        <v>10</v>
      </c>
      <c r="T44">
        <v>10</v>
      </c>
      <c r="U44">
        <v>0</v>
      </c>
      <c r="V44">
        <v>10</v>
      </c>
      <c r="W44">
        <v>10</v>
      </c>
      <c r="X44">
        <v>10</v>
      </c>
      <c r="Y44">
        <v>10</v>
      </c>
      <c r="Z44">
        <v>0</v>
      </c>
      <c r="AA44" s="103">
        <v>70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10</v>
      </c>
      <c r="AI44">
        <v>10</v>
      </c>
      <c r="AJ44">
        <v>6</v>
      </c>
      <c r="AK44">
        <v>8</v>
      </c>
      <c r="AL44">
        <v>0</v>
      </c>
      <c r="AM44">
        <v>10</v>
      </c>
      <c r="AN44">
        <v>0</v>
      </c>
      <c r="AO44" s="101">
        <v>44</v>
      </c>
      <c r="AP44">
        <v>235</v>
      </c>
    </row>
    <row r="45" spans="1:42">
      <c r="A45" s="34" t="s">
        <v>265</v>
      </c>
      <c r="B45" s="34">
        <v>6</v>
      </c>
      <c r="C45" s="34">
        <v>10</v>
      </c>
      <c r="D45" s="34">
        <v>0</v>
      </c>
      <c r="E45" s="34">
        <v>6</v>
      </c>
      <c r="F45">
        <v>10</v>
      </c>
      <c r="G45">
        <v>10</v>
      </c>
      <c r="H45">
        <v>10</v>
      </c>
      <c r="I45">
        <v>10</v>
      </c>
      <c r="J45" s="107">
        <v>62</v>
      </c>
      <c r="K45">
        <v>0</v>
      </c>
      <c r="L45">
        <v>10</v>
      </c>
      <c r="M45" s="34">
        <v>6</v>
      </c>
      <c r="N45" s="34">
        <v>6</v>
      </c>
      <c r="O45">
        <v>10</v>
      </c>
      <c r="P45">
        <v>0</v>
      </c>
      <c r="Q45" s="105">
        <v>32</v>
      </c>
      <c r="R45">
        <v>10</v>
      </c>
      <c r="S45">
        <v>7</v>
      </c>
      <c r="T45">
        <v>7</v>
      </c>
      <c r="U45">
        <v>0</v>
      </c>
      <c r="V45">
        <v>10</v>
      </c>
      <c r="W45">
        <v>10</v>
      </c>
      <c r="X45">
        <v>0</v>
      </c>
      <c r="Y45">
        <v>10</v>
      </c>
      <c r="Z45">
        <v>0</v>
      </c>
      <c r="AA45" s="103">
        <v>54</v>
      </c>
      <c r="AB45">
        <v>0</v>
      </c>
      <c r="AC45">
        <v>0</v>
      </c>
      <c r="AD45">
        <v>0</v>
      </c>
      <c r="AE45">
        <v>10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6</v>
      </c>
      <c r="AL45">
        <v>8</v>
      </c>
      <c r="AM45">
        <v>0</v>
      </c>
      <c r="AN45">
        <v>0</v>
      </c>
      <c r="AO45" s="101">
        <v>24</v>
      </c>
      <c r="AP45">
        <v>172</v>
      </c>
    </row>
    <row r="46" spans="1:42">
      <c r="A46" s="34" t="s">
        <v>309</v>
      </c>
      <c r="B46" s="34">
        <v>6</v>
      </c>
      <c r="C46" s="34">
        <v>10</v>
      </c>
      <c r="D46" s="34">
        <v>8</v>
      </c>
      <c r="E46" s="34">
        <v>4</v>
      </c>
      <c r="F46">
        <v>8</v>
      </c>
      <c r="G46">
        <v>0</v>
      </c>
      <c r="H46">
        <v>0</v>
      </c>
      <c r="I46">
        <v>10</v>
      </c>
      <c r="J46" s="107">
        <v>46</v>
      </c>
      <c r="K46">
        <v>0</v>
      </c>
      <c r="L46">
        <v>0</v>
      </c>
      <c r="M46" s="34">
        <v>6</v>
      </c>
      <c r="N46" s="34">
        <v>0</v>
      </c>
      <c r="O46">
        <v>10</v>
      </c>
      <c r="P46">
        <v>0</v>
      </c>
      <c r="Q46" s="105">
        <v>16</v>
      </c>
      <c r="R46">
        <v>0</v>
      </c>
      <c r="S46">
        <v>7</v>
      </c>
      <c r="T46">
        <v>0</v>
      </c>
      <c r="U46">
        <v>0</v>
      </c>
      <c r="V46">
        <v>10</v>
      </c>
      <c r="W46">
        <v>0</v>
      </c>
      <c r="X46">
        <v>0</v>
      </c>
      <c r="Y46">
        <v>10</v>
      </c>
      <c r="Z46">
        <v>0</v>
      </c>
      <c r="AA46" s="103">
        <v>27</v>
      </c>
      <c r="AB46">
        <v>10</v>
      </c>
      <c r="AC46">
        <v>10</v>
      </c>
      <c r="AD46">
        <v>10</v>
      </c>
      <c r="AE46">
        <v>10</v>
      </c>
      <c r="AF46">
        <v>10</v>
      </c>
      <c r="AG46">
        <v>10</v>
      </c>
      <c r="AH46">
        <v>10</v>
      </c>
      <c r="AI46">
        <v>10</v>
      </c>
      <c r="AJ46">
        <v>10</v>
      </c>
      <c r="AK46">
        <v>6</v>
      </c>
      <c r="AL46">
        <v>5</v>
      </c>
      <c r="AM46">
        <v>10</v>
      </c>
      <c r="AN46">
        <v>0</v>
      </c>
      <c r="AO46" s="101">
        <v>111</v>
      </c>
      <c r="AP46">
        <v>200</v>
      </c>
    </row>
    <row r="47" spans="1:42">
      <c r="A47" s="34" t="s">
        <v>266</v>
      </c>
      <c r="B47" s="34">
        <v>8</v>
      </c>
      <c r="C47" s="34">
        <v>10</v>
      </c>
      <c r="D47" s="34">
        <v>4</v>
      </c>
      <c r="E47" s="34">
        <v>3</v>
      </c>
      <c r="F47">
        <v>10</v>
      </c>
      <c r="G47">
        <v>10</v>
      </c>
      <c r="H47">
        <v>10</v>
      </c>
      <c r="I47">
        <v>10</v>
      </c>
      <c r="J47" s="107">
        <v>65</v>
      </c>
      <c r="K47">
        <v>0</v>
      </c>
      <c r="L47">
        <v>0</v>
      </c>
      <c r="M47" s="34">
        <v>6</v>
      </c>
      <c r="N47" s="34">
        <v>0</v>
      </c>
      <c r="O47">
        <v>10</v>
      </c>
      <c r="P47">
        <v>0</v>
      </c>
      <c r="Q47" s="105">
        <v>16</v>
      </c>
      <c r="R47">
        <v>0</v>
      </c>
      <c r="S47">
        <v>7</v>
      </c>
      <c r="T47">
        <v>0</v>
      </c>
      <c r="U47">
        <v>0</v>
      </c>
      <c r="V47">
        <v>10</v>
      </c>
      <c r="W47">
        <v>0</v>
      </c>
      <c r="X47">
        <v>0</v>
      </c>
      <c r="Y47">
        <v>10</v>
      </c>
      <c r="Z47">
        <v>0</v>
      </c>
      <c r="AA47" s="103">
        <v>27</v>
      </c>
      <c r="AB47">
        <v>0</v>
      </c>
      <c r="AC47">
        <v>0</v>
      </c>
      <c r="AD47">
        <v>7</v>
      </c>
      <c r="AE47">
        <v>10</v>
      </c>
      <c r="AF47">
        <v>0</v>
      </c>
      <c r="AG47">
        <v>10</v>
      </c>
      <c r="AH47">
        <v>10</v>
      </c>
      <c r="AI47">
        <v>0</v>
      </c>
      <c r="AJ47">
        <v>6</v>
      </c>
      <c r="AK47">
        <v>0</v>
      </c>
      <c r="AL47">
        <v>8</v>
      </c>
      <c r="AM47">
        <v>0</v>
      </c>
      <c r="AN47">
        <v>6</v>
      </c>
      <c r="AO47" s="101">
        <v>57</v>
      </c>
      <c r="AP47">
        <v>165</v>
      </c>
    </row>
    <row r="48" spans="1:42">
      <c r="A48" s="34" t="s">
        <v>267</v>
      </c>
      <c r="B48" s="34">
        <v>6</v>
      </c>
      <c r="C48" s="34">
        <v>10</v>
      </c>
      <c r="D48" s="34">
        <v>14</v>
      </c>
      <c r="E48" s="34">
        <v>6</v>
      </c>
      <c r="F48">
        <v>10</v>
      </c>
      <c r="G48">
        <v>10</v>
      </c>
      <c r="H48">
        <v>10</v>
      </c>
      <c r="I48">
        <v>10</v>
      </c>
      <c r="J48" s="107">
        <v>76</v>
      </c>
      <c r="K48">
        <v>10</v>
      </c>
      <c r="L48">
        <v>10</v>
      </c>
      <c r="M48" s="34">
        <v>6</v>
      </c>
      <c r="N48" s="34">
        <v>0</v>
      </c>
      <c r="O48">
        <v>10</v>
      </c>
      <c r="P48">
        <v>0</v>
      </c>
      <c r="Q48" s="105">
        <v>36</v>
      </c>
      <c r="R48">
        <v>0</v>
      </c>
      <c r="S48">
        <v>0</v>
      </c>
      <c r="T48">
        <v>0</v>
      </c>
      <c r="U48">
        <v>0</v>
      </c>
      <c r="V48">
        <v>10</v>
      </c>
      <c r="W48">
        <v>0</v>
      </c>
      <c r="X48">
        <v>0</v>
      </c>
      <c r="Y48">
        <v>10</v>
      </c>
      <c r="Z48">
        <v>9</v>
      </c>
      <c r="AA48" s="103">
        <v>29</v>
      </c>
      <c r="AB48">
        <v>10</v>
      </c>
      <c r="AC48">
        <v>10</v>
      </c>
      <c r="AD48">
        <v>7</v>
      </c>
      <c r="AE48">
        <v>0</v>
      </c>
      <c r="AF48">
        <v>10</v>
      </c>
      <c r="AG48">
        <v>0</v>
      </c>
      <c r="AH48">
        <v>10</v>
      </c>
      <c r="AI48">
        <v>5</v>
      </c>
      <c r="AJ48">
        <v>12</v>
      </c>
      <c r="AK48">
        <v>0</v>
      </c>
      <c r="AL48">
        <v>0</v>
      </c>
      <c r="AM48">
        <v>10</v>
      </c>
      <c r="AN48">
        <v>0</v>
      </c>
      <c r="AO48" s="101">
        <v>74</v>
      </c>
      <c r="AP48">
        <v>215</v>
      </c>
    </row>
    <row r="49" spans="1:42">
      <c r="A49" s="34" t="s">
        <v>166</v>
      </c>
      <c r="B49" s="34">
        <v>8</v>
      </c>
      <c r="C49" s="34">
        <v>10</v>
      </c>
      <c r="D49" s="34">
        <v>12</v>
      </c>
      <c r="E49" s="34">
        <v>6</v>
      </c>
      <c r="F49">
        <v>10</v>
      </c>
      <c r="G49">
        <v>10</v>
      </c>
      <c r="H49">
        <v>10</v>
      </c>
      <c r="I49">
        <v>10</v>
      </c>
      <c r="J49" s="107">
        <v>76</v>
      </c>
      <c r="K49">
        <v>10</v>
      </c>
      <c r="L49">
        <v>0</v>
      </c>
      <c r="M49" s="34">
        <v>6</v>
      </c>
      <c r="N49" s="34">
        <v>10</v>
      </c>
      <c r="O49">
        <v>10</v>
      </c>
      <c r="P49">
        <v>10</v>
      </c>
      <c r="Q49" s="105">
        <v>46</v>
      </c>
      <c r="R49">
        <v>0</v>
      </c>
      <c r="S49">
        <v>0</v>
      </c>
      <c r="T49">
        <v>0</v>
      </c>
      <c r="U49">
        <v>0</v>
      </c>
      <c r="V49">
        <v>10</v>
      </c>
      <c r="W49">
        <v>10</v>
      </c>
      <c r="X49">
        <v>0</v>
      </c>
      <c r="Y49">
        <v>10</v>
      </c>
      <c r="Z49">
        <v>0</v>
      </c>
      <c r="AA49" s="103">
        <v>30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6</v>
      </c>
      <c r="AK49">
        <v>0</v>
      </c>
      <c r="AL49">
        <v>0</v>
      </c>
      <c r="AM49">
        <v>0</v>
      </c>
      <c r="AN49">
        <v>0</v>
      </c>
      <c r="AO49" s="101">
        <v>6</v>
      </c>
      <c r="AP49">
        <v>158</v>
      </c>
    </row>
    <row r="50" spans="1:42">
      <c r="A50" s="34" t="s">
        <v>451</v>
      </c>
      <c r="B50" s="34">
        <v>8</v>
      </c>
      <c r="C50" s="34">
        <v>10</v>
      </c>
      <c r="D50" s="34">
        <v>6</v>
      </c>
      <c r="E50" s="34">
        <v>6</v>
      </c>
      <c r="F50">
        <v>10</v>
      </c>
      <c r="G50">
        <v>10</v>
      </c>
      <c r="H50">
        <v>10</v>
      </c>
      <c r="I50">
        <v>10</v>
      </c>
      <c r="J50" s="107">
        <v>70</v>
      </c>
      <c r="K50">
        <v>10</v>
      </c>
      <c r="L50">
        <v>10</v>
      </c>
      <c r="M50" s="34">
        <v>4</v>
      </c>
      <c r="N50" s="34">
        <v>10</v>
      </c>
      <c r="O50">
        <v>10</v>
      </c>
      <c r="P50">
        <v>10</v>
      </c>
      <c r="Q50" s="105">
        <v>54</v>
      </c>
      <c r="R50">
        <v>10</v>
      </c>
      <c r="S50">
        <v>7</v>
      </c>
      <c r="T50">
        <v>7</v>
      </c>
      <c r="U50">
        <v>10</v>
      </c>
      <c r="V50">
        <v>10</v>
      </c>
      <c r="W50">
        <v>10</v>
      </c>
      <c r="X50">
        <v>10</v>
      </c>
      <c r="Y50">
        <v>10</v>
      </c>
      <c r="Z50">
        <v>8</v>
      </c>
      <c r="AA50" s="103">
        <v>82</v>
      </c>
      <c r="AB50">
        <v>10</v>
      </c>
      <c r="AC50">
        <v>10</v>
      </c>
      <c r="AD50">
        <v>7</v>
      </c>
      <c r="AE50">
        <v>10</v>
      </c>
      <c r="AF50">
        <v>10</v>
      </c>
      <c r="AG50">
        <v>0</v>
      </c>
      <c r="AH50">
        <v>10</v>
      </c>
      <c r="AI50">
        <v>5</v>
      </c>
      <c r="AJ50">
        <v>10</v>
      </c>
      <c r="AK50">
        <v>0</v>
      </c>
      <c r="AL50">
        <v>8</v>
      </c>
      <c r="AM50">
        <v>10</v>
      </c>
      <c r="AN50">
        <v>0</v>
      </c>
      <c r="AO50" s="101">
        <v>90</v>
      </c>
      <c r="AP50">
        <v>296</v>
      </c>
    </row>
    <row r="51" spans="1:42">
      <c r="A51" s="34" t="s">
        <v>433</v>
      </c>
      <c r="B51" s="34">
        <v>6</v>
      </c>
      <c r="C51" s="34">
        <v>10</v>
      </c>
      <c r="D51" s="34">
        <v>0</v>
      </c>
      <c r="E51" s="34">
        <v>3</v>
      </c>
      <c r="F51">
        <v>10</v>
      </c>
      <c r="G51">
        <v>10</v>
      </c>
      <c r="H51">
        <v>10</v>
      </c>
      <c r="I51">
        <v>10</v>
      </c>
      <c r="J51" s="107">
        <v>59</v>
      </c>
      <c r="K51">
        <v>10</v>
      </c>
      <c r="L51">
        <v>10</v>
      </c>
      <c r="M51" s="34">
        <v>10</v>
      </c>
      <c r="N51" s="34">
        <v>10</v>
      </c>
      <c r="O51">
        <v>10</v>
      </c>
      <c r="P51">
        <v>10</v>
      </c>
      <c r="Q51" s="105">
        <v>60</v>
      </c>
      <c r="R51">
        <v>10</v>
      </c>
      <c r="S51">
        <v>7</v>
      </c>
      <c r="T51">
        <v>0</v>
      </c>
      <c r="U51">
        <v>10</v>
      </c>
      <c r="V51">
        <v>10</v>
      </c>
      <c r="W51">
        <v>10</v>
      </c>
      <c r="X51">
        <v>10</v>
      </c>
      <c r="Y51">
        <v>10</v>
      </c>
      <c r="Z51">
        <v>5</v>
      </c>
      <c r="AA51" s="103">
        <v>72</v>
      </c>
      <c r="AB51">
        <v>0</v>
      </c>
      <c r="AC51">
        <v>10</v>
      </c>
      <c r="AD51">
        <v>7</v>
      </c>
      <c r="AE51">
        <v>10</v>
      </c>
      <c r="AF51">
        <v>0</v>
      </c>
      <c r="AG51">
        <v>10</v>
      </c>
      <c r="AH51">
        <v>10</v>
      </c>
      <c r="AI51">
        <v>10</v>
      </c>
      <c r="AJ51">
        <v>10</v>
      </c>
      <c r="AK51">
        <v>8</v>
      </c>
      <c r="AL51">
        <v>8</v>
      </c>
      <c r="AM51">
        <v>10</v>
      </c>
      <c r="AN51">
        <v>10</v>
      </c>
      <c r="AO51" s="101">
        <v>103</v>
      </c>
      <c r="AP51">
        <v>294</v>
      </c>
    </row>
    <row r="52" spans="1:42">
      <c r="A52" s="34" t="s">
        <v>430</v>
      </c>
      <c r="B52" s="34">
        <v>6</v>
      </c>
      <c r="C52" s="34">
        <v>10</v>
      </c>
      <c r="D52" s="34">
        <v>12</v>
      </c>
      <c r="E52" s="34">
        <v>6</v>
      </c>
      <c r="F52">
        <v>0</v>
      </c>
      <c r="G52">
        <v>0</v>
      </c>
      <c r="H52">
        <v>10</v>
      </c>
      <c r="I52">
        <v>10</v>
      </c>
      <c r="J52" s="107">
        <v>54</v>
      </c>
      <c r="K52">
        <v>10</v>
      </c>
      <c r="L52">
        <v>0</v>
      </c>
      <c r="M52" s="34">
        <v>6</v>
      </c>
      <c r="N52" s="34">
        <v>0</v>
      </c>
      <c r="O52">
        <v>10</v>
      </c>
      <c r="P52">
        <v>0</v>
      </c>
      <c r="Q52" s="105">
        <v>26</v>
      </c>
      <c r="R52">
        <v>0</v>
      </c>
      <c r="S52">
        <v>0</v>
      </c>
      <c r="T52">
        <v>0</v>
      </c>
      <c r="U52">
        <v>10</v>
      </c>
      <c r="V52">
        <v>0</v>
      </c>
      <c r="W52">
        <v>0</v>
      </c>
      <c r="X52">
        <v>10</v>
      </c>
      <c r="Y52">
        <v>10</v>
      </c>
      <c r="Z52">
        <v>0</v>
      </c>
      <c r="AA52" s="103">
        <v>30</v>
      </c>
      <c r="AB52">
        <v>10</v>
      </c>
      <c r="AC52">
        <v>10</v>
      </c>
      <c r="AD52">
        <v>7</v>
      </c>
      <c r="AE52">
        <v>0</v>
      </c>
      <c r="AF52">
        <v>0</v>
      </c>
      <c r="AG52">
        <v>10</v>
      </c>
      <c r="AH52">
        <v>0</v>
      </c>
      <c r="AI52">
        <v>10</v>
      </c>
      <c r="AJ52">
        <v>6</v>
      </c>
      <c r="AK52">
        <v>0</v>
      </c>
      <c r="AL52">
        <v>5</v>
      </c>
      <c r="AM52">
        <v>10</v>
      </c>
      <c r="AN52" s="49">
        <v>0</v>
      </c>
      <c r="AO52" s="101">
        <v>68</v>
      </c>
      <c r="AP52">
        <v>178</v>
      </c>
    </row>
    <row r="53" spans="1:42">
      <c r="A53" s="110" t="s">
        <v>391</v>
      </c>
      <c r="B53" s="110">
        <v>338</v>
      </c>
      <c r="C53" s="110">
        <v>440</v>
      </c>
      <c r="D53" s="110">
        <v>278</v>
      </c>
      <c r="E53" s="110">
        <v>236</v>
      </c>
      <c r="F53" s="110">
        <v>360</v>
      </c>
      <c r="G53" s="110">
        <v>330</v>
      </c>
      <c r="H53" s="110">
        <v>430</v>
      </c>
      <c r="I53" s="110">
        <v>460</v>
      </c>
      <c r="J53" s="107">
        <v>2872</v>
      </c>
      <c r="K53" s="110">
        <v>390</v>
      </c>
      <c r="L53" s="110">
        <v>380</v>
      </c>
      <c r="M53" s="110">
        <v>276</v>
      </c>
      <c r="N53" s="110">
        <v>326</v>
      </c>
      <c r="O53" s="110">
        <v>460</v>
      </c>
      <c r="P53" s="110">
        <v>250</v>
      </c>
      <c r="Q53" s="105">
        <v>2082</v>
      </c>
      <c r="R53" s="110">
        <v>160</v>
      </c>
      <c r="S53" s="110">
        <v>262</v>
      </c>
      <c r="T53" s="110">
        <v>168</v>
      </c>
      <c r="U53" s="110">
        <v>270</v>
      </c>
      <c r="V53" s="110">
        <v>380</v>
      </c>
      <c r="W53" s="110">
        <v>300</v>
      </c>
      <c r="X53" s="110">
        <v>330</v>
      </c>
      <c r="Y53" s="110">
        <v>430</v>
      </c>
      <c r="Z53" s="110">
        <v>114</v>
      </c>
      <c r="AA53" s="103">
        <v>2414</v>
      </c>
      <c r="AB53" s="110">
        <v>260</v>
      </c>
      <c r="AC53" s="110">
        <v>260</v>
      </c>
      <c r="AD53" s="110">
        <v>274</v>
      </c>
      <c r="AE53" s="110">
        <v>290</v>
      </c>
      <c r="AF53" s="110">
        <v>260</v>
      </c>
      <c r="AG53" s="110">
        <v>290</v>
      </c>
      <c r="AH53" s="110">
        <v>350</v>
      </c>
      <c r="AI53" s="110">
        <v>280</v>
      </c>
      <c r="AJ53" s="110">
        <v>362</v>
      </c>
      <c r="AK53" s="110">
        <v>146</v>
      </c>
      <c r="AL53" s="110">
        <v>228</v>
      </c>
      <c r="AM53" s="110">
        <v>330</v>
      </c>
      <c r="AN53" s="110">
        <v>113</v>
      </c>
      <c r="AO53" s="101">
        <v>3443</v>
      </c>
    </row>
    <row r="54" spans="1:42">
      <c r="A54" s="34"/>
      <c r="B54" s="34"/>
      <c r="C54" s="34"/>
      <c r="D54" s="34"/>
      <c r="E54" s="34"/>
      <c r="J54" s="49"/>
      <c r="Q54" s="49"/>
      <c r="AA54" s="49"/>
      <c r="AO54" s="49"/>
    </row>
    <row r="55" spans="1:42">
      <c r="A55" s="108">
        <v>2</v>
      </c>
      <c r="B55" s="62">
        <v>1</v>
      </c>
      <c r="C55" s="51" t="s">
        <v>167</v>
      </c>
      <c r="E55" s="34"/>
      <c r="J55" s="109">
        <v>17</v>
      </c>
      <c r="K55" s="62">
        <v>9</v>
      </c>
      <c r="L55" s="51" t="s">
        <v>168</v>
      </c>
      <c r="M55" s="62"/>
      <c r="Q55" s="109">
        <v>26</v>
      </c>
      <c r="R55" s="62">
        <v>15</v>
      </c>
      <c r="S55" s="51" t="s">
        <v>420</v>
      </c>
      <c r="T55" s="62"/>
      <c r="AA55" s="109">
        <v>40</v>
      </c>
      <c r="AB55" s="62">
        <v>24</v>
      </c>
      <c r="AC55" s="51" t="s">
        <v>277</v>
      </c>
      <c r="AO55" s="49"/>
    </row>
    <row r="56" spans="1:42">
      <c r="A56" s="108">
        <v>3</v>
      </c>
      <c r="B56" s="62">
        <v>2</v>
      </c>
      <c r="C56" s="51" t="s">
        <v>362</v>
      </c>
      <c r="E56" s="34"/>
      <c r="J56" s="109">
        <v>18</v>
      </c>
      <c r="K56" s="62">
        <v>10</v>
      </c>
      <c r="L56" s="51" t="s">
        <v>363</v>
      </c>
      <c r="M56" s="62"/>
      <c r="Q56" s="109">
        <v>27</v>
      </c>
      <c r="R56" s="62">
        <v>16</v>
      </c>
      <c r="S56" s="51" t="s">
        <v>295</v>
      </c>
      <c r="T56" s="62"/>
      <c r="AA56" s="109">
        <v>41</v>
      </c>
      <c r="AB56" s="62">
        <v>25</v>
      </c>
      <c r="AC56" s="51" t="s">
        <v>296</v>
      </c>
      <c r="AO56" s="49"/>
    </row>
    <row r="57" spans="1:42">
      <c r="A57" s="108">
        <v>4</v>
      </c>
      <c r="B57" s="62">
        <v>3</v>
      </c>
      <c r="C57" s="51" t="s">
        <v>186</v>
      </c>
      <c r="E57" s="34"/>
      <c r="J57" s="109">
        <v>19</v>
      </c>
      <c r="K57" s="62">
        <v>11</v>
      </c>
      <c r="L57" s="51" t="s">
        <v>187</v>
      </c>
      <c r="M57" s="62"/>
      <c r="Q57" s="109">
        <v>28</v>
      </c>
      <c r="R57" s="62">
        <v>17</v>
      </c>
      <c r="S57" s="51" t="s">
        <v>188</v>
      </c>
      <c r="T57" s="62"/>
      <c r="AA57" s="109">
        <v>42</v>
      </c>
      <c r="AB57" s="62">
        <v>26</v>
      </c>
      <c r="AC57" s="51" t="s">
        <v>189</v>
      </c>
      <c r="AO57" s="49"/>
    </row>
    <row r="58" spans="1:42">
      <c r="A58" s="108">
        <v>5</v>
      </c>
      <c r="B58" s="62">
        <v>4</v>
      </c>
      <c r="C58" s="51" t="s">
        <v>305</v>
      </c>
      <c r="E58" s="34"/>
      <c r="J58" s="109">
        <v>20</v>
      </c>
      <c r="K58" s="62">
        <v>11</v>
      </c>
      <c r="L58" s="51" t="s">
        <v>306</v>
      </c>
      <c r="M58" s="62"/>
      <c r="Q58" s="109">
        <v>29</v>
      </c>
      <c r="R58" s="62">
        <v>18</v>
      </c>
      <c r="S58" s="51" t="s">
        <v>307</v>
      </c>
      <c r="T58" s="62"/>
      <c r="AA58" s="109">
        <v>43</v>
      </c>
      <c r="AB58" s="62">
        <v>27</v>
      </c>
      <c r="AC58" s="51" t="s">
        <v>422</v>
      </c>
      <c r="AO58" s="49"/>
    </row>
    <row r="59" spans="1:42">
      <c r="A59" s="108">
        <v>6</v>
      </c>
      <c r="B59" s="62">
        <v>4</v>
      </c>
      <c r="C59" s="51" t="s">
        <v>308</v>
      </c>
      <c r="E59" s="34"/>
      <c r="J59" s="109">
        <v>21</v>
      </c>
      <c r="K59" s="62">
        <v>12</v>
      </c>
      <c r="L59" s="51" t="s">
        <v>421</v>
      </c>
      <c r="M59" s="62"/>
      <c r="Q59" s="109">
        <v>30</v>
      </c>
      <c r="R59" s="62">
        <v>19</v>
      </c>
      <c r="S59" s="51" t="s">
        <v>116</v>
      </c>
      <c r="AA59" s="109">
        <v>44</v>
      </c>
      <c r="AB59" s="62">
        <v>28</v>
      </c>
      <c r="AC59" s="51" t="s">
        <v>117</v>
      </c>
      <c r="AO59" s="49"/>
    </row>
    <row r="60" spans="1:42">
      <c r="A60" s="108">
        <v>7</v>
      </c>
      <c r="B60" s="62">
        <v>4</v>
      </c>
      <c r="C60" s="51" t="s">
        <v>118</v>
      </c>
      <c r="J60" s="109">
        <v>22</v>
      </c>
      <c r="K60" s="62">
        <v>13</v>
      </c>
      <c r="L60" s="51" t="s">
        <v>119</v>
      </c>
      <c r="M60" s="62"/>
      <c r="Q60" s="109">
        <v>31</v>
      </c>
      <c r="R60" s="62">
        <v>20</v>
      </c>
      <c r="S60" s="51" t="s">
        <v>206</v>
      </c>
      <c r="AA60" s="109">
        <v>45</v>
      </c>
      <c r="AB60" s="62">
        <v>29</v>
      </c>
      <c r="AC60" s="51" t="s">
        <v>207</v>
      </c>
      <c r="AO60" s="49"/>
    </row>
    <row r="61" spans="1:42">
      <c r="A61" s="108">
        <v>8</v>
      </c>
      <c r="B61" s="62">
        <v>4</v>
      </c>
      <c r="C61" s="51" t="s">
        <v>208</v>
      </c>
      <c r="J61" s="109">
        <v>23</v>
      </c>
      <c r="K61" s="62">
        <v>12</v>
      </c>
      <c r="L61" s="51" t="s">
        <v>132</v>
      </c>
      <c r="M61" s="62"/>
      <c r="Q61" s="109">
        <v>32</v>
      </c>
      <c r="R61" s="62">
        <v>21</v>
      </c>
      <c r="S61" s="51" t="s">
        <v>133</v>
      </c>
      <c r="AA61" s="109">
        <v>46</v>
      </c>
      <c r="AB61" s="62">
        <v>30</v>
      </c>
      <c r="AC61" s="51" t="s">
        <v>334</v>
      </c>
      <c r="AO61" s="49"/>
    </row>
    <row r="62" spans="1:42">
      <c r="A62" s="108">
        <v>9</v>
      </c>
      <c r="B62" s="62">
        <v>5</v>
      </c>
      <c r="C62" s="51" t="s">
        <v>335</v>
      </c>
      <c r="J62" s="109">
        <v>24</v>
      </c>
      <c r="K62" s="62">
        <v>14</v>
      </c>
      <c r="L62" s="51" t="s">
        <v>336</v>
      </c>
      <c r="Q62" s="109">
        <v>33</v>
      </c>
      <c r="R62" s="62">
        <v>22</v>
      </c>
      <c r="S62" s="51" t="s">
        <v>246</v>
      </c>
      <c r="AA62" s="109">
        <v>47</v>
      </c>
      <c r="AB62" s="62">
        <v>31</v>
      </c>
      <c r="AC62" s="51" t="s">
        <v>247</v>
      </c>
      <c r="AO62" s="49"/>
    </row>
    <row r="63" spans="1:42">
      <c r="A63" s="108">
        <v>10</v>
      </c>
      <c r="B63" s="62">
        <v>6</v>
      </c>
      <c r="C63" s="51" t="s">
        <v>151</v>
      </c>
      <c r="J63" s="109">
        <v>25</v>
      </c>
      <c r="K63" s="62">
        <v>14</v>
      </c>
      <c r="L63" s="51" t="s">
        <v>152</v>
      </c>
      <c r="Q63" s="109">
        <v>34</v>
      </c>
      <c r="R63" s="62">
        <v>23</v>
      </c>
      <c r="S63" s="51" t="s">
        <v>153</v>
      </c>
      <c r="AA63" s="109">
        <v>48</v>
      </c>
      <c r="AB63" s="62">
        <v>31</v>
      </c>
      <c r="AC63" s="51" t="s">
        <v>154</v>
      </c>
      <c r="AO63" s="49"/>
    </row>
    <row r="64" spans="1:42">
      <c r="A64" s="108">
        <v>11</v>
      </c>
      <c r="B64" s="62">
        <v>7</v>
      </c>
      <c r="C64" s="51" t="s">
        <v>155</v>
      </c>
      <c r="J64" s="109"/>
      <c r="K64" s="62"/>
      <c r="L64" s="89"/>
      <c r="Q64" s="109">
        <v>35</v>
      </c>
      <c r="R64" s="62">
        <v>23</v>
      </c>
      <c r="S64" s="51" t="s">
        <v>251</v>
      </c>
      <c r="AA64" s="109">
        <v>49</v>
      </c>
      <c r="AB64" s="62">
        <v>32</v>
      </c>
      <c r="AC64" s="51" t="s">
        <v>252</v>
      </c>
      <c r="AO64" s="49"/>
    </row>
    <row r="65" spans="1:41">
      <c r="A65" s="108">
        <v>12</v>
      </c>
      <c r="B65" s="62">
        <v>8</v>
      </c>
      <c r="C65" s="51" t="s">
        <v>253</v>
      </c>
      <c r="J65" s="109"/>
      <c r="Q65" s="109">
        <v>36</v>
      </c>
      <c r="R65" s="62">
        <v>23</v>
      </c>
      <c r="S65" s="51" t="s">
        <v>161</v>
      </c>
      <c r="AA65" s="109">
        <v>50</v>
      </c>
      <c r="AB65" s="62">
        <v>32</v>
      </c>
      <c r="AC65" s="51" t="s">
        <v>160</v>
      </c>
      <c r="AO65" s="49"/>
    </row>
    <row r="66" spans="1:41">
      <c r="A66" s="108">
        <v>13</v>
      </c>
      <c r="B66" s="62">
        <v>3</v>
      </c>
      <c r="C66" s="51" t="s">
        <v>167</v>
      </c>
      <c r="J66" s="109"/>
      <c r="Q66" s="109">
        <v>37</v>
      </c>
      <c r="R66" s="62">
        <v>23</v>
      </c>
      <c r="S66" s="51">
        <v>0</v>
      </c>
      <c r="AA66" s="109">
        <v>51</v>
      </c>
      <c r="AB66" s="62">
        <v>32</v>
      </c>
      <c r="AC66" s="51" t="s">
        <v>213</v>
      </c>
      <c r="AO66" s="49"/>
    </row>
    <row r="67" spans="1:41">
      <c r="A67" s="34"/>
      <c r="B67" s="63"/>
      <c r="C67" s="49"/>
      <c r="D67" s="64"/>
      <c r="J67" s="49"/>
      <c r="Q67" s="109">
        <v>38</v>
      </c>
      <c r="R67" s="62">
        <v>23</v>
      </c>
      <c r="S67" s="51">
        <v>0</v>
      </c>
      <c r="AA67" s="109">
        <v>52</v>
      </c>
      <c r="AB67" s="62">
        <v>33</v>
      </c>
      <c r="AC67" s="51" t="s">
        <v>51</v>
      </c>
      <c r="AO67" s="49"/>
    </row>
    <row r="68" spans="1:41">
      <c r="A68" s="34"/>
      <c r="B68" s="49"/>
      <c r="C68" s="49"/>
      <c r="D68" s="49"/>
      <c r="J68" s="49"/>
      <c r="Q68" s="109">
        <v>39</v>
      </c>
      <c r="R68" s="62">
        <v>23</v>
      </c>
      <c r="S68" s="51">
        <v>0</v>
      </c>
      <c r="AA68" s="109">
        <v>53</v>
      </c>
      <c r="AB68" s="62">
        <v>33</v>
      </c>
      <c r="AC68" s="51" t="s">
        <v>52</v>
      </c>
      <c r="AO68" s="49"/>
    </row>
    <row r="69" spans="1:41">
      <c r="A69" s="34"/>
      <c r="B69" s="49"/>
      <c r="C69" s="49"/>
      <c r="D69" s="49"/>
      <c r="J69" s="49"/>
      <c r="Q69" s="49"/>
      <c r="R69" s="62"/>
      <c r="S69" s="89"/>
      <c r="AA69" s="109">
        <v>54</v>
      </c>
      <c r="AB69" s="62">
        <v>34</v>
      </c>
      <c r="AC69" s="51" t="s">
        <v>53</v>
      </c>
      <c r="AO69" s="49"/>
    </row>
    <row r="70" spans="1:41">
      <c r="A70" s="34"/>
      <c r="B70" s="49"/>
      <c r="C70" s="49"/>
      <c r="D70" s="49"/>
      <c r="J70" s="49"/>
      <c r="Q70" s="49"/>
      <c r="R70" s="62"/>
      <c r="S70" s="89"/>
      <c r="AA70" s="109">
        <v>55</v>
      </c>
      <c r="AB70" s="62">
        <v>35</v>
      </c>
      <c r="AC70" s="51" t="s">
        <v>164</v>
      </c>
      <c r="AO70" s="49"/>
    </row>
    <row r="71" spans="1:41">
      <c r="A71" s="34"/>
      <c r="B71" s="49"/>
      <c r="C71" s="49"/>
      <c r="D71" s="49"/>
      <c r="J71" s="49"/>
      <c r="Q71" s="49"/>
      <c r="R71" s="62"/>
      <c r="S71" s="89"/>
      <c r="AA71" s="109">
        <v>56</v>
      </c>
      <c r="AB71" s="62">
        <v>36</v>
      </c>
      <c r="AC71" s="51" t="s">
        <v>165</v>
      </c>
      <c r="AO71" s="49"/>
    </row>
    <row r="72" spans="1:41">
      <c r="A72" s="34"/>
      <c r="B72" s="49"/>
      <c r="C72" s="49"/>
      <c r="D72" s="49"/>
      <c r="J72" s="49"/>
      <c r="Q72" s="49"/>
      <c r="R72" s="62"/>
      <c r="S72" s="89"/>
      <c r="AA72" s="109">
        <v>57</v>
      </c>
      <c r="AB72" s="62">
        <v>36</v>
      </c>
      <c r="AC72" s="51" t="s">
        <v>72</v>
      </c>
      <c r="AO72" s="49"/>
    </row>
    <row r="73" spans="1:41">
      <c r="A73" s="34"/>
      <c r="B73" s="49"/>
      <c r="C73" s="49"/>
      <c r="D73" s="49"/>
      <c r="J73" s="49"/>
      <c r="Q73" s="49"/>
      <c r="AA73" s="49"/>
      <c r="AO73" s="49"/>
    </row>
    <row r="75" spans="1:41">
      <c r="A75" s="299" t="s">
        <v>318</v>
      </c>
      <c r="B75" s="156" t="s">
        <v>276</v>
      </c>
      <c r="C75" s="298" t="s">
        <v>391</v>
      </c>
      <c r="D75" s="298" t="s">
        <v>319</v>
      </c>
      <c r="E75" s="298" t="s">
        <v>320</v>
      </c>
      <c r="F75" s="298" t="s">
        <v>321</v>
      </c>
      <c r="G75" s="298" t="s">
        <v>322</v>
      </c>
    </row>
    <row r="76" spans="1:41">
      <c r="A76" s="15" t="s">
        <v>452</v>
      </c>
      <c r="B76" s="126">
        <v>3</v>
      </c>
      <c r="C76" s="262">
        <v>5.75</v>
      </c>
      <c r="D76" s="262">
        <v>7.75</v>
      </c>
      <c r="E76" s="262">
        <v>9</v>
      </c>
      <c r="F76" s="262">
        <v>4.2222222222222223</v>
      </c>
      <c r="G76" s="262">
        <v>4.0769230769230766</v>
      </c>
      <c r="H76" t="str">
        <f>A76</f>
        <v xml:space="preserve">Ministero  per i beni e le attività culturali                                                       </v>
      </c>
    </row>
    <row r="77" spans="1:41">
      <c r="A77" s="11" t="s">
        <v>453</v>
      </c>
      <c r="B77" s="19">
        <v>7</v>
      </c>
      <c r="C77" s="154">
        <v>2.4166666666666665</v>
      </c>
      <c r="D77" s="154">
        <v>1.5</v>
      </c>
      <c r="E77" s="154">
        <v>0</v>
      </c>
      <c r="F77" s="154">
        <v>3.8888888888888888</v>
      </c>
      <c r="G77" s="154">
        <v>3.0769230769230771</v>
      </c>
      <c r="H77" t="str">
        <f t="shared" ref="H77:H124" si="0">A77</f>
        <v xml:space="preserve">Ministero della difesa                                                                              </v>
      </c>
    </row>
    <row r="78" spans="1:41">
      <c r="A78" s="11" t="s">
        <v>326</v>
      </c>
      <c r="B78" s="19">
        <v>8</v>
      </c>
      <c r="C78" s="154">
        <v>5.8611111111111107</v>
      </c>
      <c r="D78" s="154">
        <v>8.5</v>
      </c>
      <c r="E78" s="154">
        <v>8.6666666666666661</v>
      </c>
      <c r="F78" s="154">
        <v>4.4444444444444446</v>
      </c>
      <c r="G78" s="154">
        <v>3.9230769230769229</v>
      </c>
      <c r="H78" t="str">
        <f t="shared" si="0"/>
        <v xml:space="preserve">Ministero degli affari esteri                                                                       </v>
      </c>
    </row>
    <row r="79" spans="1:41">
      <c r="A79" s="11" t="s">
        <v>339</v>
      </c>
      <c r="B79" s="19">
        <v>11</v>
      </c>
      <c r="C79" s="154">
        <v>8.3333333333333339</v>
      </c>
      <c r="D79" s="154">
        <v>10</v>
      </c>
      <c r="E79" s="154">
        <v>8.3333333333333339</v>
      </c>
      <c r="F79" s="154">
        <v>8.1111111111111107</v>
      </c>
      <c r="G79" s="154">
        <v>7.4615384615384617</v>
      </c>
      <c r="H79" t="str">
        <f t="shared" si="0"/>
        <v xml:space="preserve">Ministero della giustizia                                                                           </v>
      </c>
    </row>
    <row r="80" spans="1:41">
      <c r="A80" s="11" t="s">
        <v>433</v>
      </c>
      <c r="B80" s="19">
        <v>14</v>
      </c>
      <c r="C80" s="154">
        <v>8.1666666666666661</v>
      </c>
      <c r="D80" s="154">
        <v>7.375</v>
      </c>
      <c r="E80" s="154">
        <v>10</v>
      </c>
      <c r="F80" s="154">
        <v>8</v>
      </c>
      <c r="G80" s="154">
        <v>7.9230769230769234</v>
      </c>
      <c r="H80" t="str">
        <f t="shared" si="0"/>
        <v xml:space="preserve">Istituto nazionale di statistica                                                                    </v>
      </c>
    </row>
    <row r="81" spans="1:8">
      <c r="A81" s="11" t="s">
        <v>353</v>
      </c>
      <c r="B81" s="19">
        <v>17</v>
      </c>
      <c r="C81" s="154">
        <v>8.8333333333333339</v>
      </c>
      <c r="D81" s="154">
        <v>8.5</v>
      </c>
      <c r="E81" s="154">
        <v>9.3333333333333339</v>
      </c>
      <c r="F81" s="154">
        <v>8.3333333333333339</v>
      </c>
      <c r="G81" s="154">
        <v>9.1538461538461533</v>
      </c>
      <c r="H81" t="str">
        <f t="shared" si="0"/>
        <v xml:space="preserve">Ministero dell'istruzione, università e ricerca                                               </v>
      </c>
    </row>
    <row r="82" spans="1:8">
      <c r="A82" s="11" t="s">
        <v>387</v>
      </c>
      <c r="B82" s="19">
        <v>20</v>
      </c>
      <c r="C82" s="154">
        <v>7.4722222222222223</v>
      </c>
      <c r="D82" s="154">
        <v>6.5</v>
      </c>
      <c r="E82" s="154">
        <v>7</v>
      </c>
      <c r="F82" s="154">
        <v>9.3333333333333339</v>
      </c>
      <c r="G82" s="154">
        <v>7</v>
      </c>
      <c r="H82" t="str">
        <f t="shared" si="0"/>
        <v xml:space="preserve">Ministero della salute                                                                        </v>
      </c>
    </row>
    <row r="83" spans="1:8">
      <c r="A83" s="11" t="s">
        <v>394</v>
      </c>
      <c r="B83" s="19">
        <v>21</v>
      </c>
      <c r="C83" s="154">
        <v>4.916666666666667</v>
      </c>
      <c r="D83" s="154">
        <v>6</v>
      </c>
      <c r="E83" s="154">
        <v>8.3333333333333339</v>
      </c>
      <c r="F83" s="154">
        <v>2.4444444444444446</v>
      </c>
      <c r="G83" s="154">
        <v>4.384615384615385</v>
      </c>
      <c r="H83" t="str">
        <f t="shared" si="0"/>
        <v xml:space="preserve">Ministero delle comunicazioni                                                                       </v>
      </c>
    </row>
    <row r="84" spans="1:8">
      <c r="A84" s="11" t="s">
        <v>412</v>
      </c>
      <c r="B84" s="19">
        <v>22</v>
      </c>
      <c r="C84" s="154">
        <v>6</v>
      </c>
      <c r="D84" s="154">
        <v>7.5</v>
      </c>
      <c r="E84" s="154">
        <v>7.666666666666667</v>
      </c>
      <c r="F84" s="154">
        <v>5.2222222222222223</v>
      </c>
      <c r="G84" s="154">
        <v>4.8461538461538458</v>
      </c>
      <c r="H84" t="str">
        <f t="shared" si="0"/>
        <v xml:space="preserve">Presidenza del Consiglio dei ministri                                                       </v>
      </c>
    </row>
    <row r="85" spans="1:8">
      <c r="A85" s="11" t="s">
        <v>350</v>
      </c>
      <c r="B85" s="19">
        <v>33</v>
      </c>
      <c r="C85" s="154">
        <v>7.0277777777777777</v>
      </c>
      <c r="D85" s="154">
        <v>8.75</v>
      </c>
      <c r="E85" s="154">
        <v>10</v>
      </c>
      <c r="F85" s="154">
        <v>6.333333333333333</v>
      </c>
      <c r="G85" s="154">
        <v>5.0769230769230766</v>
      </c>
      <c r="H85" t="str">
        <f t="shared" si="0"/>
        <v xml:space="preserve">Corte dei conti                                                                                     </v>
      </c>
    </row>
    <row r="86" spans="1:8">
      <c r="A86" s="11" t="s">
        <v>451</v>
      </c>
      <c r="B86" s="19">
        <v>34</v>
      </c>
      <c r="C86" s="154">
        <v>8.2222222222222214</v>
      </c>
      <c r="D86" s="154">
        <v>8.75</v>
      </c>
      <c r="E86" s="154">
        <v>9</v>
      </c>
      <c r="F86" s="154">
        <v>9.1111111111111107</v>
      </c>
      <c r="G86" s="154">
        <v>6.9230769230769234</v>
      </c>
      <c r="H86" t="str">
        <f t="shared" si="0"/>
        <v xml:space="preserve">Istituto superiore di sanità                                                                        </v>
      </c>
    </row>
    <row r="87" spans="1:8">
      <c r="A87" s="11" t="s">
        <v>329</v>
      </c>
      <c r="B87" s="19">
        <v>36</v>
      </c>
      <c r="C87" s="154">
        <v>6.5277777777777777</v>
      </c>
      <c r="D87" s="154">
        <v>7.625</v>
      </c>
      <c r="E87" s="154">
        <v>10</v>
      </c>
      <c r="F87" s="154">
        <v>7.7777777777777777</v>
      </c>
      <c r="G87" s="154">
        <v>3.3846153846153846</v>
      </c>
      <c r="H87" t="str">
        <f t="shared" si="0"/>
        <v xml:space="preserve">Istituto dei postelegrafonici                                                                       </v>
      </c>
    </row>
    <row r="88" spans="1:8">
      <c r="A88" s="11" t="s">
        <v>426</v>
      </c>
      <c r="B88" s="19">
        <v>37</v>
      </c>
      <c r="C88" s="154">
        <v>8.1111111111111107</v>
      </c>
      <c r="D88" s="154">
        <v>6</v>
      </c>
      <c r="E88" s="154">
        <v>9.3333333333333339</v>
      </c>
      <c r="F88" s="154">
        <v>7.4444444444444446</v>
      </c>
      <c r="G88" s="154">
        <v>9.3076923076923084</v>
      </c>
      <c r="H88" t="str">
        <f t="shared" si="0"/>
        <v xml:space="preserve">Automobile club d'Italia                                                                            </v>
      </c>
    </row>
    <row r="89" spans="1:8">
      <c r="A89" s="11" t="s">
        <v>403</v>
      </c>
      <c r="B89" s="19">
        <v>45</v>
      </c>
      <c r="C89" s="154">
        <v>6.4444444444444446</v>
      </c>
      <c r="D89" s="154">
        <v>9</v>
      </c>
      <c r="E89" s="154">
        <v>7</v>
      </c>
      <c r="F89" s="154">
        <v>6</v>
      </c>
      <c r="G89" s="154">
        <v>4.9230769230769234</v>
      </c>
      <c r="H89" t="str">
        <f t="shared" si="0"/>
        <v xml:space="preserve">Istituto nazionale per il commercio estero                                                          </v>
      </c>
    </row>
    <row r="90" spans="1:8">
      <c r="A90" s="11" t="s">
        <v>354</v>
      </c>
      <c r="B90" s="19">
        <v>46</v>
      </c>
      <c r="C90" s="154">
        <v>5.75</v>
      </c>
      <c r="D90" s="154">
        <v>6.875</v>
      </c>
      <c r="E90" s="154">
        <v>3.6666666666666665</v>
      </c>
      <c r="F90" s="154">
        <v>4.8888888888888893</v>
      </c>
      <c r="G90" s="154">
        <v>6.615384615384615</v>
      </c>
      <c r="H90" t="str">
        <f t="shared" si="0"/>
        <v xml:space="preserve">Istituto nazionale per l'assicurazione infortuni sul lavoro                                         </v>
      </c>
    </row>
    <row r="91" spans="1:8">
      <c r="A91" s="11" t="s">
        <v>341</v>
      </c>
      <c r="B91" s="19">
        <v>48</v>
      </c>
      <c r="C91" s="154">
        <v>5.1388888888888893</v>
      </c>
      <c r="D91" s="154">
        <v>6.75</v>
      </c>
      <c r="E91" s="154">
        <v>6.666666666666667</v>
      </c>
      <c r="F91" s="154">
        <v>5.2222222222222223</v>
      </c>
      <c r="G91" s="154">
        <v>3.3846153846153846</v>
      </c>
      <c r="H91" t="str">
        <f t="shared" si="0"/>
        <v xml:space="preserve">Istituto nazionale di previdenza dei dipendenti dell'amministrazione pubblica                       </v>
      </c>
    </row>
    <row r="92" spans="1:8">
      <c r="A92" s="11" t="s">
        <v>373</v>
      </c>
      <c r="B92" s="19">
        <v>50</v>
      </c>
      <c r="C92" s="154">
        <v>6.166666666666667</v>
      </c>
      <c r="D92" s="154">
        <v>6.5</v>
      </c>
      <c r="E92" s="154">
        <v>7.333333333333333</v>
      </c>
      <c r="F92" s="154">
        <v>5.2222222222222223</v>
      </c>
      <c r="G92" s="154">
        <v>6.0769230769230766</v>
      </c>
      <c r="H92" t="str">
        <f t="shared" si="0"/>
        <v xml:space="preserve">Istituto nazionale per la previdenza sociale                                                        </v>
      </c>
    </row>
    <row r="93" spans="1:8">
      <c r="A93" s="11" t="s">
        <v>352</v>
      </c>
      <c r="B93" s="19">
        <v>52</v>
      </c>
      <c r="C93" s="154">
        <v>8.4166666666666661</v>
      </c>
      <c r="D93" s="154">
        <v>7.5</v>
      </c>
      <c r="E93" s="154">
        <v>7.666666666666667</v>
      </c>
      <c r="F93" s="154">
        <v>8.2222222222222214</v>
      </c>
      <c r="G93" s="154">
        <v>9.4615384615384617</v>
      </c>
      <c r="H93" t="str">
        <f t="shared" si="0"/>
        <v xml:space="preserve">Arma dei Carabinieri                                                                                </v>
      </c>
    </row>
    <row r="94" spans="1:8">
      <c r="A94" s="11" t="s">
        <v>357</v>
      </c>
      <c r="B94" s="19">
        <v>57</v>
      </c>
      <c r="C94" s="154">
        <v>6.083333333333333</v>
      </c>
      <c r="D94" s="154">
        <v>7.5</v>
      </c>
      <c r="E94" s="154">
        <v>7</v>
      </c>
      <c r="F94" s="154">
        <v>3.7777777777777777</v>
      </c>
      <c r="G94" s="154">
        <v>6.384615384615385</v>
      </c>
      <c r="H94" t="str">
        <f t="shared" si="0"/>
        <v xml:space="preserve">Avvocatura Generale dello Stato                                  </v>
      </c>
    </row>
    <row r="95" spans="1:8">
      <c r="A95" s="11" t="s">
        <v>450</v>
      </c>
      <c r="B95" s="19">
        <v>60</v>
      </c>
      <c r="C95" s="154">
        <v>3.6111111111111112</v>
      </c>
      <c r="D95" s="154">
        <v>4</v>
      </c>
      <c r="E95" s="154">
        <v>6.666666666666667</v>
      </c>
      <c r="F95" s="154">
        <v>3</v>
      </c>
      <c r="G95" s="154">
        <v>2.3846153846153846</v>
      </c>
      <c r="H95" t="str">
        <f t="shared" si="0"/>
        <v xml:space="preserve">Istituto nazionale di economia agraria                                                       </v>
      </c>
    </row>
    <row r="96" spans="1:8">
      <c r="A96" s="11" t="s">
        <v>346</v>
      </c>
      <c r="B96" s="19">
        <v>61</v>
      </c>
      <c r="C96" s="154">
        <v>2.5555555555555554</v>
      </c>
      <c r="D96" s="154">
        <v>2.875</v>
      </c>
      <c r="E96" s="154">
        <v>2</v>
      </c>
      <c r="F96" s="154">
        <v>0</v>
      </c>
      <c r="G96" s="154">
        <v>4.384615384615385</v>
      </c>
      <c r="H96" t="str">
        <f t="shared" si="0"/>
        <v>ENAM</v>
      </c>
    </row>
    <row r="97" spans="1:8">
      <c r="A97" s="11" t="s">
        <v>351</v>
      </c>
      <c r="B97" s="19">
        <v>62</v>
      </c>
      <c r="C97" s="154">
        <v>7.3055555555555554</v>
      </c>
      <c r="D97" s="154">
        <v>8.75</v>
      </c>
      <c r="E97" s="154">
        <v>7.333333333333333</v>
      </c>
      <c r="F97" s="154">
        <v>5.5555555555555554</v>
      </c>
      <c r="G97" s="154">
        <v>7.615384615384615</v>
      </c>
      <c r="H97" t="str">
        <f t="shared" si="0"/>
        <v xml:space="preserve">Ente nazionale previdenza assistenza lavoratori dello spettacolo                                    </v>
      </c>
    </row>
    <row r="98" spans="1:8">
      <c r="A98" s="11" t="s">
        <v>430</v>
      </c>
      <c r="B98" s="19">
        <v>64</v>
      </c>
      <c r="C98" s="154">
        <v>4.9444444444444446</v>
      </c>
      <c r="D98" s="154">
        <v>6.75</v>
      </c>
      <c r="E98" s="154">
        <v>4.333333333333333</v>
      </c>
      <c r="F98" s="154">
        <v>3.3333333333333335</v>
      </c>
      <c r="G98" s="154">
        <v>5.2307692307692308</v>
      </c>
      <c r="H98" t="str">
        <f t="shared" si="0"/>
        <v xml:space="preserve">Unione nazionale incremento razze equine                                                            </v>
      </c>
    </row>
    <row r="99" spans="1:8">
      <c r="A99" s="11" t="s">
        <v>328</v>
      </c>
      <c r="B99" s="19">
        <v>68</v>
      </c>
      <c r="C99" s="154">
        <v>4.1111111111111107</v>
      </c>
      <c r="D99" s="154">
        <v>5.75</v>
      </c>
      <c r="E99" s="154">
        <v>4</v>
      </c>
      <c r="F99" s="154">
        <v>0.44444444444444442</v>
      </c>
      <c r="G99" s="154">
        <v>5.6923076923076925</v>
      </c>
      <c r="H99" t="str">
        <f t="shared" si="0"/>
        <v xml:space="preserve">Ente nazionale italiano per il turismo                                                              </v>
      </c>
    </row>
    <row r="100" spans="1:8">
      <c r="A100" s="11" t="s">
        <v>338</v>
      </c>
      <c r="B100" s="19">
        <v>71</v>
      </c>
      <c r="C100" s="154">
        <v>6.916666666666667</v>
      </c>
      <c r="D100" s="154">
        <v>9.25</v>
      </c>
      <c r="E100" s="154">
        <v>9</v>
      </c>
      <c r="F100" s="154">
        <v>6.333333333333333</v>
      </c>
      <c r="G100" s="154">
        <v>4.9230769230769234</v>
      </c>
      <c r="H100" t="str">
        <f t="shared" si="0"/>
        <v xml:space="preserve">Ministero dell'economia e finanze - Area tesoro        </v>
      </c>
    </row>
    <row r="101" spans="1:8">
      <c r="A101" s="11" t="s">
        <v>309</v>
      </c>
      <c r="B101" s="19">
        <v>77</v>
      </c>
      <c r="C101" s="154">
        <v>5.5555555555555554</v>
      </c>
      <c r="D101" s="154">
        <v>5.75</v>
      </c>
      <c r="E101" s="154">
        <v>2.6666666666666665</v>
      </c>
      <c r="F101" s="154">
        <v>3</v>
      </c>
      <c r="G101" s="154">
        <v>8.5384615384615383</v>
      </c>
      <c r="H101" t="str">
        <f t="shared" si="0"/>
        <v xml:space="preserve">Istituto di Studi per l'Analisi Economica                                                           </v>
      </c>
    </row>
    <row r="102" spans="1:8">
      <c r="A102" s="11" t="s">
        <v>356</v>
      </c>
      <c r="B102" s="19">
        <v>82</v>
      </c>
      <c r="C102" s="154">
        <v>5.9722222222222223</v>
      </c>
      <c r="D102" s="154">
        <v>8.375</v>
      </c>
      <c r="E102" s="154">
        <v>8.3333333333333339</v>
      </c>
      <c r="F102" s="154">
        <v>4.5555555555555554</v>
      </c>
      <c r="G102" s="154">
        <v>4.384615384615385</v>
      </c>
      <c r="H102" t="str">
        <f t="shared" si="0"/>
        <v xml:space="preserve">Scuola Superiore della Pubblica Amministrazione                                               </v>
      </c>
    </row>
    <row r="103" spans="1:8">
      <c r="A103" s="11" t="s">
        <v>333</v>
      </c>
      <c r="B103" s="19">
        <v>101</v>
      </c>
      <c r="C103" s="154">
        <v>6.4722222222222223</v>
      </c>
      <c r="D103" s="154">
        <v>6</v>
      </c>
      <c r="E103" s="154">
        <v>5.666666666666667</v>
      </c>
      <c r="F103" s="154">
        <v>7.5555555555555554</v>
      </c>
      <c r="G103" s="154">
        <v>6.384615384615385</v>
      </c>
      <c r="H103" t="str">
        <f t="shared" si="0"/>
        <v xml:space="preserve">Consiglio di Stato                                                                                  </v>
      </c>
    </row>
    <row r="104" spans="1:8">
      <c r="A104" s="11" t="s">
        <v>405</v>
      </c>
      <c r="B104" s="19">
        <v>102</v>
      </c>
      <c r="C104" s="154">
        <v>5.3888888888888893</v>
      </c>
      <c r="D104" s="154">
        <v>7.5</v>
      </c>
      <c r="E104" s="154">
        <v>7.666666666666667</v>
      </c>
      <c r="F104" s="154">
        <v>5.2222222222222223</v>
      </c>
      <c r="G104" s="154">
        <v>3.1538461538461537</v>
      </c>
      <c r="H104" t="str">
        <f t="shared" si="0"/>
        <v>Ministero dell'ambiente e della tutela del territorio</v>
      </c>
    </row>
    <row r="105" spans="1:8">
      <c r="A105" s="11" t="s">
        <v>406</v>
      </c>
      <c r="B105" s="19">
        <v>103</v>
      </c>
      <c r="C105" s="154">
        <v>4.583333333333333</v>
      </c>
      <c r="D105" s="154">
        <v>7.25</v>
      </c>
      <c r="E105" s="154">
        <v>7.666666666666667</v>
      </c>
      <c r="F105" s="154">
        <v>6.1111111111111107</v>
      </c>
      <c r="G105" s="154">
        <v>0.46153846153846156</v>
      </c>
      <c r="H105" t="str">
        <f t="shared" si="0"/>
        <v>Ministero delle attività produttive</v>
      </c>
    </row>
    <row r="106" spans="1:8">
      <c r="A106" s="11" t="s">
        <v>407</v>
      </c>
      <c r="B106" s="19">
        <v>104</v>
      </c>
      <c r="C106" s="154">
        <v>4.1111111111111107</v>
      </c>
      <c r="D106" s="154">
        <v>6.75</v>
      </c>
      <c r="E106" s="154">
        <v>7</v>
      </c>
      <c r="F106" s="154">
        <v>1.5555555555555556</v>
      </c>
      <c r="G106" s="154">
        <v>2.9230769230769229</v>
      </c>
      <c r="H106" t="str">
        <f t="shared" si="0"/>
        <v xml:space="preserve">Ministero del commercio internazionale                                                   </v>
      </c>
    </row>
    <row r="107" spans="1:8">
      <c r="A107" s="11" t="s">
        <v>408</v>
      </c>
      <c r="B107" s="19">
        <v>105</v>
      </c>
      <c r="C107" s="154">
        <v>8.6111111111111107</v>
      </c>
      <c r="D107" s="154">
        <v>9.25</v>
      </c>
      <c r="E107" s="154">
        <v>8.6666666666666661</v>
      </c>
      <c r="F107" s="154">
        <v>8.5555555555555554</v>
      </c>
      <c r="G107" s="154">
        <v>8.2307692307692299</v>
      </c>
      <c r="H107" t="str">
        <f t="shared" si="0"/>
        <v>Dipartimento delle Politiche Fiscali</v>
      </c>
    </row>
    <row r="108" spans="1:8">
      <c r="A108" s="11" t="s">
        <v>409</v>
      </c>
      <c r="B108" s="19">
        <v>106</v>
      </c>
      <c r="C108" s="154">
        <v>8.6666666666666661</v>
      </c>
      <c r="D108" s="154">
        <v>7.75</v>
      </c>
      <c r="E108" s="154">
        <v>8.3333333333333339</v>
      </c>
      <c r="F108" s="154">
        <v>9.4444444444444446</v>
      </c>
      <c r="G108" s="154">
        <v>8.8461538461538467</v>
      </c>
      <c r="H108" t="str">
        <f t="shared" si="0"/>
        <v>AGENZIA DELLE DOGANE</v>
      </c>
    </row>
    <row r="109" spans="1:8">
      <c r="A109" s="11" t="s">
        <v>410</v>
      </c>
      <c r="B109" s="19">
        <v>107</v>
      </c>
      <c r="C109" s="154">
        <v>0.1111111111111111</v>
      </c>
      <c r="D109" s="154">
        <v>0</v>
      </c>
      <c r="E109" s="154">
        <v>0</v>
      </c>
      <c r="F109" s="154">
        <v>0.44444444444444442</v>
      </c>
      <c r="G109" s="154">
        <v>0</v>
      </c>
      <c r="H109" t="str">
        <f t="shared" si="0"/>
        <v>AGENZIA DELLE ENTRATE</v>
      </c>
    </row>
    <row r="110" spans="1:8">
      <c r="A110" s="11" t="s">
        <v>411</v>
      </c>
      <c r="B110" s="19">
        <v>108</v>
      </c>
      <c r="C110" s="154">
        <v>8.4166666666666661</v>
      </c>
      <c r="D110" s="154">
        <v>9.5</v>
      </c>
      <c r="E110" s="154">
        <v>7.666666666666667</v>
      </c>
      <c r="F110" s="154">
        <v>7.4444444444444446</v>
      </c>
      <c r="G110" s="154">
        <v>8.7692307692307701</v>
      </c>
      <c r="H110" t="str">
        <f t="shared" si="0"/>
        <v>AGENZIA DEL TERRITORIO</v>
      </c>
    </row>
    <row r="111" spans="1:8">
      <c r="A111" s="11" t="s">
        <v>337</v>
      </c>
      <c r="B111" s="19">
        <v>109</v>
      </c>
      <c r="C111" s="154">
        <v>6.5555555555555554</v>
      </c>
      <c r="D111" s="154">
        <v>8.5</v>
      </c>
      <c r="E111" s="154">
        <v>9.3333333333333339</v>
      </c>
      <c r="F111" s="154">
        <v>5.5555555555555554</v>
      </c>
      <c r="G111" s="154">
        <v>4.7692307692307692</v>
      </c>
      <c r="H111" t="str">
        <f t="shared" si="0"/>
        <v xml:space="preserve">Comando Generale Guardia di finanza                               </v>
      </c>
    </row>
    <row r="112" spans="1:8">
      <c r="A112" s="11" t="s">
        <v>248</v>
      </c>
      <c r="B112" s="19">
        <v>110</v>
      </c>
      <c r="C112" s="154">
        <v>8.9722222222222214</v>
      </c>
      <c r="D112" s="154">
        <v>10</v>
      </c>
      <c r="E112" s="154">
        <v>9.3333333333333339</v>
      </c>
      <c r="F112" s="154">
        <v>7.8888888888888893</v>
      </c>
      <c r="G112" s="154">
        <v>8.9230769230769234</v>
      </c>
      <c r="H112" t="str">
        <f t="shared" si="0"/>
        <v xml:space="preserve">Ministero dell'interno                                                                              </v>
      </c>
    </row>
    <row r="113" spans="1:8">
      <c r="A113" s="11" t="s">
        <v>249</v>
      </c>
      <c r="B113" s="19">
        <v>111</v>
      </c>
      <c r="C113" s="154">
        <v>7.6388888888888893</v>
      </c>
      <c r="D113" s="154">
        <v>7.5</v>
      </c>
      <c r="E113" s="154">
        <v>8.6666666666666661</v>
      </c>
      <c r="F113" s="154">
        <v>6.666666666666667</v>
      </c>
      <c r="G113" s="154">
        <v>7.9230769230769234</v>
      </c>
      <c r="H113" t="str">
        <f t="shared" si="0"/>
        <v xml:space="preserve">Ministero delle politiche agricole e forestali                                                      </v>
      </c>
    </row>
    <row r="114" spans="1:8">
      <c r="A114" s="11" t="s">
        <v>250</v>
      </c>
      <c r="B114" s="19">
        <v>112</v>
      </c>
      <c r="C114" s="154">
        <v>8.1666666666666661</v>
      </c>
      <c r="D114" s="154">
        <v>9.75</v>
      </c>
      <c r="E114" s="154">
        <v>8.6666666666666661</v>
      </c>
      <c r="F114" s="154">
        <v>8.5555555555555554</v>
      </c>
      <c r="G114" s="154">
        <v>6.6923076923076925</v>
      </c>
      <c r="H114" t="str">
        <f t="shared" si="0"/>
        <v xml:space="preserve">Corpo forestale dello Stato                                                                         </v>
      </c>
    </row>
    <row r="115" spans="1:8">
      <c r="A115" s="11" t="s">
        <v>342</v>
      </c>
      <c r="B115" s="19">
        <v>113</v>
      </c>
      <c r="C115" s="154">
        <v>8.1666666666666661</v>
      </c>
      <c r="D115" s="154">
        <v>8.75</v>
      </c>
      <c r="E115" s="154">
        <v>7.666666666666667</v>
      </c>
      <c r="F115" s="154">
        <v>8.5555555555555554</v>
      </c>
      <c r="G115" s="154">
        <v>7.7692307692307692</v>
      </c>
      <c r="H115" t="str">
        <f t="shared" si="0"/>
        <v xml:space="preserve">Agenzia per le erogazioni in agricoltura                                                            </v>
      </c>
    </row>
    <row r="116" spans="1:8">
      <c r="A116" s="11" t="s">
        <v>343</v>
      </c>
      <c r="B116" s="19">
        <v>114</v>
      </c>
      <c r="C116" s="154">
        <v>5.1388888888888893</v>
      </c>
      <c r="D116" s="154">
        <v>6</v>
      </c>
      <c r="E116" s="154">
        <v>7.333333333333333</v>
      </c>
      <c r="F116" s="154">
        <v>5.8888888888888893</v>
      </c>
      <c r="G116" s="154">
        <v>3.0769230769230771</v>
      </c>
      <c r="H116" t="str">
        <f t="shared" si="0"/>
        <v xml:space="preserve">Consiglio nazionale delle ricerche                                                                  </v>
      </c>
    </row>
    <row r="117" spans="1:8">
      <c r="A117" s="11" t="s">
        <v>344</v>
      </c>
      <c r="B117" s="19">
        <v>115</v>
      </c>
      <c r="C117" s="154">
        <v>5.6111111111111107</v>
      </c>
      <c r="D117" s="154">
        <v>7.625</v>
      </c>
      <c r="E117" s="154">
        <v>5</v>
      </c>
      <c r="F117" s="154">
        <v>6</v>
      </c>
      <c r="G117" s="154">
        <v>4.384615384615385</v>
      </c>
      <c r="H117" t="str">
        <f t="shared" si="0"/>
        <v xml:space="preserve">Croce rossa italiana                                                                                </v>
      </c>
    </row>
    <row r="118" spans="1:8">
      <c r="A118" s="11" t="s">
        <v>345</v>
      </c>
      <c r="B118" s="19">
        <v>116</v>
      </c>
      <c r="C118" s="154">
        <v>4.8611111111111107</v>
      </c>
      <c r="D118" s="154">
        <v>6.5</v>
      </c>
      <c r="E118" s="154">
        <v>7.666666666666667</v>
      </c>
      <c r="F118" s="154">
        <v>2.2222222222222223</v>
      </c>
      <c r="G118" s="154">
        <v>4.384615384615385</v>
      </c>
      <c r="H118" t="str">
        <f t="shared" si="0"/>
        <v>ENAC</v>
      </c>
    </row>
    <row r="119" spans="1:8">
      <c r="A119" s="11" t="s">
        <v>162</v>
      </c>
      <c r="B119" s="19">
        <v>117</v>
      </c>
      <c r="C119" s="154">
        <v>6.8055555555555554</v>
      </c>
      <c r="D119" s="154">
        <v>7.75</v>
      </c>
      <c r="E119" s="154">
        <v>9.3333333333333339</v>
      </c>
      <c r="F119" s="154">
        <v>7.4444444444444446</v>
      </c>
      <c r="G119" s="154">
        <v>4.615384615384615</v>
      </c>
      <c r="H119" t="str">
        <f t="shared" si="0"/>
        <v xml:space="preserve">Istituto italiano di medicina sociale                                                               </v>
      </c>
    </row>
    <row r="120" spans="1:8">
      <c r="A120" s="11" t="s">
        <v>163</v>
      </c>
      <c r="B120" s="19">
        <v>118</v>
      </c>
      <c r="C120" s="154">
        <v>5.6944444444444446</v>
      </c>
      <c r="D120" s="154">
        <v>7.375</v>
      </c>
      <c r="E120" s="154">
        <v>9.3333333333333339</v>
      </c>
      <c r="F120" s="154">
        <v>3.3333333333333335</v>
      </c>
      <c r="G120" s="154">
        <v>4.615384615384615</v>
      </c>
      <c r="H120" t="str">
        <f t="shared" si="0"/>
        <v xml:space="preserve">Istituto nazionale per le conserve alimentari                                                       </v>
      </c>
    </row>
    <row r="121" spans="1:8">
      <c r="A121" s="11" t="s">
        <v>265</v>
      </c>
      <c r="B121" s="19">
        <v>119</v>
      </c>
      <c r="C121" s="154">
        <v>4.7777777777777777</v>
      </c>
      <c r="D121" s="154">
        <v>7.75</v>
      </c>
      <c r="E121" s="154">
        <v>5.333333333333333</v>
      </c>
      <c r="F121" s="154">
        <v>6</v>
      </c>
      <c r="G121" s="154">
        <v>1.8461538461538463</v>
      </c>
      <c r="H121" t="str">
        <f t="shared" si="0"/>
        <v xml:space="preserve">Istituto di previdenza del settore marittimo                                                        </v>
      </c>
    </row>
    <row r="122" spans="1:8">
      <c r="A122" s="11" t="s">
        <v>267</v>
      </c>
      <c r="B122" s="19">
        <v>120</v>
      </c>
      <c r="C122" s="154">
        <v>5.9722222222222223</v>
      </c>
      <c r="D122" s="154">
        <v>9.5</v>
      </c>
      <c r="E122" s="154">
        <v>6</v>
      </c>
      <c r="F122" s="154">
        <v>3.2222222222222223</v>
      </c>
      <c r="G122" s="154">
        <v>5.6923076923076925</v>
      </c>
      <c r="H122" t="str">
        <f t="shared" si="0"/>
        <v xml:space="preserve">Istituto per lo sviluppo della formazione professionale dei lavoratori                              </v>
      </c>
    </row>
    <row r="123" spans="1:8">
      <c r="A123" s="11" t="s">
        <v>166</v>
      </c>
      <c r="B123" s="19">
        <v>500</v>
      </c>
      <c r="C123" s="154">
        <v>4.3888888888888893</v>
      </c>
      <c r="D123" s="154">
        <v>9.5</v>
      </c>
      <c r="E123" s="154">
        <v>7.666666666666667</v>
      </c>
      <c r="F123" s="154">
        <v>3.3333333333333335</v>
      </c>
      <c r="G123" s="154">
        <v>0.46153846153846156</v>
      </c>
      <c r="H123" t="str">
        <f t="shared" si="0"/>
        <v xml:space="preserve">Istituto superiore per la prevenzione e la sicurezza del lavoro                                     </v>
      </c>
    </row>
    <row r="124" spans="1:8">
      <c r="A124" s="13" t="s">
        <v>266</v>
      </c>
      <c r="B124" s="127">
        <v>501</v>
      </c>
      <c r="C124" s="155">
        <v>4.583333333333333</v>
      </c>
      <c r="D124" s="155">
        <v>8.125</v>
      </c>
      <c r="E124" s="155">
        <v>2.6666666666666665</v>
      </c>
      <c r="F124" s="155">
        <v>3</v>
      </c>
      <c r="G124" s="155">
        <v>4.384615384615385</v>
      </c>
      <c r="H124" t="str">
        <f t="shared" si="0"/>
        <v>ISAE</v>
      </c>
    </row>
    <row r="125" spans="1:8">
      <c r="A125" s="300" t="s">
        <v>219</v>
      </c>
      <c r="B125" s="301">
        <v>1000</v>
      </c>
      <c r="C125" s="301" t="s">
        <v>218</v>
      </c>
      <c r="D125" s="301" t="s">
        <v>218</v>
      </c>
      <c r="E125" s="301" t="s">
        <v>218</v>
      </c>
      <c r="F125" s="301" t="s">
        <v>218</v>
      </c>
      <c r="G125" s="302" t="s">
        <v>218</v>
      </c>
    </row>
  </sheetData>
  <mergeCells count="4">
    <mergeCell ref="B2:I2"/>
    <mergeCell ref="K2:P2"/>
    <mergeCell ref="R2:Z2"/>
    <mergeCell ref="AB2:AN2"/>
  </mergeCells>
  <phoneticPr fontId="3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 enableFormatConditionsCalculation="0"/>
  <dimension ref="A2:AZ150"/>
  <sheetViews>
    <sheetView topLeftCell="AG1" workbookViewId="0">
      <selection activeCell="AP67" sqref="AP67"/>
    </sheetView>
  </sheetViews>
  <sheetFormatPr baseColWidth="10" defaultColWidth="8.83203125" defaultRowHeight="12" x14ac:dyDescent="0"/>
  <cols>
    <col min="1" max="1" width="5.5" style="435" customWidth="1"/>
    <col min="2" max="2" width="47.5" customWidth="1"/>
    <col min="3" max="11" width="5.6640625" customWidth="1"/>
    <col min="12" max="12" width="5.6640625" style="49" customWidth="1"/>
    <col min="13" max="13" width="8.6640625" customWidth="1"/>
    <col min="14" max="21" width="5.6640625" customWidth="1"/>
    <col min="22" max="22" width="5.6640625" style="49" customWidth="1"/>
    <col min="23" max="23" width="8.6640625" customWidth="1"/>
    <col min="24" max="31" width="5.6640625" customWidth="1"/>
    <col min="32" max="32" width="5.6640625" style="49" customWidth="1"/>
    <col min="33" max="33" width="8.6640625" customWidth="1"/>
    <col min="34" max="45" width="5.6640625" customWidth="1"/>
    <col min="46" max="46" width="5.6640625" style="49" customWidth="1"/>
    <col min="47" max="47" width="8.6640625" customWidth="1"/>
  </cols>
  <sheetData>
    <row r="2" spans="2:52" ht="21">
      <c r="B2" s="420">
        <v>2007</v>
      </c>
      <c r="C2" s="600" t="s">
        <v>432</v>
      </c>
      <c r="D2" s="601"/>
      <c r="E2" s="601"/>
      <c r="F2" s="601"/>
      <c r="G2" s="601"/>
      <c r="H2" s="601"/>
      <c r="I2" s="601"/>
      <c r="J2" s="601"/>
      <c r="K2" s="601"/>
      <c r="L2" s="601"/>
      <c r="M2" s="602"/>
      <c r="N2" s="603" t="s">
        <v>470</v>
      </c>
      <c r="O2" s="600"/>
      <c r="P2" s="600"/>
      <c r="Q2" s="600"/>
      <c r="R2" s="600"/>
      <c r="S2" s="600"/>
      <c r="T2" s="600"/>
      <c r="U2" s="600"/>
      <c r="V2" s="600"/>
      <c r="W2" s="602"/>
      <c r="X2" s="603" t="s">
        <v>471</v>
      </c>
      <c r="Y2" s="600"/>
      <c r="Z2" s="600"/>
      <c r="AA2" s="600"/>
      <c r="AB2" s="600"/>
      <c r="AC2" s="600"/>
      <c r="AD2" s="600"/>
      <c r="AE2" s="600"/>
      <c r="AF2" s="600"/>
      <c r="AG2" s="602"/>
      <c r="AH2" s="603" t="s">
        <v>472</v>
      </c>
      <c r="AI2" s="600"/>
      <c r="AJ2" s="600"/>
      <c r="AK2" s="600"/>
      <c r="AL2" s="600"/>
      <c r="AM2" s="600"/>
      <c r="AN2" s="600"/>
      <c r="AO2" s="600"/>
      <c r="AP2" s="600"/>
      <c r="AQ2" s="600"/>
      <c r="AR2" s="600"/>
      <c r="AS2" s="600"/>
      <c r="AT2" s="600"/>
      <c r="AU2" s="602"/>
    </row>
    <row r="3" spans="2:52" s="235" customFormat="1" ht="12" customHeight="1">
      <c r="B3" s="252">
        <v>1</v>
      </c>
      <c r="C3" s="252">
        <v>4</v>
      </c>
      <c r="D3" s="252">
        <v>6</v>
      </c>
      <c r="E3" s="253">
        <v>8</v>
      </c>
      <c r="F3" s="253">
        <v>10</v>
      </c>
      <c r="G3" s="252">
        <v>18</v>
      </c>
      <c r="H3" s="252">
        <v>26</v>
      </c>
      <c r="I3" s="252">
        <v>28</v>
      </c>
      <c r="J3" s="253">
        <v>30</v>
      </c>
      <c r="K3" s="252">
        <v>32</v>
      </c>
      <c r="L3" s="252">
        <v>36</v>
      </c>
      <c r="M3" s="254">
        <v>10</v>
      </c>
      <c r="N3" s="241">
        <v>39</v>
      </c>
      <c r="O3" s="241">
        <v>41</v>
      </c>
      <c r="P3" s="242">
        <v>43</v>
      </c>
      <c r="Q3" s="242">
        <v>45</v>
      </c>
      <c r="R3" s="242">
        <v>51</v>
      </c>
      <c r="S3" s="242">
        <v>55</v>
      </c>
      <c r="T3" s="241">
        <v>59</v>
      </c>
      <c r="U3" s="241">
        <v>63</v>
      </c>
      <c r="V3" s="241">
        <v>65</v>
      </c>
      <c r="W3" s="200">
        <v>9</v>
      </c>
      <c r="X3" s="241">
        <v>68</v>
      </c>
      <c r="Y3" s="241">
        <v>70</v>
      </c>
      <c r="Z3" s="241">
        <v>72</v>
      </c>
      <c r="AA3" s="241">
        <v>74</v>
      </c>
      <c r="AB3" s="241">
        <v>76</v>
      </c>
      <c r="AC3" s="241">
        <v>78</v>
      </c>
      <c r="AD3" s="241">
        <v>80</v>
      </c>
      <c r="AE3" s="242">
        <v>82</v>
      </c>
      <c r="AF3" s="241">
        <v>84</v>
      </c>
      <c r="AG3" s="249">
        <v>9</v>
      </c>
      <c r="AH3" s="241">
        <v>97</v>
      </c>
      <c r="AI3" s="241">
        <v>99</v>
      </c>
      <c r="AJ3" s="241">
        <v>101</v>
      </c>
      <c r="AK3" s="241">
        <v>103</v>
      </c>
      <c r="AL3" s="241">
        <v>105</v>
      </c>
      <c r="AM3" s="241">
        <v>107</v>
      </c>
      <c r="AN3" s="242">
        <v>109</v>
      </c>
      <c r="AO3" s="242">
        <v>111</v>
      </c>
      <c r="AP3" s="242">
        <v>115</v>
      </c>
      <c r="AQ3" s="241">
        <v>121</v>
      </c>
      <c r="AR3" s="241">
        <v>125</v>
      </c>
      <c r="AS3" s="242">
        <v>127</v>
      </c>
      <c r="AT3" s="241">
        <v>129</v>
      </c>
      <c r="AU3" s="243">
        <v>13</v>
      </c>
      <c r="AV3" s="238"/>
      <c r="AW3" s="238"/>
      <c r="AX3" s="238"/>
      <c r="AY3" s="238"/>
    </row>
    <row r="4" spans="2:52" s="60" customFormat="1" ht="23.25" customHeight="1">
      <c r="B4" s="258" t="s">
        <v>217</v>
      </c>
      <c r="C4" s="244" t="s">
        <v>23</v>
      </c>
      <c r="D4" s="244" t="s">
        <v>24</v>
      </c>
      <c r="E4" s="244" t="s">
        <v>25</v>
      </c>
      <c r="F4" s="244" t="s">
        <v>26</v>
      </c>
      <c r="G4" s="244" t="s">
        <v>27</v>
      </c>
      <c r="H4" s="244" t="s">
        <v>28</v>
      </c>
      <c r="I4" s="244" t="s">
        <v>29</v>
      </c>
      <c r="J4" s="244" t="s">
        <v>30</v>
      </c>
      <c r="K4" s="244" t="s">
        <v>32</v>
      </c>
      <c r="L4" s="244" t="s">
        <v>101</v>
      </c>
      <c r="M4" s="171" t="s">
        <v>392</v>
      </c>
      <c r="N4" s="247" t="s">
        <v>102</v>
      </c>
      <c r="O4" s="244" t="s">
        <v>103</v>
      </c>
      <c r="P4" s="244" t="s">
        <v>104</v>
      </c>
      <c r="Q4" s="244" t="s">
        <v>105</v>
      </c>
      <c r="R4" s="244" t="s">
        <v>106</v>
      </c>
      <c r="S4" s="244" t="s">
        <v>107</v>
      </c>
      <c r="T4" s="244" t="s">
        <v>108</v>
      </c>
      <c r="U4" s="244" t="s">
        <v>109</v>
      </c>
      <c r="V4" s="244" t="s">
        <v>110</v>
      </c>
      <c r="W4" s="200" t="s">
        <v>392</v>
      </c>
      <c r="X4" s="247" t="s">
        <v>111</v>
      </c>
      <c r="Y4" s="244" t="s">
        <v>112</v>
      </c>
      <c r="Z4" s="244" t="s">
        <v>113</v>
      </c>
      <c r="AA4" s="244" t="s">
        <v>114</v>
      </c>
      <c r="AB4" s="244" t="s">
        <v>115</v>
      </c>
      <c r="AC4" s="244" t="s">
        <v>54</v>
      </c>
      <c r="AD4" s="244" t="s">
        <v>55</v>
      </c>
      <c r="AE4" s="244" t="s">
        <v>56</v>
      </c>
      <c r="AF4" s="244" t="s">
        <v>57</v>
      </c>
      <c r="AG4" s="188" t="s">
        <v>392</v>
      </c>
      <c r="AH4" s="247" t="s">
        <v>58</v>
      </c>
      <c r="AI4" s="244" t="s">
        <v>59</v>
      </c>
      <c r="AJ4" s="244" t="s">
        <v>60</v>
      </c>
      <c r="AK4" s="244" t="s">
        <v>61</v>
      </c>
      <c r="AL4" s="244" t="s">
        <v>62</v>
      </c>
      <c r="AM4" s="244" t="s">
        <v>63</v>
      </c>
      <c r="AN4" s="244" t="s">
        <v>64</v>
      </c>
      <c r="AO4" s="244" t="s">
        <v>65</v>
      </c>
      <c r="AP4" s="244" t="s">
        <v>66</v>
      </c>
      <c r="AQ4" s="244" t="s">
        <v>67</v>
      </c>
      <c r="AR4" s="244" t="s">
        <v>68</v>
      </c>
      <c r="AS4" s="244" t="s">
        <v>69</v>
      </c>
      <c r="AT4" s="244" t="s">
        <v>70</v>
      </c>
      <c r="AU4" s="189" t="s">
        <v>392</v>
      </c>
      <c r="AV4" s="61" t="s">
        <v>435</v>
      </c>
    </row>
    <row r="5" spans="2:52" ht="15" customHeight="1">
      <c r="B5" s="15" t="s">
        <v>357</v>
      </c>
      <c r="C5" s="17">
        <v>0</v>
      </c>
      <c r="D5" s="17">
        <v>10</v>
      </c>
      <c r="E5" s="255">
        <v>0</v>
      </c>
      <c r="F5" s="17">
        <v>0</v>
      </c>
      <c r="G5" s="17">
        <v>8</v>
      </c>
      <c r="H5" s="17">
        <v>6</v>
      </c>
      <c r="I5" s="17">
        <v>0</v>
      </c>
      <c r="J5" s="255">
        <v>0</v>
      </c>
      <c r="K5" s="126">
        <v>10</v>
      </c>
      <c r="L5" s="19">
        <v>10</v>
      </c>
      <c r="M5" s="251">
        <v>44</v>
      </c>
      <c r="N5" s="17">
        <v>10</v>
      </c>
      <c r="O5" s="17">
        <v>10</v>
      </c>
      <c r="P5" s="17">
        <v>0</v>
      </c>
      <c r="Q5" s="17">
        <v>5</v>
      </c>
      <c r="R5" s="17">
        <v>6</v>
      </c>
      <c r="S5" s="17">
        <v>10</v>
      </c>
      <c r="T5" s="17">
        <v>6</v>
      </c>
      <c r="U5" s="126">
        <v>0</v>
      </c>
      <c r="V5" s="19">
        <v>10</v>
      </c>
      <c r="W5" s="250">
        <v>57</v>
      </c>
      <c r="X5" s="17">
        <v>0</v>
      </c>
      <c r="Y5" s="17">
        <v>6</v>
      </c>
      <c r="Z5" s="17">
        <v>0</v>
      </c>
      <c r="AA5" s="17">
        <v>0</v>
      </c>
      <c r="AB5" s="17">
        <v>10</v>
      </c>
      <c r="AC5" s="17">
        <v>0</v>
      </c>
      <c r="AD5" s="17">
        <v>10</v>
      </c>
      <c r="AE5" s="17">
        <v>10</v>
      </c>
      <c r="AF5" s="126">
        <v>10</v>
      </c>
      <c r="AG5" s="248">
        <v>46</v>
      </c>
      <c r="AH5" s="17">
        <v>0</v>
      </c>
      <c r="AI5" s="17">
        <v>0</v>
      </c>
      <c r="AJ5" s="17">
        <v>0</v>
      </c>
      <c r="AK5" s="17">
        <v>0</v>
      </c>
      <c r="AL5" s="17">
        <v>0</v>
      </c>
      <c r="AM5" s="17">
        <v>0</v>
      </c>
      <c r="AN5" s="17">
        <v>0</v>
      </c>
      <c r="AO5" s="17">
        <v>4</v>
      </c>
      <c r="AP5" s="17">
        <v>10</v>
      </c>
      <c r="AQ5" s="17">
        <v>8</v>
      </c>
      <c r="AR5" s="17">
        <v>0</v>
      </c>
      <c r="AS5" s="18">
        <v>10</v>
      </c>
      <c r="AT5" s="126">
        <v>2</v>
      </c>
      <c r="AU5" s="240">
        <v>34</v>
      </c>
      <c r="AV5">
        <v>181</v>
      </c>
    </row>
    <row r="6" spans="2:52" ht="15" customHeight="1">
      <c r="B6" s="11" t="s">
        <v>333</v>
      </c>
      <c r="C6" s="18">
        <v>8</v>
      </c>
      <c r="D6" s="18">
        <v>10</v>
      </c>
      <c r="E6" s="239">
        <v>0</v>
      </c>
      <c r="F6" s="18">
        <v>0</v>
      </c>
      <c r="G6" s="18">
        <v>4</v>
      </c>
      <c r="H6" s="18">
        <v>4</v>
      </c>
      <c r="I6" s="18">
        <v>0</v>
      </c>
      <c r="J6" s="239">
        <v>10</v>
      </c>
      <c r="K6" s="19">
        <v>10</v>
      </c>
      <c r="L6" s="19">
        <v>10</v>
      </c>
      <c r="M6" s="251">
        <v>56</v>
      </c>
      <c r="N6" s="18">
        <v>10</v>
      </c>
      <c r="O6" s="18">
        <v>10</v>
      </c>
      <c r="P6" s="18">
        <v>0</v>
      </c>
      <c r="Q6" s="18">
        <v>5</v>
      </c>
      <c r="R6" s="18">
        <v>0</v>
      </c>
      <c r="S6" s="18">
        <v>0</v>
      </c>
      <c r="T6" s="18">
        <v>10</v>
      </c>
      <c r="U6" s="19">
        <v>0</v>
      </c>
      <c r="V6" s="19">
        <v>0</v>
      </c>
      <c r="W6" s="250">
        <v>35</v>
      </c>
      <c r="X6" s="18">
        <v>0</v>
      </c>
      <c r="Y6" s="18">
        <v>6</v>
      </c>
      <c r="Z6" s="18">
        <v>0</v>
      </c>
      <c r="AA6" s="18">
        <v>0</v>
      </c>
      <c r="AB6" s="18">
        <v>0</v>
      </c>
      <c r="AC6" s="18">
        <v>0</v>
      </c>
      <c r="AD6" s="18">
        <v>0</v>
      </c>
      <c r="AE6" s="18">
        <v>10</v>
      </c>
      <c r="AF6" s="19">
        <v>10</v>
      </c>
      <c r="AG6" s="248">
        <v>26</v>
      </c>
      <c r="AH6" s="18">
        <v>0</v>
      </c>
      <c r="AI6" s="18">
        <v>10</v>
      </c>
      <c r="AJ6" s="18">
        <v>6</v>
      </c>
      <c r="AK6" s="18">
        <v>0</v>
      </c>
      <c r="AL6" s="18">
        <v>0</v>
      </c>
      <c r="AM6" s="18">
        <v>10</v>
      </c>
      <c r="AN6" s="18">
        <v>0</v>
      </c>
      <c r="AO6" s="18">
        <v>4</v>
      </c>
      <c r="AP6" s="18">
        <v>10</v>
      </c>
      <c r="AQ6" s="18">
        <v>8</v>
      </c>
      <c r="AR6" s="18">
        <v>8</v>
      </c>
      <c r="AS6" s="18">
        <v>10</v>
      </c>
      <c r="AT6" s="19">
        <v>6</v>
      </c>
      <c r="AU6" s="240">
        <v>72</v>
      </c>
      <c r="AV6">
        <v>189</v>
      </c>
    </row>
    <row r="7" spans="2:52" ht="15" customHeight="1">
      <c r="B7" s="11" t="s">
        <v>350</v>
      </c>
      <c r="C7" s="18">
        <v>8</v>
      </c>
      <c r="D7" s="18">
        <v>10</v>
      </c>
      <c r="E7" s="239">
        <v>10</v>
      </c>
      <c r="F7" s="18">
        <v>5</v>
      </c>
      <c r="G7" s="18">
        <v>10</v>
      </c>
      <c r="H7" s="18">
        <v>6</v>
      </c>
      <c r="I7" s="18">
        <v>10</v>
      </c>
      <c r="J7" s="239">
        <v>6</v>
      </c>
      <c r="K7" s="19">
        <v>6</v>
      </c>
      <c r="L7" s="19">
        <v>10</v>
      </c>
      <c r="M7" s="251">
        <v>81</v>
      </c>
      <c r="N7" s="18">
        <v>10</v>
      </c>
      <c r="O7" s="18">
        <v>10</v>
      </c>
      <c r="P7" s="18">
        <v>10</v>
      </c>
      <c r="Q7" s="18">
        <v>10</v>
      </c>
      <c r="R7" s="18">
        <v>10</v>
      </c>
      <c r="S7" s="18">
        <v>10</v>
      </c>
      <c r="T7" s="18">
        <v>10</v>
      </c>
      <c r="U7" s="19">
        <v>10</v>
      </c>
      <c r="V7" s="19">
        <v>10</v>
      </c>
      <c r="W7" s="250">
        <v>90</v>
      </c>
      <c r="X7" s="18">
        <v>0</v>
      </c>
      <c r="Y7" s="18">
        <v>10</v>
      </c>
      <c r="Z7" s="18">
        <v>0</v>
      </c>
      <c r="AA7" s="18">
        <v>10</v>
      </c>
      <c r="AB7" s="18">
        <v>10</v>
      </c>
      <c r="AC7" s="18">
        <v>10</v>
      </c>
      <c r="AD7" s="18">
        <v>10</v>
      </c>
      <c r="AE7" s="18">
        <v>10</v>
      </c>
      <c r="AF7" s="19">
        <v>10</v>
      </c>
      <c r="AG7" s="248">
        <v>70</v>
      </c>
      <c r="AH7" s="18">
        <v>10</v>
      </c>
      <c r="AI7" s="18">
        <v>10</v>
      </c>
      <c r="AJ7" s="18">
        <v>0</v>
      </c>
      <c r="AK7" s="18">
        <v>10</v>
      </c>
      <c r="AL7" s="18">
        <v>10</v>
      </c>
      <c r="AM7" s="18">
        <v>10</v>
      </c>
      <c r="AN7" s="18">
        <v>10</v>
      </c>
      <c r="AO7" s="18">
        <v>4</v>
      </c>
      <c r="AP7" s="18">
        <v>10</v>
      </c>
      <c r="AQ7" s="18">
        <v>0</v>
      </c>
      <c r="AR7" s="18">
        <v>8</v>
      </c>
      <c r="AS7" s="18">
        <v>0</v>
      </c>
      <c r="AT7" s="19">
        <v>2</v>
      </c>
      <c r="AU7" s="240">
        <v>84</v>
      </c>
      <c r="AV7">
        <v>325</v>
      </c>
    </row>
    <row r="8" spans="2:52" ht="15" customHeight="1">
      <c r="B8" s="11" t="s">
        <v>412</v>
      </c>
      <c r="C8" s="18">
        <v>8</v>
      </c>
      <c r="D8" s="18">
        <v>10</v>
      </c>
      <c r="E8" s="239">
        <v>10</v>
      </c>
      <c r="F8" s="18">
        <v>3</v>
      </c>
      <c r="G8" s="18">
        <v>10</v>
      </c>
      <c r="H8" s="18">
        <v>8</v>
      </c>
      <c r="I8" s="18">
        <v>10</v>
      </c>
      <c r="J8" s="239">
        <v>0</v>
      </c>
      <c r="K8" s="19">
        <v>0</v>
      </c>
      <c r="L8" s="19">
        <v>10</v>
      </c>
      <c r="M8" s="251">
        <v>69</v>
      </c>
      <c r="N8" s="18">
        <v>10</v>
      </c>
      <c r="O8" s="18">
        <v>10</v>
      </c>
      <c r="P8" s="18">
        <v>10</v>
      </c>
      <c r="Q8" s="18">
        <v>5</v>
      </c>
      <c r="R8" s="18">
        <v>6</v>
      </c>
      <c r="S8" s="18">
        <v>10</v>
      </c>
      <c r="T8" s="18">
        <v>10</v>
      </c>
      <c r="U8" s="19">
        <v>0</v>
      </c>
      <c r="V8" s="19">
        <v>0</v>
      </c>
      <c r="W8" s="250">
        <v>61</v>
      </c>
      <c r="X8" s="18">
        <v>0</v>
      </c>
      <c r="Y8" s="18">
        <v>6</v>
      </c>
      <c r="Z8" s="18">
        <v>0</v>
      </c>
      <c r="AA8" s="18">
        <v>0</v>
      </c>
      <c r="AB8" s="18">
        <v>10</v>
      </c>
      <c r="AC8" s="18">
        <v>10</v>
      </c>
      <c r="AD8" s="18">
        <v>10</v>
      </c>
      <c r="AE8" s="18">
        <v>10</v>
      </c>
      <c r="AF8" s="19">
        <v>6</v>
      </c>
      <c r="AG8" s="248">
        <v>52</v>
      </c>
      <c r="AH8" s="18">
        <v>0</v>
      </c>
      <c r="AI8" s="18">
        <v>0</v>
      </c>
      <c r="AJ8" s="18">
        <v>6</v>
      </c>
      <c r="AK8" s="18">
        <v>10</v>
      </c>
      <c r="AL8" s="18">
        <v>10</v>
      </c>
      <c r="AM8" s="18">
        <v>0</v>
      </c>
      <c r="AN8" s="18">
        <v>10</v>
      </c>
      <c r="AO8" s="18">
        <v>6</v>
      </c>
      <c r="AP8" s="18">
        <v>6</v>
      </c>
      <c r="AQ8" s="18">
        <v>0</v>
      </c>
      <c r="AR8" s="18">
        <v>6</v>
      </c>
      <c r="AS8" s="18">
        <v>10</v>
      </c>
      <c r="AT8" s="19">
        <v>2</v>
      </c>
      <c r="AU8" s="240">
        <v>66</v>
      </c>
      <c r="AV8">
        <v>248</v>
      </c>
    </row>
    <row r="9" spans="2:52" ht="15" customHeight="1">
      <c r="B9" s="11" t="s">
        <v>356</v>
      </c>
      <c r="C9" s="18">
        <v>8</v>
      </c>
      <c r="D9" s="18">
        <v>10</v>
      </c>
      <c r="E9" s="239">
        <v>10</v>
      </c>
      <c r="F9" s="18">
        <v>3</v>
      </c>
      <c r="G9" s="18">
        <v>4</v>
      </c>
      <c r="H9" s="18">
        <v>10</v>
      </c>
      <c r="I9" s="18">
        <v>10</v>
      </c>
      <c r="J9" s="239">
        <v>6</v>
      </c>
      <c r="K9" s="19">
        <v>10</v>
      </c>
      <c r="L9" s="19">
        <v>10</v>
      </c>
      <c r="M9" s="251">
        <v>81</v>
      </c>
      <c r="N9" s="18">
        <v>10</v>
      </c>
      <c r="O9" s="18">
        <v>10</v>
      </c>
      <c r="P9" s="18">
        <v>0</v>
      </c>
      <c r="Q9" s="18">
        <v>5</v>
      </c>
      <c r="R9" s="18">
        <v>10</v>
      </c>
      <c r="S9" s="18">
        <v>10</v>
      </c>
      <c r="T9" s="18">
        <v>10</v>
      </c>
      <c r="U9" s="19">
        <v>10</v>
      </c>
      <c r="V9" s="19">
        <v>10</v>
      </c>
      <c r="W9" s="250">
        <v>75</v>
      </c>
      <c r="X9" s="18">
        <v>0</v>
      </c>
      <c r="Y9" s="18">
        <v>6</v>
      </c>
      <c r="Z9" s="18">
        <v>0</v>
      </c>
      <c r="AA9" s="18">
        <v>10</v>
      </c>
      <c r="AB9" s="18">
        <v>0</v>
      </c>
      <c r="AC9" s="18">
        <v>0</v>
      </c>
      <c r="AD9" s="18">
        <v>10</v>
      </c>
      <c r="AE9" s="18">
        <v>10</v>
      </c>
      <c r="AF9" s="19">
        <v>2</v>
      </c>
      <c r="AG9" s="248">
        <v>38</v>
      </c>
      <c r="AH9" s="18">
        <v>10</v>
      </c>
      <c r="AI9" s="18">
        <v>10</v>
      </c>
      <c r="AJ9" s="18">
        <v>6</v>
      </c>
      <c r="AK9" s="18">
        <v>10</v>
      </c>
      <c r="AL9" s="18">
        <v>10</v>
      </c>
      <c r="AM9" s="18">
        <v>0</v>
      </c>
      <c r="AN9" s="18">
        <v>10</v>
      </c>
      <c r="AO9" s="18">
        <v>0</v>
      </c>
      <c r="AP9" s="18">
        <v>0</v>
      </c>
      <c r="AQ9" s="18">
        <v>8</v>
      </c>
      <c r="AR9" s="18">
        <v>6</v>
      </c>
      <c r="AS9" s="18">
        <v>10</v>
      </c>
      <c r="AT9" s="19">
        <v>2</v>
      </c>
      <c r="AU9" s="240">
        <v>82</v>
      </c>
      <c r="AV9">
        <v>276</v>
      </c>
    </row>
    <row r="10" spans="2:52" ht="15" customHeight="1">
      <c r="B10" s="11" t="s">
        <v>34</v>
      </c>
      <c r="C10" s="18">
        <v>6</v>
      </c>
      <c r="D10" s="18">
        <v>10</v>
      </c>
      <c r="E10" s="239">
        <v>10</v>
      </c>
      <c r="F10" s="18">
        <v>8</v>
      </c>
      <c r="G10" s="18">
        <v>10</v>
      </c>
      <c r="H10" s="18">
        <v>8</v>
      </c>
      <c r="I10" s="18">
        <v>10</v>
      </c>
      <c r="J10" s="239">
        <v>6</v>
      </c>
      <c r="K10" s="19">
        <v>10</v>
      </c>
      <c r="L10" s="19">
        <v>10</v>
      </c>
      <c r="M10" s="251">
        <v>88</v>
      </c>
      <c r="N10" s="18">
        <v>10</v>
      </c>
      <c r="O10" s="18">
        <v>10</v>
      </c>
      <c r="P10" s="18">
        <v>0</v>
      </c>
      <c r="Q10" s="18">
        <v>10</v>
      </c>
      <c r="R10" s="18">
        <v>6</v>
      </c>
      <c r="S10" s="18">
        <v>6</v>
      </c>
      <c r="T10" s="18">
        <v>10</v>
      </c>
      <c r="U10" s="19">
        <v>10</v>
      </c>
      <c r="V10" s="19">
        <v>10</v>
      </c>
      <c r="W10" s="250">
        <v>72</v>
      </c>
      <c r="X10" s="18">
        <v>0</v>
      </c>
      <c r="Y10" s="18">
        <v>0</v>
      </c>
      <c r="Z10" s="18">
        <v>0</v>
      </c>
      <c r="AA10" s="18">
        <v>10</v>
      </c>
      <c r="AB10" s="18">
        <v>10</v>
      </c>
      <c r="AC10" s="18">
        <v>10</v>
      </c>
      <c r="AD10" s="18">
        <v>10</v>
      </c>
      <c r="AE10" s="18">
        <v>10</v>
      </c>
      <c r="AF10" s="19">
        <v>10</v>
      </c>
      <c r="AG10" s="248">
        <v>60</v>
      </c>
      <c r="AH10" s="18">
        <v>0</v>
      </c>
      <c r="AI10" s="18">
        <v>0</v>
      </c>
      <c r="AJ10" s="18">
        <v>6</v>
      </c>
      <c r="AK10" s="18">
        <v>10</v>
      </c>
      <c r="AL10" s="18">
        <v>10</v>
      </c>
      <c r="AM10" s="18">
        <v>0</v>
      </c>
      <c r="AN10" s="18">
        <v>0</v>
      </c>
      <c r="AO10" s="18">
        <v>10</v>
      </c>
      <c r="AP10" s="18">
        <v>10</v>
      </c>
      <c r="AQ10" s="18">
        <v>8</v>
      </c>
      <c r="AR10" s="18">
        <v>8</v>
      </c>
      <c r="AS10" s="18">
        <v>10</v>
      </c>
      <c r="AT10" s="19">
        <v>2</v>
      </c>
      <c r="AU10" s="240">
        <v>74</v>
      </c>
      <c r="AV10">
        <v>294</v>
      </c>
    </row>
    <row r="11" spans="2:52" ht="15" customHeight="1">
      <c r="B11" s="11" t="s">
        <v>405</v>
      </c>
      <c r="C11" s="18">
        <v>8</v>
      </c>
      <c r="D11" s="18">
        <v>10</v>
      </c>
      <c r="E11" s="239">
        <v>10</v>
      </c>
      <c r="F11" s="18">
        <v>3</v>
      </c>
      <c r="G11" s="18">
        <v>10</v>
      </c>
      <c r="H11" s="18">
        <v>8</v>
      </c>
      <c r="I11" s="18">
        <v>10</v>
      </c>
      <c r="J11" s="239">
        <v>10</v>
      </c>
      <c r="K11" s="19">
        <v>6</v>
      </c>
      <c r="L11" s="19">
        <v>10</v>
      </c>
      <c r="M11" s="251">
        <v>85</v>
      </c>
      <c r="N11" s="18">
        <v>10</v>
      </c>
      <c r="O11" s="18">
        <v>0</v>
      </c>
      <c r="P11" s="18">
        <v>0</v>
      </c>
      <c r="Q11" s="18">
        <v>10</v>
      </c>
      <c r="R11" s="18">
        <v>6</v>
      </c>
      <c r="S11" s="18">
        <v>10</v>
      </c>
      <c r="T11" s="18">
        <v>10</v>
      </c>
      <c r="U11" s="19">
        <v>10</v>
      </c>
      <c r="V11" s="19">
        <v>10</v>
      </c>
      <c r="W11" s="250">
        <v>66</v>
      </c>
      <c r="X11" s="18">
        <v>0</v>
      </c>
      <c r="Y11" s="18">
        <v>6</v>
      </c>
      <c r="Z11" s="18">
        <v>0</v>
      </c>
      <c r="AA11" s="18">
        <v>0</v>
      </c>
      <c r="AB11" s="18">
        <v>10</v>
      </c>
      <c r="AC11" s="18">
        <v>10</v>
      </c>
      <c r="AD11" s="18">
        <v>0</v>
      </c>
      <c r="AE11" s="18">
        <v>10</v>
      </c>
      <c r="AF11" s="19">
        <v>10</v>
      </c>
      <c r="AG11" s="248">
        <v>46</v>
      </c>
      <c r="AH11" s="18">
        <v>0</v>
      </c>
      <c r="AI11" s="18">
        <v>0</v>
      </c>
      <c r="AJ11" s="18">
        <v>0</v>
      </c>
      <c r="AK11" s="18">
        <v>10</v>
      </c>
      <c r="AL11" s="18">
        <v>10</v>
      </c>
      <c r="AM11" s="18">
        <v>0</v>
      </c>
      <c r="AN11" s="18">
        <v>0</v>
      </c>
      <c r="AO11" s="18">
        <v>0</v>
      </c>
      <c r="AP11" s="18">
        <v>6</v>
      </c>
      <c r="AQ11" s="18">
        <v>0</v>
      </c>
      <c r="AR11" s="18">
        <v>0</v>
      </c>
      <c r="AS11" s="18">
        <v>10</v>
      </c>
      <c r="AT11" s="19">
        <v>2</v>
      </c>
      <c r="AU11" s="240">
        <v>38</v>
      </c>
      <c r="AV11">
        <v>235</v>
      </c>
      <c r="AZ11" s="34"/>
    </row>
    <row r="12" spans="2:52" ht="15" customHeight="1">
      <c r="B12" s="11" t="s">
        <v>35</v>
      </c>
      <c r="C12" s="18">
        <v>6</v>
      </c>
      <c r="D12" s="18">
        <v>10</v>
      </c>
      <c r="E12" s="239">
        <v>10</v>
      </c>
      <c r="F12" s="18">
        <v>10</v>
      </c>
      <c r="G12" s="18">
        <v>10</v>
      </c>
      <c r="H12" s="18">
        <v>10</v>
      </c>
      <c r="I12" s="18">
        <v>10</v>
      </c>
      <c r="J12" s="239">
        <v>10</v>
      </c>
      <c r="K12" s="19">
        <v>6</v>
      </c>
      <c r="L12" s="19">
        <v>10</v>
      </c>
      <c r="M12" s="251">
        <v>92</v>
      </c>
      <c r="N12" s="18">
        <v>10</v>
      </c>
      <c r="O12" s="18">
        <v>10</v>
      </c>
      <c r="P12" s="18">
        <v>0</v>
      </c>
      <c r="Q12" s="18">
        <v>10</v>
      </c>
      <c r="R12" s="18">
        <v>6</v>
      </c>
      <c r="S12" s="18">
        <v>10</v>
      </c>
      <c r="T12" s="18">
        <v>10</v>
      </c>
      <c r="U12" s="19">
        <v>10</v>
      </c>
      <c r="V12" s="19">
        <v>10</v>
      </c>
      <c r="W12" s="250">
        <v>76</v>
      </c>
      <c r="X12" s="18">
        <v>10</v>
      </c>
      <c r="Y12" s="18">
        <v>10</v>
      </c>
      <c r="Z12" s="18">
        <v>0</v>
      </c>
      <c r="AA12" s="18">
        <v>10</v>
      </c>
      <c r="AB12" s="18">
        <v>10</v>
      </c>
      <c r="AC12" s="18">
        <v>10</v>
      </c>
      <c r="AD12" s="18">
        <v>10</v>
      </c>
      <c r="AE12" s="18">
        <v>10</v>
      </c>
      <c r="AF12" s="19">
        <v>10</v>
      </c>
      <c r="AG12" s="248">
        <v>80</v>
      </c>
      <c r="AH12" s="18">
        <v>0</v>
      </c>
      <c r="AI12" s="18">
        <v>0</v>
      </c>
      <c r="AJ12" s="18">
        <v>0</v>
      </c>
      <c r="AK12" s="18">
        <v>0</v>
      </c>
      <c r="AL12" s="18">
        <v>0</v>
      </c>
      <c r="AM12" s="18">
        <v>0</v>
      </c>
      <c r="AN12" s="18">
        <v>0</v>
      </c>
      <c r="AO12" s="18">
        <v>0</v>
      </c>
      <c r="AP12" s="18">
        <v>6</v>
      </c>
      <c r="AQ12" s="18">
        <v>0</v>
      </c>
      <c r="AR12" s="18">
        <v>6</v>
      </c>
      <c r="AS12" s="18">
        <v>10</v>
      </c>
      <c r="AT12" s="19">
        <v>2</v>
      </c>
      <c r="AU12" s="240">
        <v>24</v>
      </c>
      <c r="AV12">
        <v>272</v>
      </c>
    </row>
    <row r="13" spans="2:52" ht="15" customHeight="1">
      <c r="B13" s="11" t="s">
        <v>36</v>
      </c>
      <c r="C13" s="18">
        <v>0</v>
      </c>
      <c r="D13" s="18">
        <v>10</v>
      </c>
      <c r="E13" s="239">
        <v>0</v>
      </c>
      <c r="F13" s="18">
        <v>0</v>
      </c>
      <c r="G13" s="18">
        <v>2</v>
      </c>
      <c r="H13" s="18">
        <v>4</v>
      </c>
      <c r="I13" s="18">
        <v>10</v>
      </c>
      <c r="J13" s="239">
        <v>0</v>
      </c>
      <c r="K13" s="19">
        <v>6</v>
      </c>
      <c r="L13" s="19">
        <v>10</v>
      </c>
      <c r="M13" s="251">
        <v>42</v>
      </c>
      <c r="N13" s="18">
        <v>10</v>
      </c>
      <c r="O13" s="18">
        <v>10</v>
      </c>
      <c r="P13" s="18">
        <v>0</v>
      </c>
      <c r="Q13" s="18">
        <v>5</v>
      </c>
      <c r="R13" s="18">
        <v>6</v>
      </c>
      <c r="S13" s="18">
        <v>6</v>
      </c>
      <c r="T13" s="18">
        <v>10</v>
      </c>
      <c r="U13" s="19">
        <v>0</v>
      </c>
      <c r="V13" s="19">
        <v>0</v>
      </c>
      <c r="W13" s="250">
        <v>47</v>
      </c>
      <c r="X13" s="18">
        <v>0</v>
      </c>
      <c r="Y13" s="18">
        <v>0</v>
      </c>
      <c r="Z13" s="18">
        <v>0</v>
      </c>
      <c r="AA13" s="18">
        <v>10</v>
      </c>
      <c r="AB13" s="18">
        <v>0</v>
      </c>
      <c r="AC13" s="18">
        <v>0</v>
      </c>
      <c r="AD13" s="18">
        <v>10</v>
      </c>
      <c r="AE13" s="18">
        <v>10</v>
      </c>
      <c r="AF13" s="19">
        <v>2</v>
      </c>
      <c r="AG13" s="248">
        <v>32</v>
      </c>
      <c r="AH13" s="18">
        <v>10</v>
      </c>
      <c r="AI13" s="18">
        <v>10</v>
      </c>
      <c r="AJ13" s="18">
        <v>0</v>
      </c>
      <c r="AK13" s="18">
        <v>0</v>
      </c>
      <c r="AL13" s="18">
        <v>0</v>
      </c>
      <c r="AM13" s="18">
        <v>0</v>
      </c>
      <c r="AN13" s="18">
        <v>0</v>
      </c>
      <c r="AO13" s="18">
        <v>10</v>
      </c>
      <c r="AP13" s="18">
        <v>10</v>
      </c>
      <c r="AQ13" s="18">
        <v>4</v>
      </c>
      <c r="AR13" s="18">
        <v>10</v>
      </c>
      <c r="AS13" s="18">
        <v>10</v>
      </c>
      <c r="AT13" s="19">
        <v>2</v>
      </c>
      <c r="AU13" s="240">
        <v>66</v>
      </c>
      <c r="AV13">
        <v>187</v>
      </c>
    </row>
    <row r="14" spans="2:52" ht="15" customHeight="1">
      <c r="B14" s="11" t="s">
        <v>452</v>
      </c>
      <c r="C14" s="18">
        <v>8</v>
      </c>
      <c r="D14" s="18">
        <v>10</v>
      </c>
      <c r="E14" s="239">
        <v>10</v>
      </c>
      <c r="F14" s="18">
        <v>10</v>
      </c>
      <c r="G14" s="18">
        <v>10</v>
      </c>
      <c r="H14" s="18">
        <v>8</v>
      </c>
      <c r="I14" s="18">
        <v>10</v>
      </c>
      <c r="J14" s="239">
        <v>0</v>
      </c>
      <c r="K14" s="19">
        <v>10</v>
      </c>
      <c r="L14" s="19">
        <v>10</v>
      </c>
      <c r="M14" s="251">
        <v>86</v>
      </c>
      <c r="N14" s="18">
        <v>10</v>
      </c>
      <c r="O14" s="18">
        <v>10</v>
      </c>
      <c r="P14" s="18">
        <v>0</v>
      </c>
      <c r="Q14" s="18">
        <v>10</v>
      </c>
      <c r="R14" s="18">
        <v>4</v>
      </c>
      <c r="S14" s="18">
        <v>10</v>
      </c>
      <c r="T14" s="18">
        <v>10</v>
      </c>
      <c r="U14" s="19">
        <v>10</v>
      </c>
      <c r="V14" s="19">
        <v>10</v>
      </c>
      <c r="W14" s="250">
        <v>74</v>
      </c>
      <c r="X14" s="18">
        <v>0</v>
      </c>
      <c r="Y14" s="18">
        <v>6</v>
      </c>
      <c r="Z14" s="18">
        <v>0</v>
      </c>
      <c r="AA14" s="18">
        <v>10</v>
      </c>
      <c r="AB14" s="18">
        <v>10</v>
      </c>
      <c r="AC14" s="18">
        <v>10</v>
      </c>
      <c r="AD14" s="18">
        <v>10</v>
      </c>
      <c r="AE14" s="18">
        <v>10</v>
      </c>
      <c r="AF14" s="19">
        <v>3</v>
      </c>
      <c r="AG14" s="248">
        <v>59</v>
      </c>
      <c r="AH14" s="18">
        <v>10</v>
      </c>
      <c r="AI14" s="18">
        <v>10</v>
      </c>
      <c r="AJ14" s="18">
        <v>6</v>
      </c>
      <c r="AK14" s="18">
        <v>0</v>
      </c>
      <c r="AL14" s="18">
        <v>0</v>
      </c>
      <c r="AM14" s="18">
        <v>10</v>
      </c>
      <c r="AN14" s="18">
        <v>10</v>
      </c>
      <c r="AO14" s="18">
        <v>10</v>
      </c>
      <c r="AP14" s="18">
        <v>10</v>
      </c>
      <c r="AQ14" s="18">
        <v>0</v>
      </c>
      <c r="AR14" s="18">
        <v>8</v>
      </c>
      <c r="AS14" s="18">
        <v>10</v>
      </c>
      <c r="AT14" s="19">
        <v>2</v>
      </c>
      <c r="AU14" s="240">
        <v>86</v>
      </c>
      <c r="AV14">
        <v>305</v>
      </c>
    </row>
    <row r="15" spans="2:52" ht="15" customHeight="1">
      <c r="B15" s="11" t="s">
        <v>394</v>
      </c>
      <c r="C15" s="18">
        <v>8</v>
      </c>
      <c r="D15" s="18">
        <v>10</v>
      </c>
      <c r="E15" s="239">
        <v>10</v>
      </c>
      <c r="F15" s="18">
        <v>6</v>
      </c>
      <c r="G15" s="18">
        <v>10</v>
      </c>
      <c r="H15" s="18">
        <v>8</v>
      </c>
      <c r="I15" s="18">
        <v>10</v>
      </c>
      <c r="J15" s="239">
        <v>0</v>
      </c>
      <c r="K15" s="19">
        <v>10</v>
      </c>
      <c r="L15" s="19">
        <v>10</v>
      </c>
      <c r="M15" s="251">
        <v>82</v>
      </c>
      <c r="N15" s="18">
        <v>10</v>
      </c>
      <c r="O15" s="18">
        <v>10</v>
      </c>
      <c r="P15" s="18">
        <v>0</v>
      </c>
      <c r="Q15" s="18">
        <v>5</v>
      </c>
      <c r="R15" s="18">
        <v>0</v>
      </c>
      <c r="S15" s="18">
        <v>6</v>
      </c>
      <c r="T15" s="18">
        <v>10</v>
      </c>
      <c r="U15" s="19">
        <v>0</v>
      </c>
      <c r="V15" s="19">
        <v>6</v>
      </c>
      <c r="W15" s="250">
        <v>47</v>
      </c>
      <c r="X15" s="18">
        <v>0</v>
      </c>
      <c r="Y15" s="18">
        <v>6</v>
      </c>
      <c r="Z15" s="18">
        <v>0</v>
      </c>
      <c r="AA15" s="18">
        <v>0</v>
      </c>
      <c r="AB15" s="18">
        <v>0</v>
      </c>
      <c r="AC15" s="18">
        <v>0</v>
      </c>
      <c r="AD15" s="18">
        <v>0</v>
      </c>
      <c r="AE15" s="18">
        <v>10</v>
      </c>
      <c r="AF15" s="19">
        <v>10</v>
      </c>
      <c r="AG15" s="248">
        <v>26</v>
      </c>
      <c r="AH15" s="18">
        <v>10</v>
      </c>
      <c r="AI15" s="18">
        <v>10</v>
      </c>
      <c r="AJ15" s="18">
        <v>6</v>
      </c>
      <c r="AK15" s="18">
        <v>10</v>
      </c>
      <c r="AL15" s="18">
        <v>0</v>
      </c>
      <c r="AM15" s="18">
        <v>10</v>
      </c>
      <c r="AN15" s="18">
        <v>0</v>
      </c>
      <c r="AO15" s="18">
        <v>0</v>
      </c>
      <c r="AP15" s="18">
        <v>6</v>
      </c>
      <c r="AQ15" s="18">
        <v>0</v>
      </c>
      <c r="AR15" s="18">
        <v>6</v>
      </c>
      <c r="AS15" s="18">
        <v>10</v>
      </c>
      <c r="AT15" s="19">
        <v>6</v>
      </c>
      <c r="AU15" s="240">
        <v>74</v>
      </c>
      <c r="AV15">
        <v>229</v>
      </c>
    </row>
    <row r="16" spans="2:52" ht="15" customHeight="1">
      <c r="B16" s="11" t="s">
        <v>156</v>
      </c>
      <c r="C16" s="18">
        <v>8</v>
      </c>
      <c r="D16" s="18">
        <v>0</v>
      </c>
      <c r="E16" s="239">
        <v>10</v>
      </c>
      <c r="F16" s="18">
        <v>0</v>
      </c>
      <c r="G16" s="18">
        <v>0</v>
      </c>
      <c r="H16" s="18">
        <v>0</v>
      </c>
      <c r="I16" s="18">
        <v>0</v>
      </c>
      <c r="J16" s="239">
        <v>0</v>
      </c>
      <c r="K16" s="19">
        <v>0</v>
      </c>
      <c r="L16" s="19">
        <v>0</v>
      </c>
      <c r="M16" s="251">
        <v>18</v>
      </c>
      <c r="N16" s="18">
        <v>0</v>
      </c>
      <c r="O16" s="18">
        <v>0</v>
      </c>
      <c r="P16" s="18">
        <v>0</v>
      </c>
      <c r="Q16" s="18">
        <v>0</v>
      </c>
      <c r="R16" s="18">
        <v>10</v>
      </c>
      <c r="S16" s="18">
        <v>0</v>
      </c>
      <c r="T16" s="18">
        <v>10</v>
      </c>
      <c r="U16" s="19">
        <v>0</v>
      </c>
      <c r="V16" s="19">
        <v>10</v>
      </c>
      <c r="W16" s="250">
        <v>30</v>
      </c>
      <c r="X16" s="18">
        <v>0</v>
      </c>
      <c r="Y16" s="18">
        <v>0</v>
      </c>
      <c r="Z16" s="18">
        <v>0</v>
      </c>
      <c r="AA16" s="18">
        <v>10</v>
      </c>
      <c r="AB16" s="18">
        <v>10</v>
      </c>
      <c r="AC16" s="18">
        <v>10</v>
      </c>
      <c r="AD16" s="18">
        <v>0</v>
      </c>
      <c r="AE16" s="18">
        <v>0</v>
      </c>
      <c r="AF16" s="19">
        <v>3</v>
      </c>
      <c r="AG16" s="248">
        <v>33</v>
      </c>
      <c r="AH16" s="18">
        <v>0</v>
      </c>
      <c r="AI16" s="18">
        <v>0</v>
      </c>
      <c r="AJ16" s="18">
        <v>0</v>
      </c>
      <c r="AK16" s="18">
        <v>10</v>
      </c>
      <c r="AL16" s="18">
        <v>10</v>
      </c>
      <c r="AM16" s="18">
        <v>0</v>
      </c>
      <c r="AN16" s="18">
        <v>0</v>
      </c>
      <c r="AO16" s="18">
        <v>0</v>
      </c>
      <c r="AP16" s="18">
        <v>0</v>
      </c>
      <c r="AQ16" s="18">
        <v>0</v>
      </c>
      <c r="AR16" s="18">
        <v>0</v>
      </c>
      <c r="AS16" s="18">
        <v>10</v>
      </c>
      <c r="AT16" s="19">
        <v>2</v>
      </c>
      <c r="AU16" s="240">
        <v>32</v>
      </c>
      <c r="AV16">
        <v>113</v>
      </c>
    </row>
    <row r="17" spans="2:48">
      <c r="B17" s="11" t="s">
        <v>157</v>
      </c>
      <c r="C17" s="18">
        <v>8</v>
      </c>
      <c r="D17" s="18">
        <v>0</v>
      </c>
      <c r="E17" s="239">
        <v>10</v>
      </c>
      <c r="F17" s="18">
        <v>0</v>
      </c>
      <c r="G17" s="18">
        <v>0</v>
      </c>
      <c r="H17" s="18">
        <v>0</v>
      </c>
      <c r="I17" s="18">
        <v>0</v>
      </c>
      <c r="J17" s="239">
        <v>0</v>
      </c>
      <c r="K17" s="19">
        <v>0</v>
      </c>
      <c r="L17" s="19">
        <v>0</v>
      </c>
      <c r="M17" s="251">
        <v>18</v>
      </c>
      <c r="N17" s="18">
        <v>0</v>
      </c>
      <c r="O17" s="18">
        <v>0</v>
      </c>
      <c r="P17" s="18">
        <v>0</v>
      </c>
      <c r="Q17" s="18">
        <v>0</v>
      </c>
      <c r="R17" s="18">
        <v>0</v>
      </c>
      <c r="S17" s="18">
        <v>0</v>
      </c>
      <c r="T17" s="18">
        <v>10</v>
      </c>
      <c r="U17" s="19">
        <v>0</v>
      </c>
      <c r="V17" s="19">
        <v>0</v>
      </c>
      <c r="W17" s="250">
        <v>10</v>
      </c>
      <c r="X17" s="18">
        <v>0</v>
      </c>
      <c r="Y17" s="18">
        <v>0</v>
      </c>
      <c r="Z17" s="18">
        <v>0</v>
      </c>
      <c r="AA17" s="18">
        <v>10</v>
      </c>
      <c r="AB17" s="18">
        <v>10</v>
      </c>
      <c r="AC17" s="18">
        <v>10</v>
      </c>
      <c r="AD17" s="18">
        <v>0</v>
      </c>
      <c r="AE17" s="18">
        <v>0</v>
      </c>
      <c r="AF17" s="19">
        <v>10</v>
      </c>
      <c r="AG17" s="248">
        <v>40</v>
      </c>
      <c r="AH17" s="18">
        <v>0</v>
      </c>
      <c r="AI17" s="18">
        <v>0</v>
      </c>
      <c r="AJ17" s="18">
        <v>0</v>
      </c>
      <c r="AK17" s="18">
        <v>0</v>
      </c>
      <c r="AL17" s="18">
        <v>0</v>
      </c>
      <c r="AM17" s="18">
        <v>0</v>
      </c>
      <c r="AN17" s="18">
        <v>0</v>
      </c>
      <c r="AO17" s="18">
        <v>0</v>
      </c>
      <c r="AP17" s="18">
        <v>0</v>
      </c>
      <c r="AQ17" s="18">
        <v>0</v>
      </c>
      <c r="AR17" s="18">
        <v>0</v>
      </c>
      <c r="AS17" s="18">
        <v>10</v>
      </c>
      <c r="AT17" s="19">
        <v>2</v>
      </c>
      <c r="AU17" s="240">
        <v>12</v>
      </c>
      <c r="AV17">
        <v>80</v>
      </c>
    </row>
    <row r="18" spans="2:48">
      <c r="B18" s="11" t="s">
        <v>158</v>
      </c>
      <c r="C18" s="18">
        <v>6</v>
      </c>
      <c r="D18" s="18">
        <v>0</v>
      </c>
      <c r="E18" s="239">
        <v>0</v>
      </c>
      <c r="F18" s="18">
        <v>0</v>
      </c>
      <c r="G18" s="18">
        <v>0</v>
      </c>
      <c r="H18" s="18">
        <v>0</v>
      </c>
      <c r="I18" s="18">
        <v>0</v>
      </c>
      <c r="J18" s="239">
        <v>0</v>
      </c>
      <c r="K18" s="19">
        <v>0</v>
      </c>
      <c r="L18" s="19">
        <v>0</v>
      </c>
      <c r="M18" s="251">
        <v>6</v>
      </c>
      <c r="N18" s="18">
        <v>0</v>
      </c>
      <c r="O18" s="18">
        <v>0</v>
      </c>
      <c r="P18" s="18">
        <v>0</v>
      </c>
      <c r="Q18" s="18">
        <v>0</v>
      </c>
      <c r="R18" s="18">
        <v>0</v>
      </c>
      <c r="S18" s="18">
        <v>0</v>
      </c>
      <c r="T18" s="18">
        <v>10</v>
      </c>
      <c r="U18" s="19">
        <v>0</v>
      </c>
      <c r="V18" s="19">
        <v>10</v>
      </c>
      <c r="W18" s="250">
        <v>20</v>
      </c>
      <c r="X18" s="18">
        <v>0</v>
      </c>
      <c r="Y18" s="18">
        <v>0</v>
      </c>
      <c r="Z18" s="18">
        <v>0</v>
      </c>
      <c r="AA18" s="18">
        <v>0</v>
      </c>
      <c r="AB18" s="18">
        <v>10</v>
      </c>
      <c r="AC18" s="18">
        <v>10</v>
      </c>
      <c r="AD18" s="18">
        <v>0</v>
      </c>
      <c r="AE18" s="18">
        <v>0</v>
      </c>
      <c r="AF18" s="19">
        <v>2</v>
      </c>
      <c r="AG18" s="248">
        <v>22</v>
      </c>
      <c r="AH18" s="18">
        <v>0</v>
      </c>
      <c r="AI18" s="18">
        <v>0</v>
      </c>
      <c r="AJ18" s="18">
        <v>0</v>
      </c>
      <c r="AK18" s="18">
        <v>0</v>
      </c>
      <c r="AL18" s="18">
        <v>0</v>
      </c>
      <c r="AM18" s="18">
        <v>0</v>
      </c>
      <c r="AN18" s="18">
        <v>0</v>
      </c>
      <c r="AO18" s="18">
        <v>0</v>
      </c>
      <c r="AP18" s="18">
        <v>0</v>
      </c>
      <c r="AQ18" s="18">
        <v>0</v>
      </c>
      <c r="AR18" s="18">
        <v>0</v>
      </c>
      <c r="AS18" s="18">
        <v>10</v>
      </c>
      <c r="AT18" s="19">
        <v>2</v>
      </c>
      <c r="AU18" s="240">
        <v>12</v>
      </c>
      <c r="AV18">
        <v>60</v>
      </c>
    </row>
    <row r="19" spans="2:48">
      <c r="B19" s="11" t="s">
        <v>159</v>
      </c>
      <c r="C19" s="18">
        <v>8</v>
      </c>
      <c r="D19" s="18">
        <v>0</v>
      </c>
      <c r="E19" s="239">
        <v>10</v>
      </c>
      <c r="F19" s="18">
        <v>0</v>
      </c>
      <c r="G19" s="18">
        <v>0</v>
      </c>
      <c r="H19" s="18">
        <v>0</v>
      </c>
      <c r="I19" s="18">
        <v>0</v>
      </c>
      <c r="J19" s="239">
        <v>0</v>
      </c>
      <c r="K19" s="19">
        <v>0</v>
      </c>
      <c r="L19" s="19">
        <v>0</v>
      </c>
      <c r="M19" s="251">
        <v>18</v>
      </c>
      <c r="N19" s="18">
        <v>0</v>
      </c>
      <c r="O19" s="18">
        <v>0</v>
      </c>
      <c r="P19" s="18">
        <v>0</v>
      </c>
      <c r="Q19" s="18">
        <v>0</v>
      </c>
      <c r="R19" s="18">
        <v>0</v>
      </c>
      <c r="S19" s="18">
        <v>0</v>
      </c>
      <c r="T19" s="18">
        <v>10</v>
      </c>
      <c r="U19" s="19">
        <v>0</v>
      </c>
      <c r="V19" s="19">
        <v>10</v>
      </c>
      <c r="W19" s="250">
        <v>20</v>
      </c>
      <c r="X19" s="18">
        <v>0</v>
      </c>
      <c r="Y19" s="18">
        <v>0</v>
      </c>
      <c r="Z19" s="18">
        <v>0</v>
      </c>
      <c r="AA19" s="18">
        <v>10</v>
      </c>
      <c r="AB19" s="18">
        <v>10</v>
      </c>
      <c r="AC19" s="18">
        <v>10</v>
      </c>
      <c r="AD19" s="18">
        <v>0</v>
      </c>
      <c r="AE19" s="18">
        <v>0</v>
      </c>
      <c r="AF19" s="19">
        <v>3</v>
      </c>
      <c r="AG19" s="248">
        <v>33</v>
      </c>
      <c r="AH19" s="18">
        <v>0</v>
      </c>
      <c r="AI19" s="18">
        <v>0</v>
      </c>
      <c r="AJ19" s="18">
        <v>0</v>
      </c>
      <c r="AK19" s="18">
        <v>10</v>
      </c>
      <c r="AL19" s="18">
        <v>10</v>
      </c>
      <c r="AM19" s="18">
        <v>0</v>
      </c>
      <c r="AN19" s="18">
        <v>0</v>
      </c>
      <c r="AO19" s="18">
        <v>0</v>
      </c>
      <c r="AP19" s="18">
        <v>0</v>
      </c>
      <c r="AQ19" s="18">
        <v>0</v>
      </c>
      <c r="AR19" s="18">
        <v>0</v>
      </c>
      <c r="AS19" s="18">
        <v>10</v>
      </c>
      <c r="AT19" s="19">
        <v>2</v>
      </c>
      <c r="AU19" s="240">
        <v>32</v>
      </c>
      <c r="AV19">
        <v>103</v>
      </c>
    </row>
    <row r="20" spans="2:48">
      <c r="B20" s="11" t="s">
        <v>352</v>
      </c>
      <c r="C20" s="18">
        <v>6</v>
      </c>
      <c r="D20" s="18">
        <v>10</v>
      </c>
      <c r="E20" s="239">
        <v>10</v>
      </c>
      <c r="F20" s="18">
        <v>3</v>
      </c>
      <c r="G20" s="18">
        <v>10</v>
      </c>
      <c r="H20" s="18">
        <v>10</v>
      </c>
      <c r="I20" s="18">
        <v>10</v>
      </c>
      <c r="J20" s="239">
        <v>0</v>
      </c>
      <c r="K20" s="19">
        <v>10</v>
      </c>
      <c r="L20" s="19">
        <v>10</v>
      </c>
      <c r="M20" s="251">
        <v>79</v>
      </c>
      <c r="N20" s="18">
        <v>10</v>
      </c>
      <c r="O20" s="18">
        <v>10</v>
      </c>
      <c r="P20" s="18">
        <v>10</v>
      </c>
      <c r="Q20" s="18">
        <v>10</v>
      </c>
      <c r="R20" s="18">
        <v>6</v>
      </c>
      <c r="S20" s="18">
        <v>10</v>
      </c>
      <c r="T20" s="18">
        <v>0</v>
      </c>
      <c r="U20" s="19">
        <v>10</v>
      </c>
      <c r="V20" s="19">
        <v>0</v>
      </c>
      <c r="W20" s="250">
        <v>66</v>
      </c>
      <c r="X20" s="18">
        <v>10</v>
      </c>
      <c r="Y20" s="18">
        <v>6</v>
      </c>
      <c r="Z20" s="18">
        <v>6</v>
      </c>
      <c r="AA20" s="18">
        <v>10</v>
      </c>
      <c r="AB20" s="18">
        <v>10</v>
      </c>
      <c r="AC20" s="18">
        <v>10</v>
      </c>
      <c r="AD20" s="18">
        <v>10</v>
      </c>
      <c r="AE20" s="18">
        <v>10</v>
      </c>
      <c r="AF20" s="19">
        <v>10</v>
      </c>
      <c r="AG20" s="248">
        <v>82</v>
      </c>
      <c r="AH20" s="18">
        <v>10</v>
      </c>
      <c r="AI20" s="18">
        <v>10</v>
      </c>
      <c r="AJ20" s="18">
        <v>10</v>
      </c>
      <c r="AK20" s="18">
        <v>10</v>
      </c>
      <c r="AL20" s="18">
        <v>10</v>
      </c>
      <c r="AM20" s="18">
        <v>10</v>
      </c>
      <c r="AN20" s="18">
        <v>10</v>
      </c>
      <c r="AO20" s="18">
        <v>10</v>
      </c>
      <c r="AP20" s="18">
        <v>10</v>
      </c>
      <c r="AQ20" s="18">
        <v>8</v>
      </c>
      <c r="AR20" s="18">
        <v>8</v>
      </c>
      <c r="AS20" s="18">
        <v>10</v>
      </c>
      <c r="AT20" s="19">
        <v>10</v>
      </c>
      <c r="AU20" s="240">
        <v>126</v>
      </c>
      <c r="AV20">
        <v>353</v>
      </c>
    </row>
    <row r="21" spans="2:48">
      <c r="B21" s="11" t="s">
        <v>408</v>
      </c>
      <c r="C21" s="18">
        <v>8</v>
      </c>
      <c r="D21" s="18">
        <v>10</v>
      </c>
      <c r="E21" s="239">
        <v>10</v>
      </c>
      <c r="F21" s="18">
        <v>8</v>
      </c>
      <c r="G21" s="18">
        <v>10</v>
      </c>
      <c r="H21" s="18">
        <v>10</v>
      </c>
      <c r="I21" s="18">
        <v>10</v>
      </c>
      <c r="J21" s="239">
        <v>10</v>
      </c>
      <c r="K21" s="19">
        <v>10</v>
      </c>
      <c r="L21" s="19">
        <v>10</v>
      </c>
      <c r="M21" s="251">
        <v>96</v>
      </c>
      <c r="N21" s="18">
        <v>10</v>
      </c>
      <c r="O21" s="18">
        <v>10</v>
      </c>
      <c r="P21" s="18">
        <v>10</v>
      </c>
      <c r="Q21" s="18">
        <v>10</v>
      </c>
      <c r="R21" s="18">
        <v>6</v>
      </c>
      <c r="S21" s="18">
        <v>0</v>
      </c>
      <c r="T21" s="18">
        <v>10</v>
      </c>
      <c r="U21" s="19">
        <v>10</v>
      </c>
      <c r="V21" s="19">
        <v>10</v>
      </c>
      <c r="W21" s="250">
        <v>76</v>
      </c>
      <c r="X21" s="18">
        <v>10</v>
      </c>
      <c r="Y21" s="18">
        <v>10</v>
      </c>
      <c r="Z21" s="18">
        <v>6</v>
      </c>
      <c r="AA21" s="18">
        <v>10</v>
      </c>
      <c r="AB21" s="18">
        <v>10</v>
      </c>
      <c r="AC21" s="18">
        <v>10</v>
      </c>
      <c r="AD21" s="18">
        <v>10</v>
      </c>
      <c r="AE21" s="18">
        <v>10</v>
      </c>
      <c r="AF21" s="19">
        <v>10</v>
      </c>
      <c r="AG21" s="248">
        <v>86</v>
      </c>
      <c r="AH21" s="18">
        <v>10</v>
      </c>
      <c r="AI21" s="18">
        <v>10</v>
      </c>
      <c r="AJ21" s="18">
        <v>10</v>
      </c>
      <c r="AK21" s="18">
        <v>10</v>
      </c>
      <c r="AL21" s="18">
        <v>10</v>
      </c>
      <c r="AM21" s="18">
        <v>10</v>
      </c>
      <c r="AN21" s="18">
        <v>10</v>
      </c>
      <c r="AO21" s="18">
        <v>10</v>
      </c>
      <c r="AP21" s="18">
        <v>10</v>
      </c>
      <c r="AQ21" s="18">
        <v>6</v>
      </c>
      <c r="AR21" s="18">
        <v>10</v>
      </c>
      <c r="AS21" s="18">
        <v>10</v>
      </c>
      <c r="AT21" s="19">
        <v>2</v>
      </c>
      <c r="AU21" s="240">
        <v>118</v>
      </c>
      <c r="AV21">
        <v>376</v>
      </c>
    </row>
    <row r="22" spans="2:48">
      <c r="B22" s="11" t="s">
        <v>409</v>
      </c>
      <c r="C22" s="18">
        <v>8</v>
      </c>
      <c r="D22" s="18">
        <v>10</v>
      </c>
      <c r="E22" s="239">
        <v>10</v>
      </c>
      <c r="F22" s="18">
        <v>5</v>
      </c>
      <c r="G22" s="18">
        <v>10</v>
      </c>
      <c r="H22" s="18">
        <v>8</v>
      </c>
      <c r="I22" s="18">
        <v>0</v>
      </c>
      <c r="J22" s="239">
        <v>10</v>
      </c>
      <c r="K22" s="19">
        <v>6</v>
      </c>
      <c r="L22" s="19">
        <v>10</v>
      </c>
      <c r="M22" s="251">
        <v>77</v>
      </c>
      <c r="N22" s="18">
        <v>10</v>
      </c>
      <c r="O22" s="18">
        <v>10</v>
      </c>
      <c r="P22" s="18">
        <v>10</v>
      </c>
      <c r="Q22" s="18">
        <v>10</v>
      </c>
      <c r="R22" s="18">
        <v>4</v>
      </c>
      <c r="S22" s="18">
        <v>6</v>
      </c>
      <c r="T22" s="18">
        <v>6</v>
      </c>
      <c r="U22" s="19">
        <v>0</v>
      </c>
      <c r="V22" s="19">
        <v>10</v>
      </c>
      <c r="W22" s="250">
        <v>66</v>
      </c>
      <c r="X22" s="18">
        <v>10</v>
      </c>
      <c r="Y22" s="18">
        <v>6</v>
      </c>
      <c r="Z22" s="18">
        <v>10</v>
      </c>
      <c r="AA22" s="18">
        <v>10</v>
      </c>
      <c r="AB22" s="18">
        <v>10</v>
      </c>
      <c r="AC22" s="18">
        <v>10</v>
      </c>
      <c r="AD22" s="18">
        <v>10</v>
      </c>
      <c r="AE22" s="18">
        <v>10</v>
      </c>
      <c r="AF22" s="19">
        <v>10</v>
      </c>
      <c r="AG22" s="248">
        <v>86</v>
      </c>
      <c r="AH22" s="18">
        <v>10</v>
      </c>
      <c r="AI22" s="18">
        <v>10</v>
      </c>
      <c r="AJ22" s="18">
        <v>10</v>
      </c>
      <c r="AK22" s="18">
        <v>10</v>
      </c>
      <c r="AL22" s="18">
        <v>10</v>
      </c>
      <c r="AM22" s="18">
        <v>10</v>
      </c>
      <c r="AN22" s="18">
        <v>10</v>
      </c>
      <c r="AO22" s="18">
        <v>10</v>
      </c>
      <c r="AP22" s="18">
        <v>10</v>
      </c>
      <c r="AQ22" s="18">
        <v>0</v>
      </c>
      <c r="AR22" s="18">
        <v>10</v>
      </c>
      <c r="AS22" s="18">
        <v>10</v>
      </c>
      <c r="AT22" s="19">
        <v>6</v>
      </c>
      <c r="AU22" s="240">
        <v>116</v>
      </c>
      <c r="AV22">
        <v>345</v>
      </c>
    </row>
    <row r="23" spans="2:48">
      <c r="B23" s="11" t="s">
        <v>410</v>
      </c>
      <c r="C23" s="18">
        <v>0</v>
      </c>
      <c r="D23" s="18">
        <v>0</v>
      </c>
      <c r="E23" s="239">
        <v>0</v>
      </c>
      <c r="F23" s="18">
        <v>0</v>
      </c>
      <c r="G23" s="18">
        <v>0</v>
      </c>
      <c r="H23" s="18">
        <v>0</v>
      </c>
      <c r="I23" s="18">
        <v>0</v>
      </c>
      <c r="J23" s="239">
        <v>0</v>
      </c>
      <c r="K23" s="19">
        <v>0</v>
      </c>
      <c r="L23" s="19">
        <v>0</v>
      </c>
      <c r="M23" s="251">
        <v>0</v>
      </c>
      <c r="N23" s="18">
        <v>0</v>
      </c>
      <c r="O23" s="18">
        <v>0</v>
      </c>
      <c r="P23" s="18">
        <v>0</v>
      </c>
      <c r="Q23" s="18">
        <v>0</v>
      </c>
      <c r="R23" s="18">
        <v>0</v>
      </c>
      <c r="S23" s="18">
        <v>0</v>
      </c>
      <c r="T23" s="18">
        <v>0</v>
      </c>
      <c r="U23" s="19">
        <v>0</v>
      </c>
      <c r="V23" s="19">
        <v>10</v>
      </c>
      <c r="W23" s="250">
        <v>10</v>
      </c>
      <c r="X23" s="18">
        <v>0</v>
      </c>
      <c r="Y23" s="18">
        <v>0</v>
      </c>
      <c r="Z23" s="18">
        <v>0</v>
      </c>
      <c r="AA23" s="18">
        <v>0</v>
      </c>
      <c r="AB23" s="18">
        <v>0</v>
      </c>
      <c r="AC23" s="18">
        <v>0</v>
      </c>
      <c r="AD23" s="18">
        <v>0</v>
      </c>
      <c r="AE23" s="18">
        <v>0</v>
      </c>
      <c r="AF23" s="19">
        <v>2</v>
      </c>
      <c r="AG23" s="248">
        <v>2</v>
      </c>
      <c r="AH23" s="18">
        <v>0</v>
      </c>
      <c r="AI23" s="18">
        <v>0</v>
      </c>
      <c r="AJ23" s="18">
        <v>0</v>
      </c>
      <c r="AK23" s="18">
        <v>0</v>
      </c>
      <c r="AL23" s="18">
        <v>0</v>
      </c>
      <c r="AM23" s="18">
        <v>0</v>
      </c>
      <c r="AN23" s="18">
        <v>0</v>
      </c>
      <c r="AO23" s="18">
        <v>0</v>
      </c>
      <c r="AP23" s="18">
        <v>0</v>
      </c>
      <c r="AQ23" s="18">
        <v>0</v>
      </c>
      <c r="AR23" s="18">
        <v>0</v>
      </c>
      <c r="AS23" s="18">
        <v>0</v>
      </c>
      <c r="AT23" s="19">
        <v>2</v>
      </c>
      <c r="AU23" s="240">
        <v>2</v>
      </c>
      <c r="AV23">
        <v>14</v>
      </c>
    </row>
    <row r="24" spans="2:48">
      <c r="B24" s="11" t="s">
        <v>411</v>
      </c>
      <c r="C24" s="18">
        <v>0</v>
      </c>
      <c r="D24" s="18">
        <v>0</v>
      </c>
      <c r="E24" s="239">
        <v>0</v>
      </c>
      <c r="F24" s="18">
        <v>0</v>
      </c>
      <c r="G24" s="18">
        <v>0</v>
      </c>
      <c r="H24" s="18">
        <v>0</v>
      </c>
      <c r="I24" s="18">
        <v>0</v>
      </c>
      <c r="J24" s="239">
        <v>0</v>
      </c>
      <c r="K24" s="19">
        <v>0</v>
      </c>
      <c r="L24" s="19">
        <v>0</v>
      </c>
      <c r="M24" s="251">
        <v>0</v>
      </c>
      <c r="N24" s="18">
        <v>10</v>
      </c>
      <c r="O24" s="18">
        <v>10</v>
      </c>
      <c r="P24" s="18">
        <v>10</v>
      </c>
      <c r="Q24" s="18">
        <v>10</v>
      </c>
      <c r="R24" s="18">
        <v>6</v>
      </c>
      <c r="S24" s="18">
        <v>6</v>
      </c>
      <c r="T24" s="18">
        <v>10</v>
      </c>
      <c r="U24" s="19">
        <v>10</v>
      </c>
      <c r="V24" s="19">
        <v>10</v>
      </c>
      <c r="W24" s="250">
        <v>82</v>
      </c>
      <c r="X24" s="18">
        <v>0</v>
      </c>
      <c r="Y24" s="18">
        <v>0</v>
      </c>
      <c r="Z24" s="18">
        <v>0</v>
      </c>
      <c r="AA24" s="18">
        <v>0</v>
      </c>
      <c r="AB24" s="18">
        <v>0</v>
      </c>
      <c r="AC24" s="18">
        <v>0</v>
      </c>
      <c r="AD24" s="18">
        <v>0</v>
      </c>
      <c r="AE24" s="18">
        <v>0</v>
      </c>
      <c r="AF24" s="19">
        <v>2</v>
      </c>
      <c r="AG24" s="248">
        <v>2</v>
      </c>
      <c r="AH24" s="18">
        <v>0</v>
      </c>
      <c r="AI24" s="18">
        <v>0</v>
      </c>
      <c r="AJ24" s="18">
        <v>0</v>
      </c>
      <c r="AK24" s="18">
        <v>0</v>
      </c>
      <c r="AL24" s="18">
        <v>0</v>
      </c>
      <c r="AM24" s="18">
        <v>0</v>
      </c>
      <c r="AN24" s="18">
        <v>0</v>
      </c>
      <c r="AO24" s="18">
        <v>0</v>
      </c>
      <c r="AP24" s="18">
        <v>0</v>
      </c>
      <c r="AQ24" s="18">
        <v>0</v>
      </c>
      <c r="AR24" s="18">
        <v>0</v>
      </c>
      <c r="AS24" s="18">
        <v>0</v>
      </c>
      <c r="AT24" s="19">
        <v>2</v>
      </c>
      <c r="AU24" s="240">
        <v>2</v>
      </c>
      <c r="AV24">
        <v>86</v>
      </c>
    </row>
    <row r="25" spans="2:48">
      <c r="B25" s="11" t="s">
        <v>337</v>
      </c>
      <c r="C25" s="18">
        <v>6</v>
      </c>
      <c r="D25" s="18">
        <v>10</v>
      </c>
      <c r="E25" s="239">
        <v>10</v>
      </c>
      <c r="F25" s="18">
        <v>10</v>
      </c>
      <c r="G25" s="18">
        <v>10</v>
      </c>
      <c r="H25" s="18">
        <v>10</v>
      </c>
      <c r="I25" s="18">
        <v>10</v>
      </c>
      <c r="J25" s="239">
        <v>0</v>
      </c>
      <c r="K25" s="19">
        <v>10</v>
      </c>
      <c r="L25" s="19">
        <v>10</v>
      </c>
      <c r="M25" s="251">
        <v>86</v>
      </c>
      <c r="N25" s="18">
        <v>10</v>
      </c>
      <c r="O25" s="18">
        <v>10</v>
      </c>
      <c r="P25" s="18">
        <v>10</v>
      </c>
      <c r="Q25" s="18">
        <v>10</v>
      </c>
      <c r="R25" s="18">
        <v>6</v>
      </c>
      <c r="S25" s="18">
        <v>10</v>
      </c>
      <c r="T25" s="18">
        <v>10</v>
      </c>
      <c r="U25" s="19">
        <v>10</v>
      </c>
      <c r="V25" s="19">
        <v>10</v>
      </c>
      <c r="W25" s="250">
        <v>86</v>
      </c>
      <c r="X25" s="18">
        <v>0</v>
      </c>
      <c r="Y25" s="18">
        <v>6</v>
      </c>
      <c r="Z25" s="18">
        <v>0</v>
      </c>
      <c r="AA25" s="18">
        <v>10</v>
      </c>
      <c r="AB25" s="18">
        <v>10</v>
      </c>
      <c r="AC25" s="18">
        <v>10</v>
      </c>
      <c r="AD25" s="18">
        <v>10</v>
      </c>
      <c r="AE25" s="18">
        <v>10</v>
      </c>
      <c r="AF25" s="19">
        <v>10</v>
      </c>
      <c r="AG25" s="248">
        <v>66</v>
      </c>
      <c r="AH25" s="18">
        <v>10</v>
      </c>
      <c r="AI25" s="18">
        <v>10</v>
      </c>
      <c r="AJ25" s="18">
        <v>6</v>
      </c>
      <c r="AK25" s="18">
        <v>0</v>
      </c>
      <c r="AL25" s="18">
        <v>10</v>
      </c>
      <c r="AM25" s="18">
        <v>10</v>
      </c>
      <c r="AN25" s="18">
        <v>10</v>
      </c>
      <c r="AO25" s="18">
        <v>0</v>
      </c>
      <c r="AP25" s="18">
        <v>6</v>
      </c>
      <c r="AQ25" s="18">
        <v>0</v>
      </c>
      <c r="AR25" s="18">
        <v>8</v>
      </c>
      <c r="AS25" s="18">
        <v>10</v>
      </c>
      <c r="AT25" s="19">
        <v>2</v>
      </c>
      <c r="AU25" s="240">
        <v>82</v>
      </c>
      <c r="AV25">
        <v>320</v>
      </c>
    </row>
    <row r="26" spans="2:48">
      <c r="B26" s="11" t="s">
        <v>338</v>
      </c>
      <c r="C26" s="18">
        <v>8</v>
      </c>
      <c r="D26" s="18">
        <v>10</v>
      </c>
      <c r="E26" s="239">
        <v>10</v>
      </c>
      <c r="F26" s="18">
        <v>3</v>
      </c>
      <c r="G26" s="18">
        <v>10</v>
      </c>
      <c r="H26" s="18">
        <v>6</v>
      </c>
      <c r="I26" s="18">
        <v>10</v>
      </c>
      <c r="J26" s="239">
        <v>0</v>
      </c>
      <c r="K26" s="19">
        <v>10</v>
      </c>
      <c r="L26" s="19">
        <v>10</v>
      </c>
      <c r="M26" s="251">
        <v>77</v>
      </c>
      <c r="N26" s="18">
        <v>10</v>
      </c>
      <c r="O26" s="18">
        <v>10</v>
      </c>
      <c r="P26" s="18">
        <v>10</v>
      </c>
      <c r="Q26" s="18">
        <v>10</v>
      </c>
      <c r="R26" s="18">
        <v>4</v>
      </c>
      <c r="S26" s="18">
        <v>10</v>
      </c>
      <c r="T26" s="18">
        <v>10</v>
      </c>
      <c r="U26" s="19">
        <v>10</v>
      </c>
      <c r="V26" s="19">
        <v>0</v>
      </c>
      <c r="W26" s="250">
        <v>74</v>
      </c>
      <c r="X26" s="18">
        <v>0</v>
      </c>
      <c r="Y26" s="18">
        <v>6</v>
      </c>
      <c r="Z26" s="18">
        <v>0</v>
      </c>
      <c r="AA26" s="18">
        <v>10</v>
      </c>
      <c r="AB26" s="18">
        <v>10</v>
      </c>
      <c r="AC26" s="18">
        <v>10</v>
      </c>
      <c r="AD26" s="18">
        <v>10</v>
      </c>
      <c r="AE26" s="18">
        <v>10</v>
      </c>
      <c r="AF26" s="19">
        <v>3</v>
      </c>
      <c r="AG26" s="248">
        <v>59</v>
      </c>
      <c r="AH26" s="18">
        <v>0</v>
      </c>
      <c r="AI26" s="18">
        <v>0</v>
      </c>
      <c r="AJ26" s="18">
        <v>6</v>
      </c>
      <c r="AK26" s="18">
        <v>0</v>
      </c>
      <c r="AL26" s="18">
        <v>10</v>
      </c>
      <c r="AM26" s="18">
        <v>10</v>
      </c>
      <c r="AN26" s="18">
        <v>10</v>
      </c>
      <c r="AO26" s="18">
        <v>10</v>
      </c>
      <c r="AP26" s="18">
        <v>10</v>
      </c>
      <c r="AQ26" s="18">
        <v>8</v>
      </c>
      <c r="AR26" s="18">
        <v>8</v>
      </c>
      <c r="AS26" s="18">
        <v>10</v>
      </c>
      <c r="AT26" s="19">
        <v>2</v>
      </c>
      <c r="AU26" s="240">
        <v>84</v>
      </c>
      <c r="AV26">
        <v>294</v>
      </c>
    </row>
    <row r="27" spans="2:48">
      <c r="B27" s="11" t="s">
        <v>339</v>
      </c>
      <c r="C27" s="18">
        <v>8</v>
      </c>
      <c r="D27" s="18">
        <v>10</v>
      </c>
      <c r="E27" s="239">
        <v>10</v>
      </c>
      <c r="F27" s="18">
        <v>5</v>
      </c>
      <c r="G27" s="18">
        <v>10</v>
      </c>
      <c r="H27" s="18">
        <v>10</v>
      </c>
      <c r="I27" s="18">
        <v>10</v>
      </c>
      <c r="J27" s="239">
        <v>6</v>
      </c>
      <c r="K27" s="19">
        <v>10</v>
      </c>
      <c r="L27" s="19">
        <v>10</v>
      </c>
      <c r="M27" s="251">
        <v>89</v>
      </c>
      <c r="N27" s="18">
        <v>10</v>
      </c>
      <c r="O27" s="18">
        <v>10</v>
      </c>
      <c r="P27" s="18">
        <v>10</v>
      </c>
      <c r="Q27" s="18">
        <v>5</v>
      </c>
      <c r="R27" s="18">
        <v>10</v>
      </c>
      <c r="S27" s="18">
        <v>6</v>
      </c>
      <c r="T27" s="18">
        <v>10</v>
      </c>
      <c r="U27" s="19">
        <v>10</v>
      </c>
      <c r="V27" s="19">
        <v>10</v>
      </c>
      <c r="W27" s="250">
        <v>81</v>
      </c>
      <c r="X27" s="18">
        <v>0</v>
      </c>
      <c r="Y27" s="18">
        <v>6</v>
      </c>
      <c r="Z27" s="18">
        <v>6</v>
      </c>
      <c r="AA27" s="18">
        <v>10</v>
      </c>
      <c r="AB27" s="18">
        <v>10</v>
      </c>
      <c r="AC27" s="18">
        <v>10</v>
      </c>
      <c r="AD27" s="18">
        <v>10</v>
      </c>
      <c r="AE27" s="18">
        <v>10</v>
      </c>
      <c r="AF27" s="19">
        <v>10</v>
      </c>
      <c r="AG27" s="248">
        <v>72</v>
      </c>
      <c r="AH27" s="18">
        <v>10</v>
      </c>
      <c r="AI27" s="18">
        <v>10</v>
      </c>
      <c r="AJ27" s="18">
        <v>6</v>
      </c>
      <c r="AK27" s="18">
        <v>10</v>
      </c>
      <c r="AL27" s="18">
        <v>10</v>
      </c>
      <c r="AM27" s="18">
        <v>0</v>
      </c>
      <c r="AN27" s="18">
        <v>10</v>
      </c>
      <c r="AO27" s="18">
        <v>10</v>
      </c>
      <c r="AP27" s="18">
        <v>10</v>
      </c>
      <c r="AQ27" s="18">
        <v>0</v>
      </c>
      <c r="AR27" s="18">
        <v>8</v>
      </c>
      <c r="AS27" s="18">
        <v>10</v>
      </c>
      <c r="AT27" s="19">
        <v>2</v>
      </c>
      <c r="AU27" s="240">
        <v>96</v>
      </c>
      <c r="AV27">
        <v>338</v>
      </c>
    </row>
    <row r="28" spans="2:48">
      <c r="B28" s="11" t="s">
        <v>80</v>
      </c>
      <c r="C28" s="18">
        <v>8</v>
      </c>
      <c r="D28" s="18">
        <v>10</v>
      </c>
      <c r="E28" s="239">
        <v>0</v>
      </c>
      <c r="F28" s="18">
        <v>0</v>
      </c>
      <c r="G28" s="18">
        <v>4</v>
      </c>
      <c r="H28" s="18">
        <v>10</v>
      </c>
      <c r="I28" s="18">
        <v>0</v>
      </c>
      <c r="J28" s="239">
        <v>6</v>
      </c>
      <c r="K28" s="19">
        <v>6</v>
      </c>
      <c r="L28" s="19">
        <v>0</v>
      </c>
      <c r="M28" s="251">
        <v>44</v>
      </c>
      <c r="N28" s="18">
        <v>0</v>
      </c>
      <c r="O28" s="18">
        <v>0</v>
      </c>
      <c r="P28" s="18">
        <v>0</v>
      </c>
      <c r="Q28" s="18">
        <v>5</v>
      </c>
      <c r="R28" s="18">
        <v>4</v>
      </c>
      <c r="S28" s="18">
        <v>6</v>
      </c>
      <c r="T28" s="18">
        <v>6</v>
      </c>
      <c r="U28" s="19">
        <v>0</v>
      </c>
      <c r="V28" s="19">
        <v>0</v>
      </c>
      <c r="W28" s="250">
        <v>21</v>
      </c>
      <c r="X28" s="18">
        <v>0</v>
      </c>
      <c r="Y28" s="18">
        <v>0</v>
      </c>
      <c r="Z28" s="18">
        <v>0</v>
      </c>
      <c r="AA28" s="18">
        <v>10</v>
      </c>
      <c r="AB28" s="18">
        <v>0</v>
      </c>
      <c r="AC28" s="18">
        <v>0</v>
      </c>
      <c r="AD28" s="18">
        <v>0</v>
      </c>
      <c r="AE28" s="18">
        <v>10</v>
      </c>
      <c r="AF28" s="19">
        <v>10</v>
      </c>
      <c r="AG28" s="248">
        <v>30</v>
      </c>
      <c r="AH28" s="18">
        <v>0</v>
      </c>
      <c r="AI28" s="18">
        <v>0</v>
      </c>
      <c r="AJ28" s="18">
        <v>0</v>
      </c>
      <c r="AK28" s="18">
        <v>0</v>
      </c>
      <c r="AL28" s="18">
        <v>0</v>
      </c>
      <c r="AM28" s="18">
        <v>0</v>
      </c>
      <c r="AN28" s="18">
        <v>0</v>
      </c>
      <c r="AO28" s="18">
        <v>0</v>
      </c>
      <c r="AP28" s="18">
        <v>6</v>
      </c>
      <c r="AQ28" s="18">
        <v>0</v>
      </c>
      <c r="AR28" s="18">
        <v>0</v>
      </c>
      <c r="AS28" s="18">
        <v>10</v>
      </c>
      <c r="AT28" s="19">
        <v>2</v>
      </c>
      <c r="AU28" s="240">
        <v>18</v>
      </c>
      <c r="AV28">
        <v>113</v>
      </c>
    </row>
    <row r="29" spans="2:48">
      <c r="B29" s="11" t="s">
        <v>81</v>
      </c>
      <c r="C29" s="18">
        <v>10</v>
      </c>
      <c r="D29" s="18">
        <v>10</v>
      </c>
      <c r="E29" s="239">
        <v>10</v>
      </c>
      <c r="F29" s="18">
        <v>3</v>
      </c>
      <c r="G29" s="18">
        <v>10</v>
      </c>
      <c r="H29" s="18">
        <v>6</v>
      </c>
      <c r="I29" s="18">
        <v>0</v>
      </c>
      <c r="J29" s="239">
        <v>6</v>
      </c>
      <c r="K29" s="19">
        <v>10</v>
      </c>
      <c r="L29" s="19">
        <v>10</v>
      </c>
      <c r="M29" s="251">
        <v>75</v>
      </c>
      <c r="N29" s="18">
        <v>10</v>
      </c>
      <c r="O29" s="18">
        <v>0</v>
      </c>
      <c r="P29" s="18">
        <v>0</v>
      </c>
      <c r="Q29" s="18">
        <v>5</v>
      </c>
      <c r="R29" s="18">
        <v>10</v>
      </c>
      <c r="S29" s="18">
        <v>6</v>
      </c>
      <c r="T29" s="18">
        <v>10</v>
      </c>
      <c r="U29" s="19">
        <v>10</v>
      </c>
      <c r="V29" s="19">
        <v>10</v>
      </c>
      <c r="W29" s="250">
        <v>61</v>
      </c>
      <c r="X29" s="18">
        <v>10</v>
      </c>
      <c r="Y29" s="18">
        <v>6</v>
      </c>
      <c r="Z29" s="18">
        <v>0</v>
      </c>
      <c r="AA29" s="18">
        <v>0</v>
      </c>
      <c r="AB29" s="18">
        <v>0</v>
      </c>
      <c r="AC29" s="18">
        <v>0</v>
      </c>
      <c r="AD29" s="18">
        <v>0</v>
      </c>
      <c r="AE29" s="18">
        <v>10</v>
      </c>
      <c r="AF29" s="19">
        <v>10</v>
      </c>
      <c r="AG29" s="248">
        <v>36</v>
      </c>
      <c r="AH29" s="18">
        <v>10</v>
      </c>
      <c r="AI29" s="18">
        <v>10</v>
      </c>
      <c r="AJ29" s="18">
        <v>0</v>
      </c>
      <c r="AK29" s="18">
        <v>0</v>
      </c>
      <c r="AL29" s="18">
        <v>0</v>
      </c>
      <c r="AM29" s="18">
        <v>0</v>
      </c>
      <c r="AN29" s="18">
        <v>10</v>
      </c>
      <c r="AO29" s="18">
        <v>10</v>
      </c>
      <c r="AP29" s="18">
        <v>10</v>
      </c>
      <c r="AQ29" s="18">
        <v>0</v>
      </c>
      <c r="AR29" s="18">
        <v>10</v>
      </c>
      <c r="AS29" s="18">
        <v>10</v>
      </c>
      <c r="AT29" s="19">
        <v>2</v>
      </c>
      <c r="AU29" s="240">
        <v>72</v>
      </c>
      <c r="AV29">
        <v>244</v>
      </c>
    </row>
    <row r="30" spans="2:48">
      <c r="B30" s="11" t="s">
        <v>248</v>
      </c>
      <c r="C30" s="18">
        <v>8</v>
      </c>
      <c r="D30" s="18">
        <v>10</v>
      </c>
      <c r="E30" s="239">
        <v>10</v>
      </c>
      <c r="F30" s="18">
        <v>10</v>
      </c>
      <c r="G30" s="18">
        <v>10</v>
      </c>
      <c r="H30" s="18">
        <v>10</v>
      </c>
      <c r="I30" s="18">
        <v>10</v>
      </c>
      <c r="J30" s="239">
        <v>0</v>
      </c>
      <c r="K30" s="19">
        <v>10</v>
      </c>
      <c r="L30" s="19">
        <v>10</v>
      </c>
      <c r="M30" s="251">
        <v>88</v>
      </c>
      <c r="N30" s="18">
        <v>10</v>
      </c>
      <c r="O30" s="18">
        <v>10</v>
      </c>
      <c r="P30" s="18">
        <v>10</v>
      </c>
      <c r="Q30" s="18">
        <v>10</v>
      </c>
      <c r="R30" s="18">
        <v>4</v>
      </c>
      <c r="S30" s="18">
        <v>10</v>
      </c>
      <c r="T30" s="18">
        <v>10</v>
      </c>
      <c r="U30" s="19">
        <v>10</v>
      </c>
      <c r="V30" s="19">
        <v>10</v>
      </c>
      <c r="W30" s="250">
        <v>84</v>
      </c>
      <c r="X30" s="18">
        <v>10</v>
      </c>
      <c r="Y30" s="18">
        <v>6</v>
      </c>
      <c r="Z30" s="18">
        <v>6</v>
      </c>
      <c r="AA30" s="18">
        <v>10</v>
      </c>
      <c r="AB30" s="18">
        <v>10</v>
      </c>
      <c r="AC30" s="18">
        <v>10</v>
      </c>
      <c r="AD30" s="18">
        <v>10</v>
      </c>
      <c r="AE30" s="18">
        <v>10</v>
      </c>
      <c r="AF30" s="19">
        <v>10</v>
      </c>
      <c r="AG30" s="248">
        <v>82</v>
      </c>
      <c r="AH30" s="18">
        <v>10</v>
      </c>
      <c r="AI30" s="18">
        <v>10</v>
      </c>
      <c r="AJ30" s="18">
        <v>6</v>
      </c>
      <c r="AK30" s="18">
        <v>10</v>
      </c>
      <c r="AL30" s="18">
        <v>10</v>
      </c>
      <c r="AM30" s="18">
        <v>10</v>
      </c>
      <c r="AN30" s="18">
        <v>10</v>
      </c>
      <c r="AO30" s="18">
        <v>6</v>
      </c>
      <c r="AP30" s="18">
        <v>0</v>
      </c>
      <c r="AQ30" s="18">
        <v>8</v>
      </c>
      <c r="AR30" s="18">
        <v>8</v>
      </c>
      <c r="AS30" s="18">
        <v>10</v>
      </c>
      <c r="AT30" s="19">
        <v>6</v>
      </c>
      <c r="AU30" s="240">
        <v>104</v>
      </c>
      <c r="AV30">
        <v>358</v>
      </c>
    </row>
    <row r="31" spans="2:48">
      <c r="B31" s="11" t="s">
        <v>82</v>
      </c>
      <c r="C31" s="18">
        <v>8</v>
      </c>
      <c r="D31" s="18">
        <v>10</v>
      </c>
      <c r="E31" s="239">
        <v>0</v>
      </c>
      <c r="F31" s="18">
        <v>0</v>
      </c>
      <c r="G31" s="18">
        <v>0</v>
      </c>
      <c r="H31" s="18">
        <v>4</v>
      </c>
      <c r="I31" s="18">
        <v>0</v>
      </c>
      <c r="J31" s="239">
        <v>6</v>
      </c>
      <c r="K31" s="19">
        <v>10</v>
      </c>
      <c r="L31" s="19">
        <v>10</v>
      </c>
      <c r="M31" s="251">
        <v>48</v>
      </c>
      <c r="N31" s="18">
        <v>10</v>
      </c>
      <c r="O31" s="18">
        <v>10</v>
      </c>
      <c r="P31" s="18">
        <v>10</v>
      </c>
      <c r="Q31" s="18">
        <v>10</v>
      </c>
      <c r="R31" s="18">
        <v>6</v>
      </c>
      <c r="S31" s="18">
        <v>6</v>
      </c>
      <c r="T31" s="18">
        <v>10</v>
      </c>
      <c r="U31" s="19">
        <v>10</v>
      </c>
      <c r="V31" s="19">
        <v>10</v>
      </c>
      <c r="W31" s="250">
        <v>82</v>
      </c>
      <c r="X31" s="18">
        <v>10</v>
      </c>
      <c r="Y31" s="18">
        <v>6</v>
      </c>
      <c r="Z31" s="18">
        <v>6</v>
      </c>
      <c r="AA31" s="18">
        <v>10</v>
      </c>
      <c r="AB31" s="18">
        <v>0</v>
      </c>
      <c r="AC31" s="18">
        <v>0</v>
      </c>
      <c r="AD31" s="18">
        <v>10</v>
      </c>
      <c r="AE31" s="18">
        <v>0</v>
      </c>
      <c r="AF31" s="19">
        <v>10</v>
      </c>
      <c r="AG31" s="248">
        <v>52</v>
      </c>
      <c r="AH31" s="18">
        <v>10</v>
      </c>
      <c r="AI31" s="18">
        <v>10</v>
      </c>
      <c r="AJ31" s="18">
        <v>0</v>
      </c>
      <c r="AK31" s="18">
        <v>10</v>
      </c>
      <c r="AL31" s="18">
        <v>10</v>
      </c>
      <c r="AM31" s="18">
        <v>0</v>
      </c>
      <c r="AN31" s="18">
        <v>10</v>
      </c>
      <c r="AO31" s="18">
        <v>10</v>
      </c>
      <c r="AP31" s="18">
        <v>10</v>
      </c>
      <c r="AQ31" s="18">
        <v>0</v>
      </c>
      <c r="AR31" s="18">
        <v>8</v>
      </c>
      <c r="AS31" s="18">
        <v>0</v>
      </c>
      <c r="AT31" s="19">
        <v>2</v>
      </c>
      <c r="AU31" s="240">
        <v>80</v>
      </c>
      <c r="AV31">
        <v>262</v>
      </c>
    </row>
    <row r="32" spans="2:48">
      <c r="B32" s="11" t="s">
        <v>169</v>
      </c>
      <c r="C32" s="18">
        <v>6</v>
      </c>
      <c r="D32" s="18">
        <v>10</v>
      </c>
      <c r="E32" s="239">
        <v>0</v>
      </c>
      <c r="F32" s="18">
        <v>0</v>
      </c>
      <c r="G32" s="18">
        <v>10</v>
      </c>
      <c r="H32" s="18">
        <v>6</v>
      </c>
      <c r="I32" s="18">
        <v>0</v>
      </c>
      <c r="J32" s="239">
        <v>6</v>
      </c>
      <c r="K32" s="19">
        <v>10</v>
      </c>
      <c r="L32" s="19">
        <v>0</v>
      </c>
      <c r="M32" s="251">
        <v>48</v>
      </c>
      <c r="N32" s="18">
        <v>10</v>
      </c>
      <c r="O32" s="18">
        <v>10</v>
      </c>
      <c r="P32" s="18">
        <v>0</v>
      </c>
      <c r="Q32" s="18">
        <v>10</v>
      </c>
      <c r="R32" s="18">
        <v>6</v>
      </c>
      <c r="S32" s="18">
        <v>6</v>
      </c>
      <c r="T32" s="18">
        <v>6</v>
      </c>
      <c r="U32" s="19">
        <v>10</v>
      </c>
      <c r="V32" s="19">
        <v>0</v>
      </c>
      <c r="W32" s="250">
        <v>58</v>
      </c>
      <c r="X32" s="18">
        <v>0</v>
      </c>
      <c r="Y32" s="18">
        <v>0</v>
      </c>
      <c r="Z32" s="18">
        <v>0</v>
      </c>
      <c r="AA32" s="18">
        <v>10</v>
      </c>
      <c r="AB32" s="18">
        <v>10</v>
      </c>
      <c r="AC32" s="18">
        <v>10</v>
      </c>
      <c r="AD32" s="18">
        <v>10</v>
      </c>
      <c r="AE32" s="18">
        <v>10</v>
      </c>
      <c r="AF32" s="19">
        <v>10</v>
      </c>
      <c r="AG32" s="248">
        <v>60</v>
      </c>
      <c r="AH32" s="18">
        <v>0</v>
      </c>
      <c r="AI32" s="18">
        <v>0</v>
      </c>
      <c r="AJ32" s="18">
        <v>6</v>
      </c>
      <c r="AK32" s="18">
        <v>10</v>
      </c>
      <c r="AL32" s="18">
        <v>10</v>
      </c>
      <c r="AM32" s="18">
        <v>0</v>
      </c>
      <c r="AN32" s="18">
        <v>10</v>
      </c>
      <c r="AO32" s="18">
        <v>4</v>
      </c>
      <c r="AP32" s="18">
        <v>10</v>
      </c>
      <c r="AQ32" s="18">
        <v>0</v>
      </c>
      <c r="AR32" s="18">
        <v>10</v>
      </c>
      <c r="AS32" s="18">
        <v>10</v>
      </c>
      <c r="AT32" s="19">
        <v>2</v>
      </c>
      <c r="AU32" s="240">
        <v>72</v>
      </c>
      <c r="AV32">
        <v>238</v>
      </c>
    </row>
    <row r="33" spans="2:48">
      <c r="B33" s="11" t="s">
        <v>170</v>
      </c>
      <c r="C33" s="18">
        <v>6</v>
      </c>
      <c r="D33" s="18">
        <v>10</v>
      </c>
      <c r="E33" s="239">
        <v>10</v>
      </c>
      <c r="F33" s="18">
        <v>6</v>
      </c>
      <c r="G33" s="18">
        <v>10</v>
      </c>
      <c r="H33" s="18">
        <v>8</v>
      </c>
      <c r="I33" s="18">
        <v>0</v>
      </c>
      <c r="J33" s="239">
        <v>10</v>
      </c>
      <c r="K33" s="19">
        <v>10</v>
      </c>
      <c r="L33" s="19">
        <v>10</v>
      </c>
      <c r="M33" s="251">
        <v>80</v>
      </c>
      <c r="N33" s="18">
        <v>10</v>
      </c>
      <c r="O33" s="18">
        <v>10</v>
      </c>
      <c r="P33" s="18">
        <v>0</v>
      </c>
      <c r="Q33" s="18">
        <v>5</v>
      </c>
      <c r="R33" s="18">
        <v>4</v>
      </c>
      <c r="S33" s="18">
        <v>10</v>
      </c>
      <c r="T33" s="18">
        <v>10</v>
      </c>
      <c r="U33" s="19">
        <v>10</v>
      </c>
      <c r="V33" s="19">
        <v>10</v>
      </c>
      <c r="W33" s="250">
        <v>69</v>
      </c>
      <c r="X33" s="18">
        <v>10</v>
      </c>
      <c r="Y33" s="18">
        <v>10</v>
      </c>
      <c r="Z33" s="18">
        <v>10</v>
      </c>
      <c r="AA33" s="18">
        <v>10</v>
      </c>
      <c r="AB33" s="18">
        <v>10</v>
      </c>
      <c r="AC33" s="18">
        <v>10</v>
      </c>
      <c r="AD33" s="18">
        <v>10</v>
      </c>
      <c r="AE33" s="18">
        <v>10</v>
      </c>
      <c r="AF33" s="19">
        <v>10</v>
      </c>
      <c r="AG33" s="248">
        <v>90</v>
      </c>
      <c r="AH33" s="18">
        <v>0</v>
      </c>
      <c r="AI33" s="18">
        <v>10</v>
      </c>
      <c r="AJ33" s="18">
        <v>6</v>
      </c>
      <c r="AK33" s="18">
        <v>0</v>
      </c>
      <c r="AL33" s="18">
        <v>10</v>
      </c>
      <c r="AM33" s="18">
        <v>10</v>
      </c>
      <c r="AN33" s="18">
        <v>10</v>
      </c>
      <c r="AO33" s="18">
        <v>4</v>
      </c>
      <c r="AP33" s="18">
        <v>10</v>
      </c>
      <c r="AQ33" s="18">
        <v>8</v>
      </c>
      <c r="AR33" s="18">
        <v>10</v>
      </c>
      <c r="AS33" s="18">
        <v>10</v>
      </c>
      <c r="AT33" s="19">
        <v>10</v>
      </c>
      <c r="AU33" s="240">
        <v>98</v>
      </c>
      <c r="AV33">
        <v>337</v>
      </c>
    </row>
    <row r="34" spans="2:48">
      <c r="B34" s="11" t="s">
        <v>416</v>
      </c>
      <c r="C34" s="18">
        <v>8</v>
      </c>
      <c r="D34" s="18">
        <v>10</v>
      </c>
      <c r="E34" s="239">
        <v>0</v>
      </c>
      <c r="F34" s="18">
        <v>0</v>
      </c>
      <c r="G34" s="18">
        <v>6</v>
      </c>
      <c r="H34" s="18">
        <v>10</v>
      </c>
      <c r="I34" s="18">
        <v>0</v>
      </c>
      <c r="J34" s="239">
        <v>0</v>
      </c>
      <c r="K34" s="19">
        <v>6</v>
      </c>
      <c r="L34" s="19">
        <v>10</v>
      </c>
      <c r="M34" s="251">
        <v>50</v>
      </c>
      <c r="N34" s="18">
        <v>10</v>
      </c>
      <c r="O34" s="18">
        <v>10</v>
      </c>
      <c r="P34" s="18">
        <v>0</v>
      </c>
      <c r="Q34" s="18">
        <v>5</v>
      </c>
      <c r="R34" s="18">
        <v>6</v>
      </c>
      <c r="S34" s="18">
        <v>0</v>
      </c>
      <c r="T34" s="18">
        <v>10</v>
      </c>
      <c r="U34" s="19">
        <v>10</v>
      </c>
      <c r="V34" s="19">
        <v>10</v>
      </c>
      <c r="W34" s="250">
        <v>61</v>
      </c>
      <c r="X34" s="18">
        <v>0</v>
      </c>
      <c r="Y34" s="18">
        <v>10</v>
      </c>
      <c r="Z34" s="18">
        <v>0</v>
      </c>
      <c r="AA34" s="18">
        <v>10</v>
      </c>
      <c r="AB34" s="18">
        <v>10</v>
      </c>
      <c r="AC34" s="18">
        <v>0</v>
      </c>
      <c r="AD34" s="18">
        <v>10</v>
      </c>
      <c r="AE34" s="18">
        <v>10</v>
      </c>
      <c r="AF34" s="19">
        <v>10</v>
      </c>
      <c r="AG34" s="248">
        <v>60</v>
      </c>
      <c r="AH34" s="18">
        <v>0</v>
      </c>
      <c r="AI34" s="18">
        <v>0</v>
      </c>
      <c r="AJ34" s="18">
        <v>0</v>
      </c>
      <c r="AK34" s="18">
        <v>0</v>
      </c>
      <c r="AL34" s="18">
        <v>0</v>
      </c>
      <c r="AM34" s="18">
        <v>10</v>
      </c>
      <c r="AN34" s="18">
        <v>10</v>
      </c>
      <c r="AO34" s="18">
        <v>0</v>
      </c>
      <c r="AP34" s="18">
        <v>6</v>
      </c>
      <c r="AQ34" s="18">
        <v>0</v>
      </c>
      <c r="AR34" s="18">
        <v>6</v>
      </c>
      <c r="AS34" s="18">
        <v>0</v>
      </c>
      <c r="AT34" s="19">
        <v>2</v>
      </c>
      <c r="AU34" s="240">
        <v>34</v>
      </c>
      <c r="AV34">
        <v>205</v>
      </c>
    </row>
    <row r="35" spans="2:48">
      <c r="B35" s="11" t="s">
        <v>171</v>
      </c>
      <c r="C35" s="18">
        <v>8</v>
      </c>
      <c r="D35" s="18">
        <v>10</v>
      </c>
      <c r="E35" s="239">
        <v>10</v>
      </c>
      <c r="F35" s="18">
        <v>10</v>
      </c>
      <c r="G35" s="18">
        <v>10</v>
      </c>
      <c r="H35" s="18">
        <v>10</v>
      </c>
      <c r="I35" s="18">
        <v>10</v>
      </c>
      <c r="J35" s="239">
        <v>6</v>
      </c>
      <c r="K35" s="19">
        <v>6</v>
      </c>
      <c r="L35" s="19">
        <v>10</v>
      </c>
      <c r="M35" s="251">
        <v>90</v>
      </c>
      <c r="N35" s="18">
        <v>10</v>
      </c>
      <c r="O35" s="18">
        <v>10</v>
      </c>
      <c r="P35" s="18">
        <v>0</v>
      </c>
      <c r="Q35" s="18">
        <v>10</v>
      </c>
      <c r="R35" s="18">
        <v>6</v>
      </c>
      <c r="S35" s="18">
        <v>10</v>
      </c>
      <c r="T35" s="18">
        <v>10</v>
      </c>
      <c r="U35" s="19">
        <v>10</v>
      </c>
      <c r="V35" s="19">
        <v>10</v>
      </c>
      <c r="W35" s="250">
        <v>76</v>
      </c>
      <c r="X35" s="18">
        <v>0</v>
      </c>
      <c r="Y35" s="18">
        <v>0</v>
      </c>
      <c r="Z35" s="18">
        <v>0</v>
      </c>
      <c r="AA35" s="18">
        <v>10</v>
      </c>
      <c r="AB35" s="18">
        <v>10</v>
      </c>
      <c r="AC35" s="18">
        <v>10</v>
      </c>
      <c r="AD35" s="18">
        <v>10</v>
      </c>
      <c r="AE35" s="18">
        <v>10</v>
      </c>
      <c r="AF35" s="19">
        <v>10</v>
      </c>
      <c r="AG35" s="248">
        <v>60</v>
      </c>
      <c r="AH35" s="18">
        <v>10</v>
      </c>
      <c r="AI35" s="18">
        <v>10</v>
      </c>
      <c r="AJ35" s="18">
        <v>6</v>
      </c>
      <c r="AK35" s="18">
        <v>10</v>
      </c>
      <c r="AL35" s="18">
        <v>0</v>
      </c>
      <c r="AM35" s="18">
        <v>10</v>
      </c>
      <c r="AN35" s="18">
        <v>10</v>
      </c>
      <c r="AO35" s="18">
        <v>10</v>
      </c>
      <c r="AP35" s="18">
        <v>10</v>
      </c>
      <c r="AQ35" s="18">
        <v>0</v>
      </c>
      <c r="AR35" s="18">
        <v>10</v>
      </c>
      <c r="AS35" s="18">
        <v>10</v>
      </c>
      <c r="AT35" s="19">
        <v>2</v>
      </c>
      <c r="AU35" s="240">
        <v>98</v>
      </c>
      <c r="AV35">
        <v>324</v>
      </c>
    </row>
    <row r="36" spans="2:48">
      <c r="B36" s="11" t="s">
        <v>431</v>
      </c>
      <c r="C36" s="18">
        <v>8</v>
      </c>
      <c r="D36" s="18">
        <v>10</v>
      </c>
      <c r="E36" s="239">
        <v>10</v>
      </c>
      <c r="F36" s="18">
        <v>3</v>
      </c>
      <c r="G36" s="18">
        <v>10</v>
      </c>
      <c r="H36" s="18">
        <v>10</v>
      </c>
      <c r="I36" s="18">
        <v>10</v>
      </c>
      <c r="J36" s="239">
        <v>0</v>
      </c>
      <c r="K36" s="19">
        <v>6</v>
      </c>
      <c r="L36" s="19">
        <v>10</v>
      </c>
      <c r="M36" s="251">
        <v>77</v>
      </c>
      <c r="N36" s="18">
        <v>10</v>
      </c>
      <c r="O36" s="18">
        <v>10</v>
      </c>
      <c r="P36" s="18">
        <v>0</v>
      </c>
      <c r="Q36" s="18">
        <v>10</v>
      </c>
      <c r="R36" s="18">
        <v>0</v>
      </c>
      <c r="S36" s="18">
        <v>10</v>
      </c>
      <c r="T36" s="18">
        <v>10</v>
      </c>
      <c r="U36" s="19">
        <v>10</v>
      </c>
      <c r="V36" s="19">
        <v>10</v>
      </c>
      <c r="W36" s="250">
        <v>70</v>
      </c>
      <c r="X36" s="18">
        <v>10</v>
      </c>
      <c r="Y36" s="18">
        <v>0</v>
      </c>
      <c r="Z36" s="18">
        <v>6</v>
      </c>
      <c r="AA36" s="18">
        <v>0</v>
      </c>
      <c r="AB36" s="18">
        <v>10</v>
      </c>
      <c r="AC36" s="18">
        <v>10</v>
      </c>
      <c r="AD36" s="18">
        <v>10</v>
      </c>
      <c r="AE36" s="18">
        <v>10</v>
      </c>
      <c r="AF36" s="19">
        <v>10</v>
      </c>
      <c r="AG36" s="248">
        <v>66</v>
      </c>
      <c r="AH36" s="18">
        <v>10</v>
      </c>
      <c r="AI36" s="18">
        <v>10</v>
      </c>
      <c r="AJ36" s="18">
        <v>6</v>
      </c>
      <c r="AK36" s="18">
        <v>10</v>
      </c>
      <c r="AL36" s="18">
        <v>0</v>
      </c>
      <c r="AM36" s="18">
        <v>10</v>
      </c>
      <c r="AN36" s="18">
        <v>10</v>
      </c>
      <c r="AO36" s="18">
        <v>10</v>
      </c>
      <c r="AP36" s="18">
        <v>10</v>
      </c>
      <c r="AQ36" s="18">
        <v>0</v>
      </c>
      <c r="AR36" s="18">
        <v>10</v>
      </c>
      <c r="AS36" s="18">
        <v>10</v>
      </c>
      <c r="AT36" s="19">
        <v>10</v>
      </c>
      <c r="AU36" s="240">
        <v>106</v>
      </c>
      <c r="AV36">
        <v>319</v>
      </c>
    </row>
    <row r="37" spans="2:48">
      <c r="B37" s="11" t="s">
        <v>353</v>
      </c>
      <c r="C37" s="18">
        <v>6</v>
      </c>
      <c r="D37" s="18">
        <v>10</v>
      </c>
      <c r="E37" s="239">
        <v>0</v>
      </c>
      <c r="F37" s="18">
        <v>0</v>
      </c>
      <c r="G37" s="18">
        <v>10</v>
      </c>
      <c r="H37" s="18">
        <v>8</v>
      </c>
      <c r="I37" s="18">
        <v>10</v>
      </c>
      <c r="J37" s="239">
        <v>0</v>
      </c>
      <c r="K37" s="19">
        <v>10</v>
      </c>
      <c r="L37" s="19">
        <v>10</v>
      </c>
      <c r="M37" s="251">
        <v>64</v>
      </c>
      <c r="N37" s="18">
        <v>10</v>
      </c>
      <c r="O37" s="18">
        <v>10</v>
      </c>
      <c r="P37" s="18">
        <v>10</v>
      </c>
      <c r="Q37" s="18">
        <v>10</v>
      </c>
      <c r="R37" s="18">
        <v>0</v>
      </c>
      <c r="S37" s="18">
        <v>10</v>
      </c>
      <c r="T37" s="18">
        <v>10</v>
      </c>
      <c r="U37" s="19">
        <v>10</v>
      </c>
      <c r="V37" s="19">
        <v>6</v>
      </c>
      <c r="W37" s="250">
        <v>76</v>
      </c>
      <c r="X37" s="18">
        <v>0</v>
      </c>
      <c r="Y37" s="18">
        <v>6</v>
      </c>
      <c r="Z37" s="18">
        <v>6</v>
      </c>
      <c r="AA37" s="18">
        <v>10</v>
      </c>
      <c r="AB37" s="18">
        <v>10</v>
      </c>
      <c r="AC37" s="18">
        <v>10</v>
      </c>
      <c r="AD37" s="18">
        <v>10</v>
      </c>
      <c r="AE37" s="18">
        <v>10</v>
      </c>
      <c r="AF37" s="19">
        <v>10</v>
      </c>
      <c r="AG37" s="248">
        <v>72</v>
      </c>
      <c r="AH37" s="18">
        <v>10</v>
      </c>
      <c r="AI37" s="18">
        <v>10</v>
      </c>
      <c r="AJ37" s="18">
        <v>10</v>
      </c>
      <c r="AK37" s="18">
        <v>10</v>
      </c>
      <c r="AL37" s="18">
        <v>0</v>
      </c>
      <c r="AM37" s="18">
        <v>0</v>
      </c>
      <c r="AN37" s="18">
        <v>10</v>
      </c>
      <c r="AO37" s="18">
        <v>10</v>
      </c>
      <c r="AP37" s="18">
        <v>10</v>
      </c>
      <c r="AQ37" s="18">
        <v>0</v>
      </c>
      <c r="AR37" s="18">
        <v>10</v>
      </c>
      <c r="AS37" s="18">
        <v>10</v>
      </c>
      <c r="AT37" s="19">
        <v>2</v>
      </c>
      <c r="AU37" s="240">
        <v>92</v>
      </c>
      <c r="AV37">
        <v>304</v>
      </c>
    </row>
    <row r="38" spans="2:48">
      <c r="B38" s="11" t="s">
        <v>355</v>
      </c>
      <c r="C38" s="18">
        <v>0</v>
      </c>
      <c r="D38" s="18">
        <v>10</v>
      </c>
      <c r="E38" s="239">
        <v>0</v>
      </c>
      <c r="F38" s="18">
        <v>0</v>
      </c>
      <c r="G38" s="18">
        <v>10</v>
      </c>
      <c r="H38" s="18">
        <v>10</v>
      </c>
      <c r="I38" s="18">
        <v>10</v>
      </c>
      <c r="J38" s="239">
        <v>10</v>
      </c>
      <c r="K38" s="19">
        <v>10</v>
      </c>
      <c r="L38" s="19">
        <v>10</v>
      </c>
      <c r="M38" s="251">
        <v>70</v>
      </c>
      <c r="N38" s="18">
        <v>10</v>
      </c>
      <c r="O38" s="18">
        <v>10</v>
      </c>
      <c r="P38" s="18">
        <v>10</v>
      </c>
      <c r="Q38" s="18">
        <v>5</v>
      </c>
      <c r="R38" s="18">
        <v>6</v>
      </c>
      <c r="S38" s="18">
        <v>0</v>
      </c>
      <c r="T38" s="18">
        <v>10</v>
      </c>
      <c r="U38" s="19">
        <v>0</v>
      </c>
      <c r="V38" s="19">
        <v>10</v>
      </c>
      <c r="W38" s="250">
        <v>61</v>
      </c>
      <c r="X38" s="18">
        <v>0</v>
      </c>
      <c r="Y38" s="18">
        <v>6</v>
      </c>
      <c r="Z38" s="18">
        <v>0</v>
      </c>
      <c r="AA38" s="18">
        <v>10</v>
      </c>
      <c r="AB38" s="18">
        <v>10</v>
      </c>
      <c r="AC38" s="18">
        <v>10</v>
      </c>
      <c r="AD38" s="18">
        <v>10</v>
      </c>
      <c r="AE38" s="18">
        <v>10</v>
      </c>
      <c r="AF38" s="19">
        <v>2</v>
      </c>
      <c r="AG38" s="248">
        <v>58</v>
      </c>
      <c r="AH38" s="18">
        <v>10</v>
      </c>
      <c r="AI38" s="18">
        <v>10</v>
      </c>
      <c r="AJ38" s="18">
        <v>0</v>
      </c>
      <c r="AK38" s="18">
        <v>10</v>
      </c>
      <c r="AL38" s="18">
        <v>10</v>
      </c>
      <c r="AM38" s="18">
        <v>10</v>
      </c>
      <c r="AN38" s="18">
        <v>10</v>
      </c>
      <c r="AO38" s="18">
        <v>10</v>
      </c>
      <c r="AP38" s="18">
        <v>10</v>
      </c>
      <c r="AQ38" s="18">
        <v>4</v>
      </c>
      <c r="AR38" s="18">
        <v>8</v>
      </c>
      <c r="AS38" s="18">
        <v>10</v>
      </c>
      <c r="AT38" s="19">
        <v>2</v>
      </c>
      <c r="AU38" s="240">
        <v>104</v>
      </c>
      <c r="AV38">
        <v>293</v>
      </c>
    </row>
    <row r="39" spans="2:48">
      <c r="B39" s="11" t="s">
        <v>249</v>
      </c>
      <c r="C39" s="18">
        <v>8</v>
      </c>
      <c r="D39" s="18">
        <v>10</v>
      </c>
      <c r="E39" s="239">
        <v>10</v>
      </c>
      <c r="F39" s="18">
        <v>5</v>
      </c>
      <c r="G39" s="18">
        <v>10</v>
      </c>
      <c r="H39" s="18">
        <v>8</v>
      </c>
      <c r="I39" s="18">
        <v>0</v>
      </c>
      <c r="J39" s="239">
        <v>6</v>
      </c>
      <c r="K39" s="19">
        <v>10</v>
      </c>
      <c r="L39" s="19">
        <v>10</v>
      </c>
      <c r="M39" s="251">
        <v>77</v>
      </c>
      <c r="N39" s="18">
        <v>10</v>
      </c>
      <c r="O39" s="18">
        <v>10</v>
      </c>
      <c r="P39" s="18">
        <v>10</v>
      </c>
      <c r="Q39" s="18">
        <v>10</v>
      </c>
      <c r="R39" s="18">
        <v>6</v>
      </c>
      <c r="S39" s="18">
        <v>0</v>
      </c>
      <c r="T39" s="18">
        <v>10</v>
      </c>
      <c r="U39" s="19">
        <v>10</v>
      </c>
      <c r="V39" s="19">
        <v>10</v>
      </c>
      <c r="W39" s="250">
        <v>76</v>
      </c>
      <c r="X39" s="18">
        <v>0</v>
      </c>
      <c r="Y39" s="18">
        <v>10</v>
      </c>
      <c r="Z39" s="18">
        <v>10</v>
      </c>
      <c r="AA39" s="18">
        <v>10</v>
      </c>
      <c r="AB39" s="18">
        <v>10</v>
      </c>
      <c r="AC39" s="18">
        <v>0</v>
      </c>
      <c r="AD39" s="18">
        <v>10</v>
      </c>
      <c r="AE39" s="18">
        <v>10</v>
      </c>
      <c r="AF39" s="19">
        <v>10</v>
      </c>
      <c r="AG39" s="248">
        <v>70</v>
      </c>
      <c r="AH39" s="18">
        <v>0</v>
      </c>
      <c r="AI39" s="18">
        <v>0</v>
      </c>
      <c r="AJ39" s="18">
        <v>6</v>
      </c>
      <c r="AK39" s="18">
        <v>0</v>
      </c>
      <c r="AL39" s="18">
        <v>10</v>
      </c>
      <c r="AM39" s="18">
        <v>0</v>
      </c>
      <c r="AN39" s="18">
        <v>10</v>
      </c>
      <c r="AO39" s="18">
        <v>10</v>
      </c>
      <c r="AP39" s="18">
        <v>10</v>
      </c>
      <c r="AQ39" s="18">
        <v>0</v>
      </c>
      <c r="AR39" s="18">
        <v>8</v>
      </c>
      <c r="AS39" s="18">
        <v>10</v>
      </c>
      <c r="AT39" s="19">
        <v>2</v>
      </c>
      <c r="AU39" s="240">
        <v>66</v>
      </c>
      <c r="AV39">
        <v>289</v>
      </c>
    </row>
    <row r="40" spans="2:48">
      <c r="B40" s="11" t="s">
        <v>250</v>
      </c>
      <c r="C40" s="18">
        <v>8</v>
      </c>
      <c r="D40" s="18">
        <v>10</v>
      </c>
      <c r="E40" s="239">
        <v>10</v>
      </c>
      <c r="F40" s="18">
        <v>10</v>
      </c>
      <c r="G40" s="18">
        <v>10</v>
      </c>
      <c r="H40" s="18">
        <v>10</v>
      </c>
      <c r="I40" s="18">
        <v>10</v>
      </c>
      <c r="J40" s="239">
        <v>10</v>
      </c>
      <c r="K40" s="19">
        <v>10</v>
      </c>
      <c r="L40" s="19">
        <v>10</v>
      </c>
      <c r="M40" s="251">
        <v>98</v>
      </c>
      <c r="N40" s="18">
        <v>10</v>
      </c>
      <c r="O40" s="18">
        <v>10</v>
      </c>
      <c r="P40" s="18">
        <v>10</v>
      </c>
      <c r="Q40" s="18">
        <v>5</v>
      </c>
      <c r="R40" s="18">
        <v>6</v>
      </c>
      <c r="S40" s="18">
        <v>10</v>
      </c>
      <c r="T40" s="18">
        <v>10</v>
      </c>
      <c r="U40" s="19">
        <v>10</v>
      </c>
      <c r="V40" s="19">
        <v>10</v>
      </c>
      <c r="W40" s="250">
        <v>81</v>
      </c>
      <c r="X40" s="18">
        <v>0</v>
      </c>
      <c r="Y40" s="18">
        <v>6</v>
      </c>
      <c r="Z40" s="18">
        <v>0</v>
      </c>
      <c r="AA40" s="18">
        <v>10</v>
      </c>
      <c r="AB40" s="18">
        <v>10</v>
      </c>
      <c r="AC40" s="18">
        <v>10</v>
      </c>
      <c r="AD40" s="18">
        <v>10</v>
      </c>
      <c r="AE40" s="18">
        <v>10</v>
      </c>
      <c r="AF40" s="19">
        <v>10</v>
      </c>
      <c r="AG40" s="248">
        <v>66</v>
      </c>
      <c r="AH40" s="18">
        <v>0</v>
      </c>
      <c r="AI40" s="18">
        <v>0</v>
      </c>
      <c r="AJ40" s="18">
        <v>0</v>
      </c>
      <c r="AK40" s="18">
        <v>10</v>
      </c>
      <c r="AL40" s="18">
        <v>10</v>
      </c>
      <c r="AM40" s="18">
        <v>0</v>
      </c>
      <c r="AN40" s="18">
        <v>10</v>
      </c>
      <c r="AO40" s="18">
        <v>4</v>
      </c>
      <c r="AP40" s="18">
        <v>10</v>
      </c>
      <c r="AQ40" s="18">
        <v>0</v>
      </c>
      <c r="AR40" s="18">
        <v>0</v>
      </c>
      <c r="AS40" s="18">
        <v>0</v>
      </c>
      <c r="AT40" s="19">
        <v>2</v>
      </c>
      <c r="AU40" s="240">
        <v>46</v>
      </c>
      <c r="AV40">
        <v>291</v>
      </c>
    </row>
    <row r="41" spans="2:48">
      <c r="B41" s="11" t="s">
        <v>387</v>
      </c>
      <c r="C41" s="18">
        <v>0</v>
      </c>
      <c r="D41" s="18">
        <v>10</v>
      </c>
      <c r="E41" s="239">
        <v>0</v>
      </c>
      <c r="F41" s="18">
        <v>0</v>
      </c>
      <c r="G41" s="18">
        <v>10</v>
      </c>
      <c r="H41" s="18">
        <v>8</v>
      </c>
      <c r="I41" s="18">
        <v>0</v>
      </c>
      <c r="J41" s="239">
        <v>10</v>
      </c>
      <c r="K41" s="19">
        <v>6</v>
      </c>
      <c r="L41" s="19">
        <v>10</v>
      </c>
      <c r="M41" s="251">
        <v>54</v>
      </c>
      <c r="N41" s="18">
        <v>10</v>
      </c>
      <c r="O41" s="18">
        <v>10</v>
      </c>
      <c r="P41" s="18">
        <v>10</v>
      </c>
      <c r="Q41" s="18">
        <v>10</v>
      </c>
      <c r="R41" s="18">
        <v>4</v>
      </c>
      <c r="S41" s="18">
        <v>6</v>
      </c>
      <c r="T41" s="18">
        <v>10</v>
      </c>
      <c r="U41" s="19">
        <v>0</v>
      </c>
      <c r="V41" s="19">
        <v>10</v>
      </c>
      <c r="W41" s="250">
        <v>70</v>
      </c>
      <c r="X41" s="18">
        <v>0</v>
      </c>
      <c r="Y41" s="18">
        <v>0</v>
      </c>
      <c r="Z41" s="18">
        <v>6</v>
      </c>
      <c r="AA41" s="18">
        <v>10</v>
      </c>
      <c r="AB41" s="18">
        <v>10</v>
      </c>
      <c r="AC41" s="18">
        <v>10</v>
      </c>
      <c r="AD41" s="18">
        <v>10</v>
      </c>
      <c r="AE41" s="18">
        <v>0</v>
      </c>
      <c r="AF41" s="19">
        <v>2</v>
      </c>
      <c r="AG41" s="248">
        <v>48</v>
      </c>
      <c r="AH41" s="18">
        <v>0</v>
      </c>
      <c r="AI41" s="18">
        <v>10</v>
      </c>
      <c r="AJ41" s="18">
        <v>6</v>
      </c>
      <c r="AK41" s="18">
        <v>0</v>
      </c>
      <c r="AL41" s="18">
        <v>0</v>
      </c>
      <c r="AM41" s="18">
        <v>10</v>
      </c>
      <c r="AN41" s="18">
        <v>10</v>
      </c>
      <c r="AO41" s="18">
        <v>10</v>
      </c>
      <c r="AP41" s="18">
        <v>10</v>
      </c>
      <c r="AQ41" s="18">
        <v>0</v>
      </c>
      <c r="AR41" s="18">
        <v>8</v>
      </c>
      <c r="AS41" s="18">
        <v>10</v>
      </c>
      <c r="AT41" s="19">
        <v>2</v>
      </c>
      <c r="AU41" s="240">
        <v>76</v>
      </c>
      <c r="AV41">
        <v>248</v>
      </c>
    </row>
    <row r="42" spans="2:48">
      <c r="B42" s="11" t="s">
        <v>426</v>
      </c>
      <c r="C42" s="18">
        <v>6</v>
      </c>
      <c r="D42" s="18">
        <v>10</v>
      </c>
      <c r="E42" s="239">
        <v>0</v>
      </c>
      <c r="F42" s="18">
        <v>0</v>
      </c>
      <c r="G42" s="18">
        <v>10</v>
      </c>
      <c r="H42" s="18">
        <v>6</v>
      </c>
      <c r="I42" s="18">
        <v>0</v>
      </c>
      <c r="J42" s="239">
        <v>10</v>
      </c>
      <c r="K42" s="19">
        <v>10</v>
      </c>
      <c r="L42" s="19">
        <v>10</v>
      </c>
      <c r="M42" s="251">
        <v>62</v>
      </c>
      <c r="N42" s="18">
        <v>10</v>
      </c>
      <c r="O42" s="18">
        <v>10</v>
      </c>
      <c r="P42" s="18">
        <v>10</v>
      </c>
      <c r="Q42" s="18">
        <v>10</v>
      </c>
      <c r="R42" s="18">
        <v>6</v>
      </c>
      <c r="S42" s="18">
        <v>10</v>
      </c>
      <c r="T42" s="18">
        <v>10</v>
      </c>
      <c r="U42" s="19">
        <v>10</v>
      </c>
      <c r="V42" s="19">
        <v>10</v>
      </c>
      <c r="W42" s="250">
        <v>86</v>
      </c>
      <c r="X42" s="18">
        <v>10</v>
      </c>
      <c r="Y42" s="18">
        <v>0</v>
      </c>
      <c r="Z42" s="18">
        <v>6</v>
      </c>
      <c r="AA42" s="18">
        <v>10</v>
      </c>
      <c r="AB42" s="18">
        <v>10</v>
      </c>
      <c r="AC42" s="18">
        <v>10</v>
      </c>
      <c r="AD42" s="18">
        <v>10</v>
      </c>
      <c r="AE42" s="18">
        <v>10</v>
      </c>
      <c r="AF42" s="19">
        <v>10</v>
      </c>
      <c r="AG42" s="248">
        <v>76</v>
      </c>
      <c r="AH42" s="18">
        <v>10</v>
      </c>
      <c r="AI42" s="18">
        <v>10</v>
      </c>
      <c r="AJ42" s="18">
        <v>10</v>
      </c>
      <c r="AK42" s="18">
        <v>10</v>
      </c>
      <c r="AL42" s="18">
        <v>10</v>
      </c>
      <c r="AM42" s="18">
        <v>10</v>
      </c>
      <c r="AN42" s="18">
        <v>10</v>
      </c>
      <c r="AO42" s="18">
        <v>10</v>
      </c>
      <c r="AP42" s="18">
        <v>10</v>
      </c>
      <c r="AQ42" s="18">
        <v>6</v>
      </c>
      <c r="AR42" s="18">
        <v>10</v>
      </c>
      <c r="AS42" s="18">
        <v>10</v>
      </c>
      <c r="AT42" s="19">
        <v>10</v>
      </c>
      <c r="AU42" s="240">
        <v>126</v>
      </c>
      <c r="AV42">
        <v>350</v>
      </c>
    </row>
    <row r="43" spans="2:48">
      <c r="B43" s="11" t="s">
        <v>342</v>
      </c>
      <c r="C43" s="18">
        <v>6</v>
      </c>
      <c r="D43" s="18">
        <v>10</v>
      </c>
      <c r="E43" s="239">
        <v>10</v>
      </c>
      <c r="F43" s="18">
        <v>5</v>
      </c>
      <c r="G43" s="18">
        <v>10</v>
      </c>
      <c r="H43" s="18">
        <v>10</v>
      </c>
      <c r="I43" s="18">
        <v>0</v>
      </c>
      <c r="J43" s="239">
        <v>0</v>
      </c>
      <c r="K43" s="19">
        <v>10</v>
      </c>
      <c r="L43" s="19">
        <v>10</v>
      </c>
      <c r="M43" s="251">
        <v>71</v>
      </c>
      <c r="N43" s="18">
        <v>10</v>
      </c>
      <c r="O43" s="18">
        <v>10</v>
      </c>
      <c r="P43" s="18">
        <v>10</v>
      </c>
      <c r="Q43" s="18">
        <v>10</v>
      </c>
      <c r="R43" s="18">
        <v>6</v>
      </c>
      <c r="S43" s="18">
        <v>6</v>
      </c>
      <c r="T43" s="18">
        <v>10</v>
      </c>
      <c r="U43" s="19">
        <v>10</v>
      </c>
      <c r="V43" s="19">
        <v>10</v>
      </c>
      <c r="W43" s="250">
        <v>82</v>
      </c>
      <c r="X43" s="18">
        <v>10</v>
      </c>
      <c r="Y43" s="18">
        <v>6</v>
      </c>
      <c r="Z43" s="18">
        <v>6</v>
      </c>
      <c r="AA43" s="18">
        <v>10</v>
      </c>
      <c r="AB43" s="18">
        <v>10</v>
      </c>
      <c r="AC43" s="18">
        <v>10</v>
      </c>
      <c r="AD43" s="18">
        <v>10</v>
      </c>
      <c r="AE43" s="18">
        <v>10</v>
      </c>
      <c r="AF43" s="19">
        <v>10</v>
      </c>
      <c r="AG43" s="248">
        <v>82</v>
      </c>
      <c r="AH43" s="18">
        <v>10</v>
      </c>
      <c r="AI43" s="18">
        <v>10</v>
      </c>
      <c r="AJ43" s="18">
        <v>0</v>
      </c>
      <c r="AK43" s="18">
        <v>10</v>
      </c>
      <c r="AL43" s="18">
        <v>10</v>
      </c>
      <c r="AM43" s="18">
        <v>10</v>
      </c>
      <c r="AN43" s="18">
        <v>10</v>
      </c>
      <c r="AO43" s="18">
        <v>10</v>
      </c>
      <c r="AP43" s="18">
        <v>10</v>
      </c>
      <c r="AQ43" s="18">
        <v>0</v>
      </c>
      <c r="AR43" s="18">
        <v>10</v>
      </c>
      <c r="AS43" s="18">
        <v>10</v>
      </c>
      <c r="AT43" s="19">
        <v>2</v>
      </c>
      <c r="AU43" s="240">
        <v>102</v>
      </c>
      <c r="AV43">
        <v>337</v>
      </c>
    </row>
    <row r="44" spans="2:48">
      <c r="B44" s="11" t="s">
        <v>343</v>
      </c>
      <c r="C44" s="18">
        <v>8</v>
      </c>
      <c r="D44" s="18">
        <v>0</v>
      </c>
      <c r="E44" s="239">
        <v>0</v>
      </c>
      <c r="F44" s="18">
        <v>0</v>
      </c>
      <c r="G44" s="18">
        <v>0</v>
      </c>
      <c r="H44" s="18">
        <v>6</v>
      </c>
      <c r="I44" s="18">
        <v>0</v>
      </c>
      <c r="J44" s="239">
        <v>0</v>
      </c>
      <c r="K44" s="19">
        <v>10</v>
      </c>
      <c r="L44" s="19">
        <v>10</v>
      </c>
      <c r="M44" s="251">
        <v>34</v>
      </c>
      <c r="N44" s="18">
        <v>10</v>
      </c>
      <c r="O44" s="18">
        <v>10</v>
      </c>
      <c r="P44" s="18">
        <v>10</v>
      </c>
      <c r="Q44" s="18">
        <v>10</v>
      </c>
      <c r="R44" s="18">
        <v>0</v>
      </c>
      <c r="S44" s="18">
        <v>10</v>
      </c>
      <c r="T44" s="18">
        <v>10</v>
      </c>
      <c r="U44" s="19">
        <v>10</v>
      </c>
      <c r="V44" s="19">
        <v>10</v>
      </c>
      <c r="W44" s="250">
        <v>80</v>
      </c>
      <c r="X44" s="18">
        <v>0</v>
      </c>
      <c r="Y44" s="18">
        <v>6</v>
      </c>
      <c r="Z44" s="18">
        <v>0</v>
      </c>
      <c r="AA44" s="18">
        <v>10</v>
      </c>
      <c r="AB44" s="18">
        <v>10</v>
      </c>
      <c r="AC44" s="18">
        <v>10</v>
      </c>
      <c r="AD44" s="18">
        <v>10</v>
      </c>
      <c r="AE44" s="18">
        <v>10</v>
      </c>
      <c r="AF44" s="19">
        <v>10</v>
      </c>
      <c r="AG44" s="248">
        <v>66</v>
      </c>
      <c r="AH44" s="18">
        <v>10</v>
      </c>
      <c r="AI44" s="18">
        <v>10</v>
      </c>
      <c r="AJ44" s="18">
        <v>0</v>
      </c>
      <c r="AK44" s="18">
        <v>0</v>
      </c>
      <c r="AL44" s="18">
        <v>0</v>
      </c>
      <c r="AM44" s="18">
        <v>10</v>
      </c>
      <c r="AN44" s="18">
        <v>10</v>
      </c>
      <c r="AO44" s="18">
        <v>0</v>
      </c>
      <c r="AP44" s="18">
        <v>6</v>
      </c>
      <c r="AQ44" s="18">
        <v>0</v>
      </c>
      <c r="AR44" s="18">
        <v>0</v>
      </c>
      <c r="AS44" s="18">
        <v>10</v>
      </c>
      <c r="AT44" s="19">
        <v>2</v>
      </c>
      <c r="AU44" s="240">
        <v>58</v>
      </c>
      <c r="AV44">
        <v>238</v>
      </c>
    </row>
    <row r="45" spans="2:48">
      <c r="B45" s="11" t="s">
        <v>344</v>
      </c>
      <c r="C45" s="18">
        <v>0</v>
      </c>
      <c r="D45" s="18">
        <v>10</v>
      </c>
      <c r="E45" s="239">
        <v>10</v>
      </c>
      <c r="F45" s="18">
        <v>5</v>
      </c>
      <c r="G45" s="18">
        <v>10</v>
      </c>
      <c r="H45" s="18">
        <v>10</v>
      </c>
      <c r="I45" s="18">
        <v>0</v>
      </c>
      <c r="J45" s="239">
        <v>0</v>
      </c>
      <c r="K45" s="19">
        <v>10</v>
      </c>
      <c r="L45" s="19">
        <v>10</v>
      </c>
      <c r="M45" s="251">
        <v>65</v>
      </c>
      <c r="N45" s="18">
        <v>10</v>
      </c>
      <c r="O45" s="18">
        <v>10</v>
      </c>
      <c r="P45" s="18">
        <v>10</v>
      </c>
      <c r="Q45" s="18">
        <v>10</v>
      </c>
      <c r="R45" s="18">
        <v>10</v>
      </c>
      <c r="S45" s="18">
        <v>10</v>
      </c>
      <c r="T45" s="18">
        <v>10</v>
      </c>
      <c r="U45" s="19">
        <v>10</v>
      </c>
      <c r="V45" s="19">
        <v>10</v>
      </c>
      <c r="W45" s="250">
        <v>90</v>
      </c>
      <c r="X45" s="18">
        <v>0</v>
      </c>
      <c r="Y45" s="18">
        <v>0</v>
      </c>
      <c r="Z45" s="18">
        <v>0</v>
      </c>
      <c r="AA45" s="18">
        <v>10</v>
      </c>
      <c r="AB45" s="18">
        <v>10</v>
      </c>
      <c r="AC45" s="18">
        <v>10</v>
      </c>
      <c r="AD45" s="18">
        <v>10</v>
      </c>
      <c r="AE45" s="18">
        <v>10</v>
      </c>
      <c r="AF45" s="19">
        <v>10</v>
      </c>
      <c r="AG45" s="248">
        <v>60</v>
      </c>
      <c r="AH45" s="18">
        <v>0</v>
      </c>
      <c r="AI45" s="18">
        <v>0</v>
      </c>
      <c r="AJ45" s="18">
        <v>6</v>
      </c>
      <c r="AK45" s="18">
        <v>10</v>
      </c>
      <c r="AL45" s="18">
        <v>0</v>
      </c>
      <c r="AM45" s="18">
        <v>10</v>
      </c>
      <c r="AN45" s="18">
        <v>10</v>
      </c>
      <c r="AO45" s="18">
        <v>10</v>
      </c>
      <c r="AP45" s="18">
        <v>10</v>
      </c>
      <c r="AQ45" s="18">
        <v>6</v>
      </c>
      <c r="AR45" s="18">
        <v>0</v>
      </c>
      <c r="AS45" s="18">
        <v>0</v>
      </c>
      <c r="AT45" s="19">
        <v>2</v>
      </c>
      <c r="AU45" s="240">
        <v>64</v>
      </c>
      <c r="AV45">
        <v>279</v>
      </c>
    </row>
    <row r="46" spans="2:48">
      <c r="B46" s="11" t="s">
        <v>172</v>
      </c>
      <c r="C46" s="18">
        <v>6</v>
      </c>
      <c r="D46" s="18">
        <v>10</v>
      </c>
      <c r="E46" s="239">
        <v>0</v>
      </c>
      <c r="F46" s="18">
        <v>0</v>
      </c>
      <c r="G46" s="18">
        <v>6</v>
      </c>
      <c r="H46" s="18">
        <v>10</v>
      </c>
      <c r="I46" s="18">
        <v>10</v>
      </c>
      <c r="J46" s="239">
        <v>10</v>
      </c>
      <c r="K46" s="19">
        <v>10</v>
      </c>
      <c r="L46" s="19">
        <v>10</v>
      </c>
      <c r="M46" s="251">
        <v>72</v>
      </c>
      <c r="N46" s="18">
        <v>10</v>
      </c>
      <c r="O46" s="18">
        <v>10</v>
      </c>
      <c r="P46" s="18">
        <v>10</v>
      </c>
      <c r="Q46" s="18">
        <v>10</v>
      </c>
      <c r="R46" s="18">
        <v>10</v>
      </c>
      <c r="S46" s="18">
        <v>10</v>
      </c>
      <c r="T46" s="18">
        <v>10</v>
      </c>
      <c r="U46" s="19">
        <v>10</v>
      </c>
      <c r="V46" s="19">
        <v>6</v>
      </c>
      <c r="W46" s="250">
        <v>86</v>
      </c>
      <c r="X46" s="18">
        <v>0</v>
      </c>
      <c r="Y46" s="18">
        <v>6</v>
      </c>
      <c r="Z46" s="18">
        <v>0</v>
      </c>
      <c r="AA46" s="18">
        <v>0</v>
      </c>
      <c r="AB46" s="18">
        <v>10</v>
      </c>
      <c r="AC46" s="18">
        <v>10</v>
      </c>
      <c r="AD46" s="18">
        <v>10</v>
      </c>
      <c r="AE46" s="18">
        <v>10</v>
      </c>
      <c r="AF46" s="19">
        <v>10</v>
      </c>
      <c r="AG46" s="248">
        <v>56</v>
      </c>
      <c r="AH46" s="18">
        <v>10</v>
      </c>
      <c r="AI46" s="18">
        <v>10</v>
      </c>
      <c r="AJ46" s="18">
        <v>10</v>
      </c>
      <c r="AK46" s="18">
        <v>0</v>
      </c>
      <c r="AL46" s="18">
        <v>0</v>
      </c>
      <c r="AM46" s="18">
        <v>10</v>
      </c>
      <c r="AN46" s="18">
        <v>10</v>
      </c>
      <c r="AO46" s="18">
        <v>10</v>
      </c>
      <c r="AP46" s="18">
        <v>10</v>
      </c>
      <c r="AQ46" s="18">
        <v>6</v>
      </c>
      <c r="AR46" s="18">
        <v>8</v>
      </c>
      <c r="AS46" s="18">
        <v>10</v>
      </c>
      <c r="AT46" s="19">
        <v>6</v>
      </c>
      <c r="AU46" s="240">
        <v>100</v>
      </c>
      <c r="AV46">
        <v>314</v>
      </c>
    </row>
    <row r="47" spans="2:48">
      <c r="B47" s="11" t="s">
        <v>398</v>
      </c>
      <c r="C47" s="18">
        <v>6</v>
      </c>
      <c r="D47" s="18">
        <v>10</v>
      </c>
      <c r="E47" s="239">
        <v>0</v>
      </c>
      <c r="F47" s="18">
        <v>0</v>
      </c>
      <c r="G47" s="18">
        <v>0</v>
      </c>
      <c r="H47" s="18">
        <v>10</v>
      </c>
      <c r="I47" s="18">
        <v>0</v>
      </c>
      <c r="J47" s="239">
        <v>6</v>
      </c>
      <c r="K47" s="19">
        <v>0</v>
      </c>
      <c r="L47" s="19">
        <v>0</v>
      </c>
      <c r="M47" s="251">
        <v>32</v>
      </c>
      <c r="N47" s="18">
        <v>0</v>
      </c>
      <c r="O47" s="18">
        <v>0</v>
      </c>
      <c r="P47" s="18">
        <v>0</v>
      </c>
      <c r="Q47" s="18">
        <v>0</v>
      </c>
      <c r="R47" s="18">
        <v>6</v>
      </c>
      <c r="S47" s="18">
        <v>6</v>
      </c>
      <c r="T47" s="18">
        <v>0</v>
      </c>
      <c r="U47" s="19">
        <v>0</v>
      </c>
      <c r="V47" s="19">
        <v>10</v>
      </c>
      <c r="W47" s="250">
        <v>22</v>
      </c>
      <c r="X47" s="18">
        <v>0</v>
      </c>
      <c r="Y47" s="18">
        <v>0</v>
      </c>
      <c r="Z47" s="18">
        <v>0</v>
      </c>
      <c r="AA47" s="18">
        <v>0</v>
      </c>
      <c r="AB47" s="18">
        <v>0</v>
      </c>
      <c r="AC47" s="18">
        <v>0</v>
      </c>
      <c r="AD47" s="18">
        <v>0</v>
      </c>
      <c r="AE47" s="18">
        <v>0</v>
      </c>
      <c r="AF47" s="19">
        <v>2</v>
      </c>
      <c r="AG47" s="248">
        <v>2</v>
      </c>
      <c r="AH47" s="18">
        <v>0</v>
      </c>
      <c r="AI47" s="18">
        <v>0</v>
      </c>
      <c r="AJ47" s="18">
        <v>0</v>
      </c>
      <c r="AK47" s="18">
        <v>0</v>
      </c>
      <c r="AL47" s="18">
        <v>0</v>
      </c>
      <c r="AM47" s="18">
        <v>0</v>
      </c>
      <c r="AN47" s="18">
        <v>0</v>
      </c>
      <c r="AO47" s="18">
        <v>0</v>
      </c>
      <c r="AP47" s="18">
        <v>0</v>
      </c>
      <c r="AQ47" s="18">
        <v>0</v>
      </c>
      <c r="AR47" s="18">
        <v>0</v>
      </c>
      <c r="AS47" s="18">
        <v>0</v>
      </c>
      <c r="AT47" s="19">
        <v>2</v>
      </c>
      <c r="AU47" s="240">
        <v>2</v>
      </c>
      <c r="AV47">
        <v>58</v>
      </c>
    </row>
    <row r="48" spans="2:48">
      <c r="B48" s="11" t="s">
        <v>327</v>
      </c>
      <c r="C48" s="18">
        <v>8</v>
      </c>
      <c r="D48" s="18">
        <v>10</v>
      </c>
      <c r="E48" s="239">
        <v>10</v>
      </c>
      <c r="F48" s="18">
        <v>0</v>
      </c>
      <c r="G48" s="18">
        <v>2</v>
      </c>
      <c r="H48" s="18">
        <v>10</v>
      </c>
      <c r="I48" s="18">
        <v>0</v>
      </c>
      <c r="J48" s="239">
        <v>0</v>
      </c>
      <c r="K48" s="19">
        <v>10</v>
      </c>
      <c r="L48" s="19">
        <v>0</v>
      </c>
      <c r="M48" s="251">
        <v>50</v>
      </c>
      <c r="N48" s="18">
        <v>10</v>
      </c>
      <c r="O48" s="18">
        <v>0</v>
      </c>
      <c r="P48" s="18">
        <v>0</v>
      </c>
      <c r="Q48" s="18">
        <v>5</v>
      </c>
      <c r="R48" s="18">
        <v>10</v>
      </c>
      <c r="S48" s="18">
        <v>0</v>
      </c>
      <c r="T48" s="18">
        <v>0</v>
      </c>
      <c r="U48" s="19">
        <v>0</v>
      </c>
      <c r="V48" s="19">
        <v>10</v>
      </c>
      <c r="W48" s="250">
        <v>35</v>
      </c>
      <c r="X48" s="18">
        <v>10</v>
      </c>
      <c r="Y48" s="18">
        <v>6</v>
      </c>
      <c r="Z48" s="18">
        <v>6</v>
      </c>
      <c r="AA48" s="18">
        <v>0</v>
      </c>
      <c r="AB48" s="18">
        <v>10</v>
      </c>
      <c r="AC48" s="18">
        <v>10</v>
      </c>
      <c r="AD48" s="18">
        <v>10</v>
      </c>
      <c r="AE48" s="18">
        <v>10</v>
      </c>
      <c r="AF48" s="19">
        <v>3</v>
      </c>
      <c r="AG48" s="248">
        <v>65</v>
      </c>
      <c r="AH48" s="18">
        <v>10</v>
      </c>
      <c r="AI48" s="18">
        <v>10</v>
      </c>
      <c r="AJ48" s="18">
        <v>10</v>
      </c>
      <c r="AK48" s="18">
        <v>10</v>
      </c>
      <c r="AL48" s="18">
        <v>10</v>
      </c>
      <c r="AM48" s="18">
        <v>10</v>
      </c>
      <c r="AN48" s="18">
        <v>0</v>
      </c>
      <c r="AO48" s="18">
        <v>6</v>
      </c>
      <c r="AP48" s="18">
        <v>0</v>
      </c>
      <c r="AQ48" s="18">
        <v>6</v>
      </c>
      <c r="AR48" s="18">
        <v>6</v>
      </c>
      <c r="AS48" s="18">
        <v>10</v>
      </c>
      <c r="AT48" s="19">
        <v>2</v>
      </c>
      <c r="AU48" s="240">
        <v>90</v>
      </c>
      <c r="AV48">
        <v>240</v>
      </c>
    </row>
    <row r="49" spans="2:48">
      <c r="B49" s="11" t="s">
        <v>328</v>
      </c>
      <c r="C49" s="18">
        <v>8</v>
      </c>
      <c r="D49" s="18">
        <v>10</v>
      </c>
      <c r="E49" s="239">
        <v>0</v>
      </c>
      <c r="F49" s="18">
        <v>0</v>
      </c>
      <c r="G49" s="18">
        <v>10</v>
      </c>
      <c r="H49" s="18">
        <v>10</v>
      </c>
      <c r="I49" s="18">
        <v>0</v>
      </c>
      <c r="J49" s="239">
        <v>10</v>
      </c>
      <c r="K49" s="19">
        <v>6</v>
      </c>
      <c r="L49" s="19">
        <v>0</v>
      </c>
      <c r="M49" s="251">
        <v>54</v>
      </c>
      <c r="N49" s="18">
        <v>10</v>
      </c>
      <c r="O49" s="18">
        <v>0</v>
      </c>
      <c r="P49" s="18">
        <v>0</v>
      </c>
      <c r="Q49" s="18">
        <v>5</v>
      </c>
      <c r="R49" s="18">
        <v>4</v>
      </c>
      <c r="S49" s="18">
        <v>0</v>
      </c>
      <c r="T49" s="18">
        <v>10</v>
      </c>
      <c r="U49" s="19">
        <v>0</v>
      </c>
      <c r="V49" s="19">
        <v>10</v>
      </c>
      <c r="W49" s="250">
        <v>39</v>
      </c>
      <c r="X49" s="18">
        <v>0</v>
      </c>
      <c r="Y49" s="18">
        <v>0</v>
      </c>
      <c r="Z49" s="18">
        <v>0</v>
      </c>
      <c r="AA49" s="18">
        <v>10</v>
      </c>
      <c r="AB49" s="18">
        <v>10</v>
      </c>
      <c r="AC49" s="18">
        <v>10</v>
      </c>
      <c r="AD49" s="18">
        <v>10</v>
      </c>
      <c r="AE49" s="18">
        <v>10</v>
      </c>
      <c r="AF49" s="19">
        <v>10</v>
      </c>
      <c r="AG49" s="248">
        <v>60</v>
      </c>
      <c r="AH49" s="18">
        <v>0</v>
      </c>
      <c r="AI49" s="18">
        <v>0</v>
      </c>
      <c r="AJ49" s="18">
        <v>0</v>
      </c>
      <c r="AK49" s="18">
        <v>0</v>
      </c>
      <c r="AL49" s="18">
        <v>0</v>
      </c>
      <c r="AM49" s="18">
        <v>0</v>
      </c>
      <c r="AN49" s="18">
        <v>0</v>
      </c>
      <c r="AO49" s="18">
        <v>0</v>
      </c>
      <c r="AP49" s="18">
        <v>6</v>
      </c>
      <c r="AQ49" s="18">
        <v>0</v>
      </c>
      <c r="AR49" s="18">
        <v>0</v>
      </c>
      <c r="AS49" s="18">
        <v>10</v>
      </c>
      <c r="AT49" s="19">
        <v>2</v>
      </c>
      <c r="AU49" s="240">
        <v>18</v>
      </c>
      <c r="AV49">
        <v>171</v>
      </c>
    </row>
    <row r="50" spans="2:48">
      <c r="B50" s="11" t="s">
        <v>351</v>
      </c>
      <c r="C50" s="18">
        <v>6</v>
      </c>
      <c r="D50" s="18">
        <v>10</v>
      </c>
      <c r="E50" s="239">
        <v>10</v>
      </c>
      <c r="F50" s="18">
        <v>8</v>
      </c>
      <c r="G50" s="18">
        <v>10</v>
      </c>
      <c r="H50" s="18">
        <v>10</v>
      </c>
      <c r="I50" s="18">
        <v>10</v>
      </c>
      <c r="J50" s="239">
        <v>0</v>
      </c>
      <c r="K50" s="19">
        <v>10</v>
      </c>
      <c r="L50" s="19">
        <v>10</v>
      </c>
      <c r="M50" s="251">
        <v>84</v>
      </c>
      <c r="N50" s="18">
        <v>10</v>
      </c>
      <c r="O50" s="18">
        <v>10</v>
      </c>
      <c r="P50" s="18">
        <v>0</v>
      </c>
      <c r="Q50" s="18">
        <v>10</v>
      </c>
      <c r="R50" s="18">
        <v>4</v>
      </c>
      <c r="S50" s="18">
        <v>6</v>
      </c>
      <c r="T50" s="18">
        <v>10</v>
      </c>
      <c r="U50" s="19">
        <v>10</v>
      </c>
      <c r="V50" s="19">
        <v>10</v>
      </c>
      <c r="W50" s="250">
        <v>70</v>
      </c>
      <c r="X50" s="18">
        <v>10</v>
      </c>
      <c r="Y50" s="18">
        <v>0</v>
      </c>
      <c r="Z50" s="18">
        <v>6</v>
      </c>
      <c r="AA50" s="18">
        <v>0</v>
      </c>
      <c r="AB50" s="18">
        <v>0</v>
      </c>
      <c r="AC50" s="18">
        <v>0</v>
      </c>
      <c r="AD50" s="18">
        <v>10</v>
      </c>
      <c r="AE50" s="18">
        <v>10</v>
      </c>
      <c r="AF50" s="19">
        <v>10</v>
      </c>
      <c r="AG50" s="248">
        <v>46</v>
      </c>
      <c r="AH50" s="18">
        <v>10</v>
      </c>
      <c r="AI50" s="18">
        <v>10</v>
      </c>
      <c r="AJ50" s="18">
        <v>10</v>
      </c>
      <c r="AK50" s="18">
        <v>10</v>
      </c>
      <c r="AL50" s="18">
        <v>10</v>
      </c>
      <c r="AM50" s="18">
        <v>0</v>
      </c>
      <c r="AN50" s="18">
        <v>10</v>
      </c>
      <c r="AO50" s="18">
        <v>10</v>
      </c>
      <c r="AP50" s="18">
        <v>10</v>
      </c>
      <c r="AQ50" s="18">
        <v>0</v>
      </c>
      <c r="AR50" s="18">
        <v>10</v>
      </c>
      <c r="AS50" s="18">
        <v>10</v>
      </c>
      <c r="AT50" s="19">
        <v>2</v>
      </c>
      <c r="AU50" s="240">
        <v>102</v>
      </c>
      <c r="AV50">
        <v>302</v>
      </c>
    </row>
    <row r="51" spans="2:48">
      <c r="B51" s="11" t="s">
        <v>403</v>
      </c>
      <c r="C51" s="18">
        <v>8</v>
      </c>
      <c r="D51" s="18">
        <v>10</v>
      </c>
      <c r="E51" s="239">
        <v>0</v>
      </c>
      <c r="F51" s="18">
        <v>0</v>
      </c>
      <c r="G51" s="18">
        <v>6</v>
      </c>
      <c r="H51" s="18">
        <v>6</v>
      </c>
      <c r="I51" s="18">
        <v>0</v>
      </c>
      <c r="J51" s="239">
        <v>0</v>
      </c>
      <c r="K51" s="19">
        <v>10</v>
      </c>
      <c r="L51" s="19">
        <v>10</v>
      </c>
      <c r="M51" s="251">
        <v>50</v>
      </c>
      <c r="N51" s="18">
        <v>10</v>
      </c>
      <c r="O51" s="18">
        <v>10</v>
      </c>
      <c r="P51" s="18">
        <v>0</v>
      </c>
      <c r="Q51" s="18">
        <v>10</v>
      </c>
      <c r="R51" s="18">
        <v>6</v>
      </c>
      <c r="S51" s="18">
        <v>10</v>
      </c>
      <c r="T51" s="18">
        <v>10</v>
      </c>
      <c r="U51" s="19">
        <v>10</v>
      </c>
      <c r="V51" s="19">
        <v>10</v>
      </c>
      <c r="W51" s="250">
        <v>76</v>
      </c>
      <c r="X51" s="18">
        <v>10</v>
      </c>
      <c r="Y51" s="18">
        <v>6</v>
      </c>
      <c r="Z51" s="18">
        <v>6</v>
      </c>
      <c r="AA51" s="18">
        <v>10</v>
      </c>
      <c r="AB51" s="18">
        <v>10</v>
      </c>
      <c r="AC51" s="18">
        <v>10</v>
      </c>
      <c r="AD51" s="18">
        <v>10</v>
      </c>
      <c r="AE51" s="18">
        <v>10</v>
      </c>
      <c r="AF51" s="19">
        <v>3</v>
      </c>
      <c r="AG51" s="248">
        <v>75</v>
      </c>
      <c r="AH51" s="18">
        <v>10</v>
      </c>
      <c r="AI51" s="18">
        <v>0</v>
      </c>
      <c r="AJ51" s="18">
        <v>0</v>
      </c>
      <c r="AK51" s="18">
        <v>10</v>
      </c>
      <c r="AL51" s="18">
        <v>10</v>
      </c>
      <c r="AM51" s="18">
        <v>10</v>
      </c>
      <c r="AN51" s="18">
        <v>10</v>
      </c>
      <c r="AO51" s="18">
        <v>10</v>
      </c>
      <c r="AP51" s="18">
        <v>10</v>
      </c>
      <c r="AQ51" s="18">
        <v>6</v>
      </c>
      <c r="AR51" s="18">
        <v>0</v>
      </c>
      <c r="AS51" s="18">
        <v>0</v>
      </c>
      <c r="AT51" s="19">
        <v>2</v>
      </c>
      <c r="AU51" s="240">
        <v>78</v>
      </c>
      <c r="AV51">
        <v>279</v>
      </c>
    </row>
    <row r="52" spans="2:48">
      <c r="B52" s="11" t="s">
        <v>162</v>
      </c>
      <c r="C52" s="18">
        <v>8</v>
      </c>
      <c r="D52" s="18">
        <v>10</v>
      </c>
      <c r="E52" s="239">
        <v>10</v>
      </c>
      <c r="F52" s="18">
        <v>0</v>
      </c>
      <c r="G52" s="18">
        <v>10</v>
      </c>
      <c r="H52" s="18">
        <v>4</v>
      </c>
      <c r="I52" s="18">
        <v>0</v>
      </c>
      <c r="J52" s="239">
        <v>6</v>
      </c>
      <c r="K52" s="19">
        <v>6</v>
      </c>
      <c r="L52" s="19">
        <v>0</v>
      </c>
      <c r="M52" s="251">
        <v>54</v>
      </c>
      <c r="N52" s="18">
        <v>0</v>
      </c>
      <c r="O52" s="18">
        <v>0</v>
      </c>
      <c r="P52" s="18">
        <v>0</v>
      </c>
      <c r="Q52" s="18">
        <v>5</v>
      </c>
      <c r="R52" s="18">
        <v>6</v>
      </c>
      <c r="S52" s="18">
        <v>6</v>
      </c>
      <c r="T52" s="18">
        <v>0</v>
      </c>
      <c r="U52" s="19">
        <v>0</v>
      </c>
      <c r="V52" s="19">
        <v>10</v>
      </c>
      <c r="W52" s="250">
        <v>27</v>
      </c>
      <c r="X52" s="18">
        <v>0</v>
      </c>
      <c r="Y52" s="18">
        <v>0</v>
      </c>
      <c r="Z52" s="18">
        <v>0</v>
      </c>
      <c r="AA52" s="18">
        <v>10</v>
      </c>
      <c r="AB52" s="18">
        <v>0</v>
      </c>
      <c r="AC52" s="18">
        <v>0</v>
      </c>
      <c r="AD52" s="18">
        <v>10</v>
      </c>
      <c r="AE52" s="18">
        <v>10</v>
      </c>
      <c r="AF52" s="19">
        <v>10</v>
      </c>
      <c r="AG52" s="248">
        <v>40</v>
      </c>
      <c r="AH52" s="18" t="s">
        <v>191</v>
      </c>
      <c r="AI52" s="18" t="s">
        <v>191</v>
      </c>
      <c r="AJ52" s="18" t="s">
        <v>191</v>
      </c>
      <c r="AK52" s="18" t="s">
        <v>191</v>
      </c>
      <c r="AL52" s="18" t="s">
        <v>191</v>
      </c>
      <c r="AM52" s="18" t="s">
        <v>191</v>
      </c>
      <c r="AN52" s="18" t="s">
        <v>191</v>
      </c>
      <c r="AO52" s="18">
        <v>0</v>
      </c>
      <c r="AP52" s="18">
        <v>0</v>
      </c>
      <c r="AQ52" s="18">
        <v>0</v>
      </c>
      <c r="AR52" s="18" t="s">
        <v>191</v>
      </c>
      <c r="AS52" s="18" t="s">
        <v>191</v>
      </c>
      <c r="AT52" s="19">
        <v>0</v>
      </c>
      <c r="AU52" s="240">
        <v>0</v>
      </c>
      <c r="AV52">
        <v>121</v>
      </c>
    </row>
    <row r="53" spans="2:48">
      <c r="B53" s="11" t="s">
        <v>354</v>
      </c>
      <c r="C53" s="18">
        <v>8</v>
      </c>
      <c r="D53" s="18">
        <v>10</v>
      </c>
      <c r="E53" s="239">
        <v>10</v>
      </c>
      <c r="F53" s="18">
        <v>3</v>
      </c>
      <c r="G53" s="18">
        <v>10</v>
      </c>
      <c r="H53" s="18">
        <v>4</v>
      </c>
      <c r="I53" s="18">
        <v>10</v>
      </c>
      <c r="J53" s="239">
        <v>10</v>
      </c>
      <c r="K53" s="19">
        <v>10</v>
      </c>
      <c r="L53" s="19">
        <v>10</v>
      </c>
      <c r="M53" s="251">
        <v>85</v>
      </c>
      <c r="N53" s="18">
        <v>10</v>
      </c>
      <c r="O53" s="18">
        <v>10</v>
      </c>
      <c r="P53" s="18">
        <v>0</v>
      </c>
      <c r="Q53" s="18">
        <v>10</v>
      </c>
      <c r="R53" s="18">
        <v>6</v>
      </c>
      <c r="S53" s="18">
        <v>10</v>
      </c>
      <c r="T53" s="18">
        <v>10</v>
      </c>
      <c r="U53" s="19">
        <v>10</v>
      </c>
      <c r="V53" s="19">
        <v>0</v>
      </c>
      <c r="W53" s="250">
        <v>66</v>
      </c>
      <c r="X53" s="18">
        <v>10</v>
      </c>
      <c r="Y53" s="18">
        <v>10</v>
      </c>
      <c r="Z53" s="18">
        <v>10</v>
      </c>
      <c r="AA53" s="18">
        <v>0</v>
      </c>
      <c r="AB53" s="18">
        <v>10</v>
      </c>
      <c r="AC53" s="18">
        <v>10</v>
      </c>
      <c r="AD53" s="18">
        <v>0</v>
      </c>
      <c r="AE53" s="18">
        <v>10</v>
      </c>
      <c r="AF53" s="19">
        <v>10</v>
      </c>
      <c r="AG53" s="248">
        <v>70</v>
      </c>
      <c r="AH53" s="18">
        <v>10</v>
      </c>
      <c r="AI53" s="18">
        <v>10</v>
      </c>
      <c r="AJ53" s="18">
        <v>6</v>
      </c>
      <c r="AK53" s="18">
        <v>10</v>
      </c>
      <c r="AL53" s="18">
        <v>10</v>
      </c>
      <c r="AM53" s="18">
        <v>10</v>
      </c>
      <c r="AN53" s="18">
        <v>10</v>
      </c>
      <c r="AO53" s="18">
        <v>4</v>
      </c>
      <c r="AP53" s="18">
        <v>10</v>
      </c>
      <c r="AQ53" s="18">
        <v>8</v>
      </c>
      <c r="AR53" s="18">
        <v>8</v>
      </c>
      <c r="AS53" s="18">
        <v>10</v>
      </c>
      <c r="AT53" s="19">
        <v>10</v>
      </c>
      <c r="AU53" s="240">
        <v>116</v>
      </c>
      <c r="AV53">
        <v>337</v>
      </c>
    </row>
    <row r="54" spans="2:48">
      <c r="B54" s="11" t="s">
        <v>163</v>
      </c>
      <c r="C54" s="18">
        <v>8</v>
      </c>
      <c r="D54" s="18">
        <v>0</v>
      </c>
      <c r="E54" s="239">
        <v>0</v>
      </c>
      <c r="F54" s="18">
        <v>0</v>
      </c>
      <c r="G54" s="18">
        <v>10</v>
      </c>
      <c r="H54" s="18">
        <v>10</v>
      </c>
      <c r="I54" s="18">
        <v>0</v>
      </c>
      <c r="J54" s="239">
        <v>10</v>
      </c>
      <c r="K54" s="19">
        <v>6</v>
      </c>
      <c r="L54" s="19">
        <v>10</v>
      </c>
      <c r="M54" s="251">
        <v>54</v>
      </c>
      <c r="N54" s="18">
        <v>0</v>
      </c>
      <c r="O54" s="18">
        <v>0</v>
      </c>
      <c r="P54" s="18">
        <v>0</v>
      </c>
      <c r="Q54" s="18">
        <v>5</v>
      </c>
      <c r="R54" s="18">
        <v>6</v>
      </c>
      <c r="S54" s="18">
        <v>10</v>
      </c>
      <c r="T54" s="18">
        <v>6</v>
      </c>
      <c r="U54" s="19">
        <v>0</v>
      </c>
      <c r="V54" s="19">
        <v>6</v>
      </c>
      <c r="W54" s="250">
        <v>33</v>
      </c>
      <c r="X54" s="18">
        <v>0</v>
      </c>
      <c r="Y54" s="18">
        <v>0</v>
      </c>
      <c r="Z54" s="18">
        <v>0</v>
      </c>
      <c r="AA54" s="18">
        <v>10</v>
      </c>
      <c r="AB54" s="18">
        <v>10</v>
      </c>
      <c r="AC54" s="18">
        <v>10</v>
      </c>
      <c r="AD54" s="18">
        <v>10</v>
      </c>
      <c r="AE54" s="18">
        <v>10</v>
      </c>
      <c r="AF54" s="19">
        <v>10</v>
      </c>
      <c r="AG54" s="248">
        <v>60</v>
      </c>
      <c r="AH54" s="18">
        <v>0</v>
      </c>
      <c r="AI54" s="18">
        <v>10</v>
      </c>
      <c r="AJ54" s="18">
        <v>6</v>
      </c>
      <c r="AK54" s="18">
        <v>0</v>
      </c>
      <c r="AL54" s="18">
        <v>0</v>
      </c>
      <c r="AM54" s="18">
        <v>10</v>
      </c>
      <c r="AN54" s="18">
        <v>10</v>
      </c>
      <c r="AO54" s="18">
        <v>10</v>
      </c>
      <c r="AP54" s="18">
        <v>10</v>
      </c>
      <c r="AQ54" s="18">
        <v>0</v>
      </c>
      <c r="AR54" s="18">
        <v>6</v>
      </c>
      <c r="AS54" s="18">
        <v>10</v>
      </c>
      <c r="AT54" s="19">
        <v>10</v>
      </c>
      <c r="AU54" s="240">
        <v>82</v>
      </c>
      <c r="AV54">
        <v>229</v>
      </c>
    </row>
    <row r="55" spans="2:48">
      <c r="B55" s="11" t="s">
        <v>450</v>
      </c>
      <c r="C55" s="18">
        <v>0</v>
      </c>
      <c r="D55" s="18">
        <v>0</v>
      </c>
      <c r="E55" s="239">
        <v>10</v>
      </c>
      <c r="F55" s="18">
        <v>6</v>
      </c>
      <c r="G55" s="18">
        <v>0</v>
      </c>
      <c r="H55" s="18">
        <v>10</v>
      </c>
      <c r="I55" s="18">
        <v>10</v>
      </c>
      <c r="J55" s="239">
        <v>0</v>
      </c>
      <c r="K55" s="19">
        <v>10</v>
      </c>
      <c r="L55" s="19">
        <v>10</v>
      </c>
      <c r="M55" s="251">
        <v>56</v>
      </c>
      <c r="N55" s="18">
        <v>0</v>
      </c>
      <c r="O55" s="18">
        <v>10</v>
      </c>
      <c r="P55" s="18">
        <v>0</v>
      </c>
      <c r="Q55" s="18">
        <v>10</v>
      </c>
      <c r="R55" s="18">
        <v>4</v>
      </c>
      <c r="S55" s="18">
        <v>10</v>
      </c>
      <c r="T55" s="18">
        <v>10</v>
      </c>
      <c r="U55" s="19">
        <v>10</v>
      </c>
      <c r="V55" s="19">
        <v>6</v>
      </c>
      <c r="W55" s="250">
        <v>60</v>
      </c>
      <c r="X55" s="18">
        <v>0</v>
      </c>
      <c r="Y55" s="18">
        <v>0</v>
      </c>
      <c r="Z55" s="18">
        <v>0</v>
      </c>
      <c r="AA55" s="18">
        <v>0</v>
      </c>
      <c r="AB55" s="18">
        <v>10</v>
      </c>
      <c r="AC55" s="18">
        <v>10</v>
      </c>
      <c r="AD55" s="18">
        <v>10</v>
      </c>
      <c r="AE55" s="18">
        <v>10</v>
      </c>
      <c r="AF55" s="19">
        <v>10</v>
      </c>
      <c r="AG55" s="248">
        <v>50</v>
      </c>
      <c r="AH55" s="18">
        <v>0</v>
      </c>
      <c r="AI55" s="18">
        <v>0</v>
      </c>
      <c r="AJ55" s="18">
        <v>6</v>
      </c>
      <c r="AK55" s="18">
        <v>0</v>
      </c>
      <c r="AL55" s="18">
        <v>0</v>
      </c>
      <c r="AM55" s="18">
        <v>0</v>
      </c>
      <c r="AN55" s="18">
        <v>0</v>
      </c>
      <c r="AO55" s="18">
        <v>6</v>
      </c>
      <c r="AP55" s="18">
        <v>6</v>
      </c>
      <c r="AQ55" s="18">
        <v>0</v>
      </c>
      <c r="AR55" s="18">
        <v>0</v>
      </c>
      <c r="AS55" s="18">
        <v>0</v>
      </c>
      <c r="AT55" s="19">
        <v>2</v>
      </c>
      <c r="AU55" s="240">
        <v>20</v>
      </c>
      <c r="AV55">
        <v>186</v>
      </c>
    </row>
    <row r="56" spans="2:48">
      <c r="B56" s="11" t="s">
        <v>341</v>
      </c>
      <c r="C56" s="18">
        <v>6</v>
      </c>
      <c r="D56" s="18">
        <v>10</v>
      </c>
      <c r="E56" s="239">
        <v>10</v>
      </c>
      <c r="F56" s="18">
        <v>8</v>
      </c>
      <c r="G56" s="18">
        <v>10</v>
      </c>
      <c r="H56" s="18">
        <v>6</v>
      </c>
      <c r="I56" s="18">
        <v>10</v>
      </c>
      <c r="J56" s="239">
        <v>10</v>
      </c>
      <c r="K56" s="19">
        <v>10</v>
      </c>
      <c r="L56" s="19">
        <v>10</v>
      </c>
      <c r="M56" s="251">
        <v>90</v>
      </c>
      <c r="N56" s="18">
        <v>10</v>
      </c>
      <c r="O56" s="18">
        <v>10</v>
      </c>
      <c r="P56" s="18">
        <v>10</v>
      </c>
      <c r="Q56" s="18">
        <v>10</v>
      </c>
      <c r="R56" s="18">
        <v>10</v>
      </c>
      <c r="S56" s="18">
        <v>10</v>
      </c>
      <c r="T56" s="18">
        <v>10</v>
      </c>
      <c r="U56" s="19">
        <v>10</v>
      </c>
      <c r="V56" s="19">
        <v>10</v>
      </c>
      <c r="W56" s="250">
        <v>90</v>
      </c>
      <c r="X56" s="18">
        <v>10</v>
      </c>
      <c r="Y56" s="18">
        <v>0</v>
      </c>
      <c r="Z56" s="18">
        <v>6</v>
      </c>
      <c r="AA56" s="18">
        <v>0</v>
      </c>
      <c r="AB56" s="18">
        <v>10</v>
      </c>
      <c r="AC56" s="18">
        <v>10</v>
      </c>
      <c r="AD56" s="18">
        <v>10</v>
      </c>
      <c r="AE56" s="18">
        <v>10</v>
      </c>
      <c r="AF56" s="19">
        <v>10</v>
      </c>
      <c r="AG56" s="248">
        <v>66</v>
      </c>
      <c r="AH56" s="18">
        <v>0</v>
      </c>
      <c r="AI56" s="18">
        <v>10</v>
      </c>
      <c r="AJ56" s="18">
        <v>6</v>
      </c>
      <c r="AK56" s="18">
        <v>10</v>
      </c>
      <c r="AL56" s="18">
        <v>10</v>
      </c>
      <c r="AM56" s="18">
        <v>10</v>
      </c>
      <c r="AN56" s="18">
        <v>10</v>
      </c>
      <c r="AO56" s="18">
        <v>6</v>
      </c>
      <c r="AP56" s="18">
        <v>6</v>
      </c>
      <c r="AQ56" s="18">
        <v>8</v>
      </c>
      <c r="AR56" s="18">
        <v>0</v>
      </c>
      <c r="AS56" s="18">
        <v>0</v>
      </c>
      <c r="AT56" s="19">
        <v>2</v>
      </c>
      <c r="AU56" s="240">
        <v>78</v>
      </c>
      <c r="AV56">
        <v>324</v>
      </c>
    </row>
    <row r="57" spans="2:48">
      <c r="B57" s="11" t="s">
        <v>373</v>
      </c>
      <c r="C57" s="18">
        <v>6</v>
      </c>
      <c r="D57" s="18">
        <v>10</v>
      </c>
      <c r="E57" s="239">
        <v>10</v>
      </c>
      <c r="F57" s="18">
        <v>5</v>
      </c>
      <c r="G57" s="18">
        <v>10</v>
      </c>
      <c r="H57" s="18">
        <v>10</v>
      </c>
      <c r="I57" s="18">
        <v>10</v>
      </c>
      <c r="J57" s="239">
        <v>10</v>
      </c>
      <c r="K57" s="19">
        <v>10</v>
      </c>
      <c r="L57" s="19">
        <v>10</v>
      </c>
      <c r="M57" s="251">
        <v>91</v>
      </c>
      <c r="N57" s="18">
        <v>10</v>
      </c>
      <c r="O57" s="18">
        <v>10</v>
      </c>
      <c r="P57" s="18">
        <v>10</v>
      </c>
      <c r="Q57" s="18">
        <v>10</v>
      </c>
      <c r="R57" s="18">
        <v>10</v>
      </c>
      <c r="S57" s="18">
        <v>10</v>
      </c>
      <c r="T57" s="18">
        <v>10</v>
      </c>
      <c r="U57" s="19">
        <v>10</v>
      </c>
      <c r="V57" s="19">
        <v>10</v>
      </c>
      <c r="W57" s="250">
        <v>90</v>
      </c>
      <c r="X57" s="18">
        <v>10</v>
      </c>
      <c r="Y57" s="18">
        <v>10</v>
      </c>
      <c r="Z57" s="18">
        <v>10</v>
      </c>
      <c r="AA57" s="18">
        <v>10</v>
      </c>
      <c r="AB57" s="18">
        <v>10</v>
      </c>
      <c r="AC57" s="18">
        <v>10</v>
      </c>
      <c r="AD57" s="18">
        <v>10</v>
      </c>
      <c r="AE57" s="18">
        <v>10</v>
      </c>
      <c r="AF57" s="19">
        <v>3</v>
      </c>
      <c r="AG57" s="248">
        <v>83</v>
      </c>
      <c r="AH57" s="18">
        <v>0</v>
      </c>
      <c r="AI57" s="18">
        <v>10</v>
      </c>
      <c r="AJ57" s="18">
        <v>6</v>
      </c>
      <c r="AK57" s="18">
        <v>10</v>
      </c>
      <c r="AL57" s="18">
        <v>10</v>
      </c>
      <c r="AM57" s="18">
        <v>10</v>
      </c>
      <c r="AN57" s="18">
        <v>10</v>
      </c>
      <c r="AO57" s="18">
        <v>10</v>
      </c>
      <c r="AP57" s="18">
        <v>10</v>
      </c>
      <c r="AQ57" s="18">
        <v>4</v>
      </c>
      <c r="AR57" s="18">
        <v>10</v>
      </c>
      <c r="AS57" s="18">
        <v>0</v>
      </c>
      <c r="AT57" s="19">
        <v>2</v>
      </c>
      <c r="AU57" s="240">
        <v>92</v>
      </c>
      <c r="AV57">
        <v>356</v>
      </c>
    </row>
    <row r="58" spans="2:48">
      <c r="B58" s="11" t="s">
        <v>329</v>
      </c>
      <c r="C58" s="18">
        <v>6</v>
      </c>
      <c r="D58" s="18">
        <v>10</v>
      </c>
      <c r="E58" s="239">
        <v>10</v>
      </c>
      <c r="F58" s="18">
        <v>6</v>
      </c>
      <c r="G58" s="18">
        <v>10</v>
      </c>
      <c r="H58" s="18">
        <v>10</v>
      </c>
      <c r="I58" s="18">
        <v>10</v>
      </c>
      <c r="J58" s="239">
        <v>0</v>
      </c>
      <c r="K58" s="19">
        <v>10</v>
      </c>
      <c r="L58" s="19">
        <v>10</v>
      </c>
      <c r="M58" s="251">
        <v>82</v>
      </c>
      <c r="N58" s="18">
        <v>10</v>
      </c>
      <c r="O58" s="18">
        <v>10</v>
      </c>
      <c r="P58" s="18">
        <v>0</v>
      </c>
      <c r="Q58" s="18">
        <v>10</v>
      </c>
      <c r="R58" s="18">
        <v>6</v>
      </c>
      <c r="S58" s="18">
        <v>6</v>
      </c>
      <c r="T58" s="18">
        <v>10</v>
      </c>
      <c r="U58" s="19">
        <v>10</v>
      </c>
      <c r="V58" s="19">
        <v>10</v>
      </c>
      <c r="W58" s="250">
        <v>72</v>
      </c>
      <c r="X58" s="18">
        <v>10</v>
      </c>
      <c r="Y58" s="18">
        <v>6</v>
      </c>
      <c r="Z58" s="18">
        <v>6</v>
      </c>
      <c r="AA58" s="18">
        <v>10</v>
      </c>
      <c r="AB58" s="18">
        <v>10</v>
      </c>
      <c r="AC58" s="18">
        <v>10</v>
      </c>
      <c r="AD58" s="18">
        <v>0</v>
      </c>
      <c r="AE58" s="18">
        <v>10</v>
      </c>
      <c r="AF58" s="19">
        <v>10</v>
      </c>
      <c r="AG58" s="248">
        <v>72</v>
      </c>
      <c r="AH58" s="18">
        <v>10</v>
      </c>
      <c r="AI58" s="18">
        <v>10</v>
      </c>
      <c r="AJ58" s="18">
        <v>10</v>
      </c>
      <c r="AK58" s="18">
        <v>10</v>
      </c>
      <c r="AL58" s="18">
        <v>10</v>
      </c>
      <c r="AM58" s="18">
        <v>10</v>
      </c>
      <c r="AN58" s="18">
        <v>10</v>
      </c>
      <c r="AO58" s="18">
        <v>10</v>
      </c>
      <c r="AP58" s="18">
        <v>10</v>
      </c>
      <c r="AQ58" s="18">
        <v>0</v>
      </c>
      <c r="AR58" s="18">
        <v>8</v>
      </c>
      <c r="AS58" s="18">
        <v>0</v>
      </c>
      <c r="AT58" s="19">
        <v>2</v>
      </c>
      <c r="AU58" s="240">
        <v>100</v>
      </c>
      <c r="AV58">
        <v>326</v>
      </c>
    </row>
    <row r="59" spans="2:48">
      <c r="B59" s="11" t="s">
        <v>265</v>
      </c>
      <c r="C59" s="18">
        <v>8</v>
      </c>
      <c r="D59" s="18">
        <v>10</v>
      </c>
      <c r="E59" s="239">
        <v>10</v>
      </c>
      <c r="F59" s="18">
        <v>3</v>
      </c>
      <c r="G59" s="18">
        <v>6</v>
      </c>
      <c r="H59" s="18">
        <v>10</v>
      </c>
      <c r="I59" s="18">
        <v>0</v>
      </c>
      <c r="J59" s="239">
        <v>10</v>
      </c>
      <c r="K59" s="19">
        <v>10</v>
      </c>
      <c r="L59" s="19">
        <v>0</v>
      </c>
      <c r="M59" s="251">
        <v>67</v>
      </c>
      <c r="N59" s="18">
        <v>10</v>
      </c>
      <c r="O59" s="18">
        <v>10</v>
      </c>
      <c r="P59" s="18">
        <v>0</v>
      </c>
      <c r="Q59" s="18">
        <v>5</v>
      </c>
      <c r="R59" s="18">
        <v>6</v>
      </c>
      <c r="S59" s="18">
        <v>6</v>
      </c>
      <c r="T59" s="18">
        <v>10</v>
      </c>
      <c r="U59" s="19">
        <v>10</v>
      </c>
      <c r="V59" s="19">
        <v>10</v>
      </c>
      <c r="W59" s="250">
        <v>67</v>
      </c>
      <c r="X59" s="18">
        <v>10</v>
      </c>
      <c r="Y59" s="18">
        <v>6</v>
      </c>
      <c r="Z59" s="18">
        <v>0</v>
      </c>
      <c r="AA59" s="18">
        <v>10</v>
      </c>
      <c r="AB59" s="18">
        <v>0</v>
      </c>
      <c r="AC59" s="18">
        <v>0</v>
      </c>
      <c r="AD59" s="18">
        <v>10</v>
      </c>
      <c r="AE59" s="18">
        <v>10</v>
      </c>
      <c r="AF59" s="19">
        <v>10</v>
      </c>
      <c r="AG59" s="248">
        <v>56</v>
      </c>
      <c r="AH59" s="18">
        <v>10</v>
      </c>
      <c r="AI59" s="18">
        <v>10</v>
      </c>
      <c r="AJ59" s="18">
        <v>6</v>
      </c>
      <c r="AK59" s="18">
        <v>0</v>
      </c>
      <c r="AL59" s="18">
        <v>0</v>
      </c>
      <c r="AM59" s="18">
        <v>10</v>
      </c>
      <c r="AN59" s="18">
        <v>0</v>
      </c>
      <c r="AO59" s="18">
        <v>4</v>
      </c>
      <c r="AP59" s="18">
        <v>10</v>
      </c>
      <c r="AQ59" s="18">
        <v>0</v>
      </c>
      <c r="AR59" s="18">
        <v>8</v>
      </c>
      <c r="AS59" s="18">
        <v>10</v>
      </c>
      <c r="AT59" s="19">
        <v>2</v>
      </c>
      <c r="AU59" s="240">
        <v>70</v>
      </c>
      <c r="AV59">
        <v>260</v>
      </c>
    </row>
    <row r="60" spans="2:48">
      <c r="B60" s="11" t="s">
        <v>309</v>
      </c>
      <c r="C60" s="18">
        <v>8</v>
      </c>
      <c r="D60" s="18">
        <v>0</v>
      </c>
      <c r="E60" s="239">
        <v>10</v>
      </c>
      <c r="F60" s="18">
        <v>3</v>
      </c>
      <c r="G60" s="18">
        <v>2</v>
      </c>
      <c r="H60" s="18">
        <v>10</v>
      </c>
      <c r="I60" s="18">
        <v>0</v>
      </c>
      <c r="J60" s="239">
        <v>6</v>
      </c>
      <c r="K60" s="19">
        <v>10</v>
      </c>
      <c r="L60" s="19">
        <v>10</v>
      </c>
      <c r="M60" s="251">
        <v>59</v>
      </c>
      <c r="N60" s="18">
        <v>10</v>
      </c>
      <c r="O60" s="18">
        <v>10</v>
      </c>
      <c r="P60" s="18">
        <v>0</v>
      </c>
      <c r="Q60" s="18">
        <v>5</v>
      </c>
      <c r="R60" s="18">
        <v>6</v>
      </c>
      <c r="S60" s="18">
        <v>6</v>
      </c>
      <c r="T60" s="18">
        <v>10</v>
      </c>
      <c r="U60" s="19">
        <v>0</v>
      </c>
      <c r="V60" s="19">
        <v>10</v>
      </c>
      <c r="W60" s="250">
        <v>57</v>
      </c>
      <c r="X60" s="18">
        <v>0</v>
      </c>
      <c r="Y60" s="18">
        <v>10</v>
      </c>
      <c r="Z60" s="18">
        <v>0</v>
      </c>
      <c r="AA60" s="18">
        <v>10</v>
      </c>
      <c r="AB60" s="18">
        <v>10</v>
      </c>
      <c r="AC60" s="18">
        <v>10</v>
      </c>
      <c r="AD60" s="18">
        <v>10</v>
      </c>
      <c r="AE60" s="18">
        <v>0</v>
      </c>
      <c r="AF60" s="19">
        <v>10</v>
      </c>
      <c r="AG60" s="248">
        <v>60</v>
      </c>
      <c r="AH60" s="18" t="s">
        <v>191</v>
      </c>
      <c r="AI60" s="18" t="s">
        <v>191</v>
      </c>
      <c r="AJ60" s="18" t="s">
        <v>191</v>
      </c>
      <c r="AK60" s="18" t="s">
        <v>191</v>
      </c>
      <c r="AL60" s="18" t="s">
        <v>191</v>
      </c>
      <c r="AM60" s="18" t="s">
        <v>191</v>
      </c>
      <c r="AN60" s="18" t="s">
        <v>191</v>
      </c>
      <c r="AO60" s="18">
        <v>0</v>
      </c>
      <c r="AP60" s="18">
        <v>0</v>
      </c>
      <c r="AQ60" s="18">
        <v>0</v>
      </c>
      <c r="AR60" s="18" t="s">
        <v>191</v>
      </c>
      <c r="AS60" s="18" t="s">
        <v>191</v>
      </c>
      <c r="AT60" s="19">
        <v>0</v>
      </c>
      <c r="AU60" s="240">
        <v>0</v>
      </c>
      <c r="AV60">
        <v>176</v>
      </c>
    </row>
    <row r="61" spans="2:48">
      <c r="B61" s="11" t="s">
        <v>267</v>
      </c>
      <c r="C61" s="18">
        <v>6</v>
      </c>
      <c r="D61" s="18">
        <v>10</v>
      </c>
      <c r="E61" s="239">
        <v>10</v>
      </c>
      <c r="F61" s="18">
        <v>3</v>
      </c>
      <c r="G61" s="18">
        <v>10</v>
      </c>
      <c r="H61" s="18">
        <v>10</v>
      </c>
      <c r="I61" s="18">
        <v>10</v>
      </c>
      <c r="J61" s="239">
        <v>10</v>
      </c>
      <c r="K61" s="19">
        <v>10</v>
      </c>
      <c r="L61" s="19">
        <v>10</v>
      </c>
      <c r="M61" s="251">
        <v>89</v>
      </c>
      <c r="N61" s="18">
        <v>10</v>
      </c>
      <c r="O61" s="18">
        <v>10</v>
      </c>
      <c r="P61" s="18">
        <v>0</v>
      </c>
      <c r="Q61" s="18">
        <v>5</v>
      </c>
      <c r="R61" s="18">
        <v>0</v>
      </c>
      <c r="S61" s="18">
        <v>0</v>
      </c>
      <c r="T61" s="18">
        <v>6</v>
      </c>
      <c r="U61" s="19">
        <v>0</v>
      </c>
      <c r="V61" s="19">
        <v>10</v>
      </c>
      <c r="W61" s="250">
        <v>41</v>
      </c>
      <c r="X61" s="18">
        <v>10</v>
      </c>
      <c r="Y61" s="18">
        <v>10</v>
      </c>
      <c r="Z61" s="18">
        <v>10</v>
      </c>
      <c r="AA61" s="18">
        <v>10</v>
      </c>
      <c r="AB61" s="18">
        <v>10</v>
      </c>
      <c r="AC61" s="18">
        <v>10</v>
      </c>
      <c r="AD61" s="18">
        <v>10</v>
      </c>
      <c r="AE61" s="18">
        <v>10</v>
      </c>
      <c r="AF61" s="19">
        <v>10</v>
      </c>
      <c r="AG61" s="248">
        <v>90</v>
      </c>
      <c r="AH61" s="18">
        <v>10</v>
      </c>
      <c r="AI61" s="18">
        <v>10</v>
      </c>
      <c r="AJ61" s="18">
        <v>0</v>
      </c>
      <c r="AK61" s="18">
        <v>0</v>
      </c>
      <c r="AL61" s="18">
        <v>10</v>
      </c>
      <c r="AM61" s="18">
        <v>10</v>
      </c>
      <c r="AN61" s="18">
        <v>10</v>
      </c>
      <c r="AO61" s="18">
        <v>10</v>
      </c>
      <c r="AP61" s="18">
        <v>10</v>
      </c>
      <c r="AQ61" s="18">
        <v>0</v>
      </c>
      <c r="AR61" s="18">
        <v>0</v>
      </c>
      <c r="AS61" s="18">
        <v>10</v>
      </c>
      <c r="AT61" s="19">
        <v>2</v>
      </c>
      <c r="AU61" s="240">
        <v>82</v>
      </c>
      <c r="AV61">
        <v>302</v>
      </c>
    </row>
    <row r="62" spans="2:48">
      <c r="B62" s="11" t="s">
        <v>166</v>
      </c>
      <c r="C62" s="18">
        <v>6</v>
      </c>
      <c r="D62" s="18">
        <v>10</v>
      </c>
      <c r="E62" s="239">
        <v>10</v>
      </c>
      <c r="F62" s="18">
        <v>10</v>
      </c>
      <c r="G62" s="18">
        <v>6</v>
      </c>
      <c r="H62" s="18">
        <v>10</v>
      </c>
      <c r="I62" s="18">
        <v>10</v>
      </c>
      <c r="J62" s="239">
        <v>0</v>
      </c>
      <c r="K62" s="19">
        <v>10</v>
      </c>
      <c r="L62" s="19">
        <v>10</v>
      </c>
      <c r="M62" s="251">
        <v>82</v>
      </c>
      <c r="N62" s="18">
        <v>10</v>
      </c>
      <c r="O62" s="18">
        <v>10</v>
      </c>
      <c r="P62" s="18">
        <v>10</v>
      </c>
      <c r="Q62" s="18">
        <v>5</v>
      </c>
      <c r="R62" s="18">
        <v>6</v>
      </c>
      <c r="S62" s="18">
        <v>10</v>
      </c>
      <c r="T62" s="18">
        <v>10</v>
      </c>
      <c r="U62" s="19">
        <v>0</v>
      </c>
      <c r="V62" s="19">
        <v>10</v>
      </c>
      <c r="W62" s="250">
        <v>71</v>
      </c>
      <c r="X62" s="18">
        <v>10</v>
      </c>
      <c r="Y62" s="18">
        <v>6</v>
      </c>
      <c r="Z62" s="18">
        <v>0</v>
      </c>
      <c r="AA62" s="18">
        <v>0</v>
      </c>
      <c r="AB62" s="18">
        <v>10</v>
      </c>
      <c r="AC62" s="18">
        <v>10</v>
      </c>
      <c r="AD62" s="18">
        <v>10</v>
      </c>
      <c r="AE62" s="18">
        <v>10</v>
      </c>
      <c r="AF62" s="19">
        <v>10</v>
      </c>
      <c r="AG62" s="248">
        <v>66</v>
      </c>
      <c r="AH62" s="18">
        <v>10</v>
      </c>
      <c r="AI62" s="18">
        <v>10</v>
      </c>
      <c r="AJ62" s="18">
        <v>6</v>
      </c>
      <c r="AK62" s="18">
        <v>10</v>
      </c>
      <c r="AL62" s="18">
        <v>0</v>
      </c>
      <c r="AM62" s="18">
        <v>10</v>
      </c>
      <c r="AN62" s="18">
        <v>0</v>
      </c>
      <c r="AO62" s="18">
        <v>0</v>
      </c>
      <c r="AP62" s="18">
        <v>6</v>
      </c>
      <c r="AQ62" s="18">
        <v>0</v>
      </c>
      <c r="AR62" s="18">
        <v>10</v>
      </c>
      <c r="AS62" s="18">
        <v>10</v>
      </c>
      <c r="AT62" s="19">
        <v>2</v>
      </c>
      <c r="AU62" s="240">
        <v>74</v>
      </c>
      <c r="AV62">
        <v>293</v>
      </c>
    </row>
    <row r="63" spans="2:48">
      <c r="B63" s="11" t="s">
        <v>451</v>
      </c>
      <c r="C63" s="18">
        <v>8</v>
      </c>
      <c r="D63" s="18">
        <v>10</v>
      </c>
      <c r="E63" s="239">
        <v>10</v>
      </c>
      <c r="F63" s="18">
        <v>3</v>
      </c>
      <c r="G63" s="18">
        <v>10</v>
      </c>
      <c r="H63" s="18">
        <v>10</v>
      </c>
      <c r="I63" s="18">
        <v>10</v>
      </c>
      <c r="J63" s="239">
        <v>10</v>
      </c>
      <c r="K63" s="19">
        <v>10</v>
      </c>
      <c r="L63" s="19">
        <v>10</v>
      </c>
      <c r="M63" s="251">
        <v>91</v>
      </c>
      <c r="N63" s="18">
        <v>10</v>
      </c>
      <c r="O63" s="18">
        <v>10</v>
      </c>
      <c r="P63" s="18">
        <v>10</v>
      </c>
      <c r="Q63" s="18">
        <v>10</v>
      </c>
      <c r="R63" s="18">
        <v>4</v>
      </c>
      <c r="S63" s="18">
        <v>10</v>
      </c>
      <c r="T63" s="18">
        <v>10</v>
      </c>
      <c r="U63" s="19">
        <v>0</v>
      </c>
      <c r="V63" s="19">
        <v>10</v>
      </c>
      <c r="W63" s="250">
        <v>74</v>
      </c>
      <c r="X63" s="18">
        <v>0</v>
      </c>
      <c r="Y63" s="18">
        <v>0</v>
      </c>
      <c r="Z63" s="18">
        <v>6</v>
      </c>
      <c r="AA63" s="18">
        <v>10</v>
      </c>
      <c r="AB63" s="18">
        <v>10</v>
      </c>
      <c r="AC63" s="18">
        <v>10</v>
      </c>
      <c r="AD63" s="18">
        <v>10</v>
      </c>
      <c r="AE63" s="18">
        <v>10</v>
      </c>
      <c r="AF63" s="19">
        <v>6</v>
      </c>
      <c r="AG63" s="248">
        <v>62</v>
      </c>
      <c r="AH63" s="18">
        <v>10</v>
      </c>
      <c r="AI63" s="18">
        <v>10</v>
      </c>
      <c r="AJ63" s="18">
        <v>6</v>
      </c>
      <c r="AK63" s="18">
        <v>10</v>
      </c>
      <c r="AL63" s="18">
        <v>10</v>
      </c>
      <c r="AM63" s="18">
        <v>10</v>
      </c>
      <c r="AN63" s="18">
        <v>10</v>
      </c>
      <c r="AO63" s="18">
        <v>10</v>
      </c>
      <c r="AP63" s="18">
        <v>10</v>
      </c>
      <c r="AQ63" s="18">
        <v>0</v>
      </c>
      <c r="AR63" s="18">
        <v>8</v>
      </c>
      <c r="AS63" s="18">
        <v>10</v>
      </c>
      <c r="AT63" s="19">
        <v>8</v>
      </c>
      <c r="AU63" s="240">
        <v>112</v>
      </c>
      <c r="AV63">
        <v>339</v>
      </c>
    </row>
    <row r="64" spans="2:48">
      <c r="B64" s="11" t="s">
        <v>433</v>
      </c>
      <c r="C64" s="18">
        <v>6</v>
      </c>
      <c r="D64" s="18">
        <v>0</v>
      </c>
      <c r="E64" s="239">
        <v>0</v>
      </c>
      <c r="F64" s="18">
        <v>0</v>
      </c>
      <c r="G64" s="18">
        <v>4</v>
      </c>
      <c r="H64" s="18">
        <v>10</v>
      </c>
      <c r="I64" s="18">
        <v>10</v>
      </c>
      <c r="J64" s="239">
        <v>10</v>
      </c>
      <c r="K64" s="19">
        <v>6</v>
      </c>
      <c r="L64" s="19">
        <v>0</v>
      </c>
      <c r="M64" s="251">
        <v>46</v>
      </c>
      <c r="N64" s="18">
        <v>10</v>
      </c>
      <c r="O64" s="18">
        <v>10</v>
      </c>
      <c r="P64" s="18">
        <v>10</v>
      </c>
      <c r="Q64" s="18">
        <v>10</v>
      </c>
      <c r="R64" s="18">
        <v>6</v>
      </c>
      <c r="S64" s="18">
        <v>10</v>
      </c>
      <c r="T64" s="18">
        <v>10</v>
      </c>
      <c r="U64" s="19">
        <v>10</v>
      </c>
      <c r="V64" s="19">
        <v>10</v>
      </c>
      <c r="W64" s="250">
        <v>86</v>
      </c>
      <c r="X64" s="18">
        <v>0</v>
      </c>
      <c r="Y64" s="18">
        <v>10</v>
      </c>
      <c r="Z64" s="18">
        <v>0</v>
      </c>
      <c r="AA64" s="18">
        <v>0</v>
      </c>
      <c r="AB64" s="18">
        <v>10</v>
      </c>
      <c r="AC64" s="18">
        <v>10</v>
      </c>
      <c r="AD64" s="18">
        <v>10</v>
      </c>
      <c r="AE64" s="18">
        <v>10</v>
      </c>
      <c r="AF64" s="19">
        <v>10</v>
      </c>
      <c r="AG64" s="248">
        <v>60</v>
      </c>
      <c r="AH64" s="18">
        <v>10</v>
      </c>
      <c r="AI64" s="18">
        <v>10</v>
      </c>
      <c r="AJ64" s="18">
        <v>0</v>
      </c>
      <c r="AK64" s="18">
        <v>10</v>
      </c>
      <c r="AL64" s="18">
        <v>0</v>
      </c>
      <c r="AM64" s="18">
        <v>10</v>
      </c>
      <c r="AN64" s="18">
        <v>10</v>
      </c>
      <c r="AO64" s="18">
        <v>6</v>
      </c>
      <c r="AP64" s="18">
        <v>0</v>
      </c>
      <c r="AQ64" s="18">
        <v>6</v>
      </c>
      <c r="AR64" s="18">
        <v>10</v>
      </c>
      <c r="AS64" s="18">
        <v>10</v>
      </c>
      <c r="AT64" s="19">
        <v>10</v>
      </c>
      <c r="AU64" s="240">
        <v>92</v>
      </c>
      <c r="AV64">
        <v>284</v>
      </c>
    </row>
    <row r="65" spans="2:48">
      <c r="B65" s="11" t="s">
        <v>430</v>
      </c>
      <c r="C65" s="18">
        <v>6</v>
      </c>
      <c r="D65" s="18">
        <v>10</v>
      </c>
      <c r="E65" s="239">
        <v>10</v>
      </c>
      <c r="F65" s="18">
        <v>10</v>
      </c>
      <c r="G65" s="18">
        <v>10</v>
      </c>
      <c r="H65" s="18">
        <v>4</v>
      </c>
      <c r="I65" s="18">
        <v>0</v>
      </c>
      <c r="J65" s="239">
        <v>0</v>
      </c>
      <c r="K65" s="19">
        <v>10</v>
      </c>
      <c r="L65" s="19">
        <v>10</v>
      </c>
      <c r="M65" s="251">
        <v>70</v>
      </c>
      <c r="N65" s="18">
        <v>10</v>
      </c>
      <c r="O65" s="18">
        <v>10</v>
      </c>
      <c r="P65" s="18">
        <v>0</v>
      </c>
      <c r="Q65" s="18">
        <v>5</v>
      </c>
      <c r="R65" s="18">
        <v>6</v>
      </c>
      <c r="S65" s="18">
        <v>0</v>
      </c>
      <c r="T65" s="18">
        <v>10</v>
      </c>
      <c r="U65" s="19">
        <v>0</v>
      </c>
      <c r="V65" s="19">
        <v>6</v>
      </c>
      <c r="W65" s="250">
        <v>47</v>
      </c>
      <c r="X65" s="18">
        <v>0</v>
      </c>
      <c r="Y65" s="18">
        <v>0</v>
      </c>
      <c r="Z65" s="18">
        <v>0</v>
      </c>
      <c r="AA65" s="18">
        <v>10</v>
      </c>
      <c r="AB65" s="18">
        <v>0</v>
      </c>
      <c r="AC65" s="18">
        <v>0</v>
      </c>
      <c r="AD65" s="18">
        <v>10</v>
      </c>
      <c r="AE65" s="18">
        <v>10</v>
      </c>
      <c r="AF65" s="19">
        <v>10</v>
      </c>
      <c r="AG65" s="248">
        <v>40</v>
      </c>
      <c r="AH65" s="18">
        <v>10</v>
      </c>
      <c r="AI65" s="18">
        <v>10</v>
      </c>
      <c r="AJ65" s="18">
        <v>6</v>
      </c>
      <c r="AK65" s="18">
        <v>0</v>
      </c>
      <c r="AL65" s="18">
        <v>0</v>
      </c>
      <c r="AM65" s="18">
        <v>10</v>
      </c>
      <c r="AN65" s="18">
        <v>0</v>
      </c>
      <c r="AO65" s="18">
        <v>10</v>
      </c>
      <c r="AP65" s="18">
        <v>10</v>
      </c>
      <c r="AQ65" s="18">
        <v>0</v>
      </c>
      <c r="AR65" s="18">
        <v>8</v>
      </c>
      <c r="AS65" s="18">
        <v>10</v>
      </c>
      <c r="AT65" s="19">
        <v>2</v>
      </c>
      <c r="AU65" s="240">
        <v>76</v>
      </c>
      <c r="AV65">
        <v>233</v>
      </c>
    </row>
    <row r="66" spans="2:48">
      <c r="B66" s="276" t="s">
        <v>391</v>
      </c>
      <c r="C66" s="276">
        <v>386</v>
      </c>
      <c r="D66" s="276">
        <v>500</v>
      </c>
      <c r="E66" s="276">
        <v>400</v>
      </c>
      <c r="F66" s="276">
        <v>207</v>
      </c>
      <c r="G66" s="276">
        <v>440</v>
      </c>
      <c r="H66" s="276">
        <v>458</v>
      </c>
      <c r="I66" s="276">
        <v>310</v>
      </c>
      <c r="J66" s="276">
        <v>278</v>
      </c>
      <c r="K66" s="276">
        <v>474</v>
      </c>
      <c r="L66" s="245">
        <v>470</v>
      </c>
      <c r="M66" s="245">
        <v>3923</v>
      </c>
      <c r="N66" s="276">
        <v>510</v>
      </c>
      <c r="O66" s="276">
        <v>480</v>
      </c>
      <c r="P66" s="276">
        <v>260</v>
      </c>
      <c r="Q66" s="276">
        <v>440</v>
      </c>
      <c r="R66" s="276">
        <v>324</v>
      </c>
      <c r="S66" s="276">
        <v>398</v>
      </c>
      <c r="T66" s="276">
        <v>536</v>
      </c>
      <c r="U66" s="276">
        <v>370</v>
      </c>
      <c r="V66" s="245">
        <v>496</v>
      </c>
      <c r="W66" s="245">
        <v>3814</v>
      </c>
      <c r="X66" s="276">
        <v>210</v>
      </c>
      <c r="Y66" s="276">
        <v>266</v>
      </c>
      <c r="Z66" s="276">
        <v>156</v>
      </c>
      <c r="AA66" s="276">
        <v>420</v>
      </c>
      <c r="AB66" s="276">
        <v>470</v>
      </c>
      <c r="AC66" s="276">
        <v>440</v>
      </c>
      <c r="AD66" s="276">
        <v>470</v>
      </c>
      <c r="AE66" s="276">
        <v>510</v>
      </c>
      <c r="AF66" s="245">
        <v>489</v>
      </c>
      <c r="AG66" s="245">
        <v>3431</v>
      </c>
      <c r="AH66" s="276">
        <v>320</v>
      </c>
      <c r="AI66" s="276">
        <v>370</v>
      </c>
      <c r="AJ66" s="276">
        <v>246</v>
      </c>
      <c r="AK66" s="276">
        <v>330</v>
      </c>
      <c r="AL66" s="276">
        <v>310</v>
      </c>
      <c r="AM66" s="276">
        <v>340</v>
      </c>
      <c r="AN66" s="276">
        <v>380</v>
      </c>
      <c r="AO66" s="276">
        <v>348</v>
      </c>
      <c r="AP66" s="276">
        <v>432</v>
      </c>
      <c r="AQ66" s="276">
        <v>134</v>
      </c>
      <c r="AR66" s="276">
        <v>344</v>
      </c>
      <c r="AS66" s="245">
        <v>460</v>
      </c>
      <c r="AT66" s="245">
        <v>200</v>
      </c>
      <c r="AU66" s="134">
        <v>4214</v>
      </c>
    </row>
    <row r="67" spans="2:48">
      <c r="B67" s="297">
        <v>61</v>
      </c>
      <c r="C67" s="34">
        <f t="shared" ref="C67:L67" si="0">AVERAGE(C5:C65)</f>
        <v>6.3278688524590168</v>
      </c>
      <c r="D67" s="34">
        <f t="shared" si="0"/>
        <v>8.1967213114754092</v>
      </c>
      <c r="E67" s="34">
        <f t="shared" si="0"/>
        <v>6.557377049180328</v>
      </c>
      <c r="F67" s="34">
        <f t="shared" si="0"/>
        <v>3.3934426229508197</v>
      </c>
      <c r="G67" s="34">
        <f t="shared" si="0"/>
        <v>7.2131147540983607</v>
      </c>
      <c r="H67" s="34">
        <f t="shared" si="0"/>
        <v>7.5081967213114753</v>
      </c>
      <c r="I67" s="34">
        <f t="shared" si="0"/>
        <v>5.081967213114754</v>
      </c>
      <c r="J67" s="34">
        <f t="shared" si="0"/>
        <v>4.557377049180328</v>
      </c>
      <c r="K67" s="34">
        <f t="shared" si="0"/>
        <v>7.7704918032786887</v>
      </c>
      <c r="L67" s="34">
        <f t="shared" si="0"/>
        <v>7.7049180327868854</v>
      </c>
      <c r="M67" s="34">
        <f>AVERAGE(C67:L67)</f>
        <v>6.4311475409836047</v>
      </c>
      <c r="N67" s="34">
        <f t="shared" ref="N67:V67" si="1">AVERAGE(N5:N65)</f>
        <v>8.3606557377049189</v>
      </c>
      <c r="O67" s="34">
        <f t="shared" si="1"/>
        <v>7.8688524590163933</v>
      </c>
      <c r="P67" s="34">
        <f t="shared" si="1"/>
        <v>4.2622950819672134</v>
      </c>
      <c r="Q67" s="34">
        <f t="shared" si="1"/>
        <v>7.2131147540983607</v>
      </c>
      <c r="R67" s="34">
        <f t="shared" si="1"/>
        <v>5.3114754098360653</v>
      </c>
      <c r="S67" s="34">
        <f t="shared" si="1"/>
        <v>6.5245901639344259</v>
      </c>
      <c r="T67" s="34">
        <f t="shared" si="1"/>
        <v>8.7868852459016402</v>
      </c>
      <c r="U67" s="34">
        <f t="shared" si="1"/>
        <v>6.0655737704918034</v>
      </c>
      <c r="V67" s="34">
        <f t="shared" si="1"/>
        <v>8.1311475409836067</v>
      </c>
      <c r="W67" s="34">
        <f>AVERAGE(N67:V67)</f>
        <v>6.9471766848816028</v>
      </c>
      <c r="X67" s="34">
        <f t="shared" ref="X67:AF67" si="2">AVERAGE(X5:X65)</f>
        <v>3.442622950819672</v>
      </c>
      <c r="Y67" s="34">
        <f t="shared" si="2"/>
        <v>4.360655737704918</v>
      </c>
      <c r="Z67" s="34">
        <f t="shared" si="2"/>
        <v>2.557377049180328</v>
      </c>
      <c r="AA67" s="34">
        <f t="shared" si="2"/>
        <v>6.8852459016393439</v>
      </c>
      <c r="AB67" s="34">
        <f t="shared" si="2"/>
        <v>7.7049180327868854</v>
      </c>
      <c r="AC67" s="34">
        <f t="shared" si="2"/>
        <v>7.2131147540983607</v>
      </c>
      <c r="AD67" s="34">
        <f t="shared" si="2"/>
        <v>7.7049180327868854</v>
      </c>
      <c r="AE67" s="34">
        <f t="shared" si="2"/>
        <v>8.3606557377049189</v>
      </c>
      <c r="AF67" s="34">
        <f t="shared" si="2"/>
        <v>8.0163934426229506</v>
      </c>
      <c r="AG67" s="34">
        <f>AVERAGE(X67:AF67)</f>
        <v>6.2495446265938064</v>
      </c>
      <c r="AH67" s="34">
        <f>AH66/$B$67</f>
        <v>5.2459016393442619</v>
      </c>
      <c r="AI67" s="34">
        <f t="shared" ref="AI67:AT67" si="3">AI66/$B$67</f>
        <v>6.0655737704918034</v>
      </c>
      <c r="AJ67" s="34">
        <f t="shared" si="3"/>
        <v>4.0327868852459012</v>
      </c>
      <c r="AK67" s="34">
        <f t="shared" si="3"/>
        <v>5.4098360655737707</v>
      </c>
      <c r="AL67" s="34">
        <f t="shared" si="3"/>
        <v>5.081967213114754</v>
      </c>
      <c r="AM67" s="34">
        <f t="shared" si="3"/>
        <v>5.5737704918032787</v>
      </c>
      <c r="AN67" s="34">
        <f t="shared" si="3"/>
        <v>6.2295081967213113</v>
      </c>
      <c r="AO67" s="34">
        <f t="shared" si="3"/>
        <v>5.7049180327868854</v>
      </c>
      <c r="AP67" s="34">
        <f t="shared" si="3"/>
        <v>7.081967213114754</v>
      </c>
      <c r="AQ67" s="34">
        <f t="shared" si="3"/>
        <v>2.1967213114754101</v>
      </c>
      <c r="AR67" s="34">
        <f t="shared" si="3"/>
        <v>5.639344262295082</v>
      </c>
      <c r="AS67" s="34">
        <f t="shared" si="3"/>
        <v>7.5409836065573774</v>
      </c>
      <c r="AT67" s="34">
        <f t="shared" si="3"/>
        <v>3.278688524590164</v>
      </c>
      <c r="AU67" s="34">
        <f>AVERAGE(AH67:AT67)</f>
        <v>5.3139974779319044</v>
      </c>
    </row>
    <row r="68" spans="2:48">
      <c r="B68" s="62"/>
      <c r="C68" s="62">
        <v>1</v>
      </c>
      <c r="D68" s="344" t="s">
        <v>413</v>
      </c>
      <c r="E68" s="62"/>
      <c r="L68" s="109"/>
      <c r="M68" s="62"/>
      <c r="N68" s="62">
        <v>18</v>
      </c>
      <c r="O68" s="344" t="s">
        <v>168</v>
      </c>
      <c r="P68" s="62"/>
      <c r="V68" s="109"/>
      <c r="W68" s="62"/>
      <c r="X68" s="62">
        <v>32</v>
      </c>
      <c r="Y68" s="344" t="s">
        <v>420</v>
      </c>
      <c r="Z68" s="62"/>
      <c r="AF68" s="109"/>
      <c r="AG68" s="62"/>
      <c r="AH68" s="62">
        <v>46</v>
      </c>
      <c r="AI68" s="344" t="s">
        <v>277</v>
      </c>
      <c r="AJ68" s="62"/>
    </row>
    <row r="69" spans="2:48">
      <c r="B69" s="62"/>
      <c r="C69" s="62">
        <v>2</v>
      </c>
      <c r="D69" s="344" t="s">
        <v>167</v>
      </c>
      <c r="E69" s="62"/>
      <c r="L69" s="109"/>
      <c r="M69" s="62"/>
      <c r="N69" s="62">
        <v>19</v>
      </c>
      <c r="O69" s="344" t="s">
        <v>363</v>
      </c>
      <c r="P69" s="62"/>
      <c r="V69" s="109"/>
      <c r="W69" s="62"/>
      <c r="X69" s="62">
        <v>33</v>
      </c>
      <c r="Y69" s="344" t="s">
        <v>295</v>
      </c>
      <c r="Z69" s="62"/>
      <c r="AF69" s="109"/>
      <c r="AG69" s="62"/>
      <c r="AH69" s="62">
        <v>47</v>
      </c>
      <c r="AI69" s="344" t="s">
        <v>414</v>
      </c>
      <c r="AJ69" s="62"/>
    </row>
    <row r="70" spans="2:48">
      <c r="B70" s="62"/>
      <c r="C70" s="62">
        <v>3</v>
      </c>
      <c r="D70" s="344" t="s">
        <v>362</v>
      </c>
      <c r="E70" s="62"/>
      <c r="L70" s="109"/>
      <c r="M70" s="62"/>
      <c r="N70" s="62">
        <v>20</v>
      </c>
      <c r="O70" s="344" t="s">
        <v>415</v>
      </c>
      <c r="P70" s="62"/>
      <c r="V70" s="109"/>
      <c r="W70" s="62"/>
      <c r="X70" s="62">
        <v>34</v>
      </c>
      <c r="Y70" s="344" t="s">
        <v>188</v>
      </c>
      <c r="Z70" s="62"/>
      <c r="AF70" s="109"/>
      <c r="AG70" s="62"/>
      <c r="AH70" s="62">
        <v>48</v>
      </c>
      <c r="AI70" s="344" t="s">
        <v>445</v>
      </c>
      <c r="AJ70" s="62"/>
    </row>
    <row r="71" spans="2:48">
      <c r="B71" s="62"/>
      <c r="C71" s="62">
        <v>4</v>
      </c>
      <c r="D71" s="344" t="s">
        <v>253</v>
      </c>
      <c r="E71" s="62"/>
      <c r="L71" s="109"/>
      <c r="M71" s="62"/>
      <c r="N71" s="62">
        <v>21</v>
      </c>
      <c r="O71" s="344" t="s">
        <v>446</v>
      </c>
      <c r="P71" s="62"/>
      <c r="V71" s="109"/>
      <c r="W71" s="62"/>
      <c r="X71" s="62">
        <v>35</v>
      </c>
      <c r="Y71" s="344" t="s">
        <v>447</v>
      </c>
      <c r="Z71" s="62"/>
      <c r="AF71" s="109"/>
      <c r="AG71" s="62"/>
      <c r="AH71" s="62">
        <v>49</v>
      </c>
      <c r="AI71" s="344" t="s">
        <v>422</v>
      </c>
      <c r="AJ71" s="62"/>
    </row>
    <row r="72" spans="2:48">
      <c r="B72" s="62"/>
      <c r="C72" s="62">
        <v>8</v>
      </c>
      <c r="D72" s="344" t="s">
        <v>186</v>
      </c>
      <c r="E72" s="62"/>
      <c r="L72" s="109"/>
      <c r="M72" s="62"/>
      <c r="N72" s="62">
        <v>24</v>
      </c>
      <c r="O72" s="344" t="s">
        <v>448</v>
      </c>
      <c r="P72" s="62"/>
      <c r="V72" s="109"/>
      <c r="W72" s="62"/>
      <c r="X72" s="62">
        <v>36</v>
      </c>
      <c r="Y72" s="344" t="s">
        <v>116</v>
      </c>
      <c r="Z72" s="62"/>
      <c r="AF72" s="109"/>
      <c r="AG72" s="62"/>
      <c r="AH72" s="62">
        <v>50</v>
      </c>
      <c r="AI72" s="344" t="s">
        <v>117</v>
      </c>
      <c r="AJ72" s="62"/>
    </row>
    <row r="73" spans="2:48">
      <c r="B73" s="62"/>
      <c r="C73" s="62">
        <v>12</v>
      </c>
      <c r="D73" s="344" t="s">
        <v>449</v>
      </c>
      <c r="E73" s="62"/>
      <c r="L73" s="109"/>
      <c r="M73" s="62"/>
      <c r="N73" s="62">
        <v>26</v>
      </c>
      <c r="O73" s="344" t="s">
        <v>421</v>
      </c>
      <c r="P73" s="62"/>
      <c r="V73" s="109"/>
      <c r="W73" s="62"/>
      <c r="X73" s="62">
        <v>37</v>
      </c>
      <c r="Y73" s="344" t="s">
        <v>206</v>
      </c>
      <c r="Z73" s="62"/>
      <c r="AF73" s="109"/>
      <c r="AG73" s="62"/>
      <c r="AH73" s="62">
        <v>51</v>
      </c>
      <c r="AI73" s="344" t="s">
        <v>207</v>
      </c>
      <c r="AJ73" s="62"/>
    </row>
    <row r="74" spans="2:48">
      <c r="B74" s="62"/>
      <c r="C74" s="62">
        <v>13</v>
      </c>
      <c r="D74" s="344" t="s">
        <v>335</v>
      </c>
      <c r="E74" s="62"/>
      <c r="L74" s="109"/>
      <c r="M74" s="62"/>
      <c r="N74" s="62">
        <v>28</v>
      </c>
      <c r="O74" s="344" t="s">
        <v>424</v>
      </c>
      <c r="P74" s="62"/>
      <c r="V74" s="109"/>
      <c r="W74" s="62"/>
      <c r="X74" s="62">
        <v>38</v>
      </c>
      <c r="Y74" s="344" t="s">
        <v>133</v>
      </c>
      <c r="Z74" s="62"/>
      <c r="AF74" s="109"/>
      <c r="AG74" s="62"/>
      <c r="AH74" s="62">
        <v>52</v>
      </c>
      <c r="AI74" s="344" t="s">
        <v>334</v>
      </c>
      <c r="AJ74" s="62"/>
    </row>
    <row r="75" spans="2:48">
      <c r="B75" s="62"/>
      <c r="C75" s="62">
        <v>14</v>
      </c>
      <c r="D75" s="344" t="s">
        <v>425</v>
      </c>
      <c r="L75" s="109"/>
      <c r="M75" s="62"/>
      <c r="N75" s="62">
        <v>30</v>
      </c>
      <c r="O75" s="344" t="s">
        <v>454</v>
      </c>
      <c r="V75" s="109"/>
      <c r="W75" s="62"/>
      <c r="X75" s="62">
        <v>39</v>
      </c>
      <c r="Y75" s="344" t="s">
        <v>246</v>
      </c>
      <c r="AF75" s="109"/>
      <c r="AG75" s="62"/>
      <c r="AH75" s="62">
        <v>53</v>
      </c>
      <c r="AI75" s="344" t="s">
        <v>247</v>
      </c>
    </row>
    <row r="76" spans="2:48">
      <c r="B76" s="62"/>
      <c r="C76" s="62">
        <v>15</v>
      </c>
      <c r="D76" s="344" t="s">
        <v>151</v>
      </c>
      <c r="L76" s="109"/>
      <c r="M76" s="62"/>
      <c r="N76" s="62">
        <v>31</v>
      </c>
      <c r="O76" s="344" t="s">
        <v>455</v>
      </c>
      <c r="V76" s="109"/>
      <c r="W76" s="62"/>
      <c r="X76" s="62">
        <v>40</v>
      </c>
      <c r="Y76" s="344" t="s">
        <v>153</v>
      </c>
      <c r="AF76" s="109"/>
      <c r="AG76" s="62"/>
      <c r="AH76" s="62">
        <v>55</v>
      </c>
      <c r="AI76" s="344" t="s">
        <v>252</v>
      </c>
    </row>
    <row r="77" spans="2:48">
      <c r="B77" s="62"/>
      <c r="C77" s="62">
        <v>17</v>
      </c>
      <c r="D77" s="344" t="s">
        <v>155</v>
      </c>
      <c r="E77" s="62"/>
      <c r="L77" s="109"/>
      <c r="M77" s="62"/>
      <c r="N77" s="344"/>
      <c r="V77" s="109"/>
      <c r="W77" s="62"/>
      <c r="X77" s="344"/>
      <c r="AF77" s="109"/>
      <c r="AG77" s="62"/>
      <c r="AH77" s="62">
        <v>58</v>
      </c>
      <c r="AI77" s="344" t="s">
        <v>51</v>
      </c>
      <c r="AJ77" s="62"/>
    </row>
    <row r="78" spans="2:48">
      <c r="B78" s="62"/>
      <c r="C78" s="345"/>
      <c r="L78" s="109"/>
      <c r="V78" s="109"/>
      <c r="W78" s="62"/>
      <c r="X78" s="344"/>
      <c r="AF78" s="109"/>
      <c r="AG78" s="62"/>
      <c r="AH78" s="62">
        <v>60</v>
      </c>
      <c r="AI78" s="344" t="s">
        <v>400</v>
      </c>
      <c r="AJ78" s="62"/>
    </row>
    <row r="79" spans="2:48">
      <c r="B79" s="62"/>
      <c r="C79" s="345"/>
      <c r="L79" s="109"/>
      <c r="V79" s="109"/>
      <c r="W79" s="62"/>
      <c r="X79" s="344"/>
      <c r="AF79" s="109"/>
      <c r="AG79" s="62"/>
      <c r="AH79" s="62">
        <v>61</v>
      </c>
      <c r="AI79" s="344" t="s">
        <v>164</v>
      </c>
      <c r="AJ79" s="62"/>
    </row>
    <row r="80" spans="2:48">
      <c r="B80" s="63"/>
      <c r="C80" s="49"/>
      <c r="D80" s="64"/>
      <c r="V80" s="109"/>
      <c r="W80" s="62"/>
      <c r="X80" s="344"/>
      <c r="AF80" s="109"/>
      <c r="AG80" s="62"/>
      <c r="AH80" s="62">
        <v>62</v>
      </c>
      <c r="AI80" s="344" t="s">
        <v>165</v>
      </c>
      <c r="AJ80" s="62"/>
    </row>
    <row r="81" spans="2:46">
      <c r="B81" s="49"/>
      <c r="C81" s="49"/>
      <c r="D81" s="49"/>
      <c r="V81" s="109"/>
      <c r="W81" s="62"/>
      <c r="X81" s="344"/>
      <c r="AF81" s="109"/>
      <c r="AG81" s="62"/>
      <c r="AH81" s="62"/>
    </row>
    <row r="82" spans="2:46">
      <c r="B82" s="49"/>
      <c r="C82" s="49"/>
      <c r="D82" s="49"/>
      <c r="W82" s="62"/>
      <c r="X82" s="346"/>
      <c r="AF82" s="109"/>
      <c r="AG82" s="62"/>
      <c r="AH82" s="344"/>
    </row>
    <row r="83" spans="2:46">
      <c r="B83" s="49"/>
      <c r="C83" s="49"/>
      <c r="D83" s="49"/>
      <c r="W83" s="62"/>
      <c r="X83" s="346"/>
      <c r="AF83" s="109"/>
      <c r="AG83" s="62"/>
      <c r="AH83" s="344"/>
    </row>
    <row r="84" spans="2:46">
      <c r="B84" s="49"/>
      <c r="C84" s="49"/>
      <c r="D84" s="49"/>
      <c r="L84"/>
      <c r="N84" s="49"/>
      <c r="O84" s="62"/>
      <c r="P84" s="346"/>
      <c r="V84"/>
      <c r="X84" s="109"/>
      <c r="Y84" s="62"/>
      <c r="Z84" s="344"/>
      <c r="AF84"/>
      <c r="AL84" s="49"/>
      <c r="AT84"/>
    </row>
    <row r="85" spans="2:46">
      <c r="B85" s="49"/>
      <c r="C85" s="49"/>
      <c r="D85" s="49"/>
      <c r="L85"/>
      <c r="N85" s="49"/>
      <c r="O85" s="62"/>
      <c r="P85" s="346"/>
      <c r="V85"/>
      <c r="X85" s="109"/>
      <c r="Y85" s="62"/>
      <c r="Z85" s="344"/>
      <c r="AF85"/>
      <c r="AL85" s="49"/>
      <c r="AT85"/>
    </row>
    <row r="86" spans="2:46">
      <c r="B86" s="352" t="s">
        <v>318</v>
      </c>
      <c r="C86" s="357" t="s">
        <v>276</v>
      </c>
      <c r="D86" s="357" t="s">
        <v>391</v>
      </c>
      <c r="E86" s="258" t="s">
        <v>130</v>
      </c>
      <c r="F86" s="353" t="s">
        <v>131</v>
      </c>
      <c r="G86" s="258" t="s">
        <v>5</v>
      </c>
      <c r="H86" s="258" t="s">
        <v>6</v>
      </c>
      <c r="L86"/>
      <c r="N86" s="49"/>
      <c r="V86"/>
      <c r="X86" s="49"/>
      <c r="Y86" s="62"/>
      <c r="Z86" s="344"/>
      <c r="AF86"/>
      <c r="AL86" s="49"/>
      <c r="AT86"/>
    </row>
    <row r="87" spans="2:46">
      <c r="B87" s="14" t="s">
        <v>355</v>
      </c>
      <c r="C87" s="21">
        <v>1</v>
      </c>
      <c r="D87" s="21">
        <v>7.1463414634146343</v>
      </c>
      <c r="E87" s="361">
        <v>7</v>
      </c>
      <c r="F87" s="362">
        <v>6.7777777777777777</v>
      </c>
      <c r="G87" s="361">
        <v>6.4444444444444446</v>
      </c>
      <c r="H87" s="361">
        <v>8</v>
      </c>
      <c r="I87" t="str">
        <f>B87</f>
        <v xml:space="preserve">Ministero del lavoro e delle politiche sociali                                                     </v>
      </c>
      <c r="L87"/>
      <c r="N87" s="49"/>
      <c r="V87"/>
      <c r="X87" s="49"/>
      <c r="AF87"/>
      <c r="AL87" s="49"/>
      <c r="AT87"/>
    </row>
    <row r="88" spans="2:46">
      <c r="B88" s="347" t="s">
        <v>452</v>
      </c>
      <c r="C88" s="359">
        <v>3</v>
      </c>
      <c r="D88" s="359">
        <v>7.4390243902439028</v>
      </c>
      <c r="E88" s="355">
        <v>8.6</v>
      </c>
      <c r="F88" s="34">
        <v>8.2222222222222214</v>
      </c>
      <c r="G88" s="355">
        <v>6.5555555555555554</v>
      </c>
      <c r="H88" s="355">
        <v>6.615384615384615</v>
      </c>
      <c r="I88" t="str">
        <f t="shared" ref="I88:I147" si="4">B88</f>
        <v xml:space="preserve">Ministero  per i beni e le attività culturali                                                       </v>
      </c>
      <c r="L88"/>
      <c r="N88" s="49"/>
      <c r="V88"/>
      <c r="X88" s="49"/>
      <c r="AF88"/>
      <c r="AL88" s="49"/>
      <c r="AT88"/>
    </row>
    <row r="89" spans="2:46">
      <c r="B89" s="347" t="s">
        <v>156</v>
      </c>
      <c r="C89" s="349">
        <v>7</v>
      </c>
      <c r="D89" s="349">
        <v>2.7560975609756095</v>
      </c>
      <c r="E89" s="355">
        <v>1.8</v>
      </c>
      <c r="F89" s="34">
        <v>3.3333333333333335</v>
      </c>
      <c r="G89" s="355">
        <v>3.6666666666666665</v>
      </c>
      <c r="H89" s="355">
        <v>2.4615384615384617</v>
      </c>
      <c r="I89" t="str">
        <f t="shared" si="4"/>
        <v xml:space="preserve">Ministero della difesa                                                              </v>
      </c>
      <c r="L89"/>
      <c r="N89" s="49"/>
      <c r="V89"/>
      <c r="X89" s="49"/>
      <c r="AF89"/>
      <c r="AL89" s="49"/>
      <c r="AT89"/>
    </row>
    <row r="90" spans="2:46">
      <c r="B90" s="347" t="s">
        <v>34</v>
      </c>
      <c r="C90" s="358">
        <v>8</v>
      </c>
      <c r="D90" s="358">
        <v>7.1707317073170733</v>
      </c>
      <c r="E90" s="354">
        <v>8.8000000000000007</v>
      </c>
      <c r="F90" s="348">
        <v>8</v>
      </c>
      <c r="G90" s="354">
        <v>6.666666666666667</v>
      </c>
      <c r="H90" s="354">
        <v>5.6923076923076925</v>
      </c>
      <c r="I90" t="str">
        <f t="shared" si="4"/>
        <v xml:space="preserve">Ministero degli affari esteri                                                                   </v>
      </c>
      <c r="L90"/>
      <c r="N90" s="49"/>
      <c r="V90"/>
      <c r="X90" s="49"/>
      <c r="AF90"/>
      <c r="AL90" s="49"/>
      <c r="AT90"/>
    </row>
    <row r="91" spans="2:46">
      <c r="B91" s="347" t="s">
        <v>339</v>
      </c>
      <c r="C91" s="349">
        <v>11</v>
      </c>
      <c r="D91" s="349">
        <v>8.2439024390243905</v>
      </c>
      <c r="E91" s="355">
        <v>8.9</v>
      </c>
      <c r="F91" s="34">
        <v>9</v>
      </c>
      <c r="G91" s="355">
        <v>8</v>
      </c>
      <c r="H91" s="355">
        <v>7.384615384615385</v>
      </c>
      <c r="I91" t="str">
        <f t="shared" si="4"/>
        <v xml:space="preserve">Ministero della giustizia                                                                           </v>
      </c>
      <c r="L91"/>
      <c r="N91" s="49"/>
      <c r="V91"/>
      <c r="X91" s="49"/>
      <c r="AF91"/>
      <c r="AL91" s="49"/>
      <c r="AT91"/>
    </row>
    <row r="92" spans="2:46">
      <c r="B92" s="347" t="s">
        <v>433</v>
      </c>
      <c r="C92" s="349">
        <v>14</v>
      </c>
      <c r="D92" s="349">
        <v>6.9268292682926829</v>
      </c>
      <c r="E92" s="355">
        <v>4.5999999999999996</v>
      </c>
      <c r="F92" s="34">
        <v>9.5555555555555554</v>
      </c>
      <c r="G92" s="355">
        <v>6.666666666666667</v>
      </c>
      <c r="H92" s="355">
        <v>7.0769230769230766</v>
      </c>
      <c r="I92" t="str">
        <f t="shared" si="4"/>
        <v xml:space="preserve">Istituto nazionale di statistica                                                                    </v>
      </c>
      <c r="L92"/>
      <c r="N92" s="49"/>
      <c r="V92"/>
      <c r="X92" s="49"/>
      <c r="AF92"/>
      <c r="AL92" s="49"/>
      <c r="AT92"/>
    </row>
    <row r="93" spans="2:46">
      <c r="B93" s="347" t="s">
        <v>353</v>
      </c>
      <c r="C93" s="349">
        <v>17</v>
      </c>
      <c r="D93" s="349">
        <v>7.4146341463414638</v>
      </c>
      <c r="E93" s="355">
        <v>6.4</v>
      </c>
      <c r="F93" s="34">
        <v>8.4444444444444446</v>
      </c>
      <c r="G93" s="355">
        <v>8</v>
      </c>
      <c r="H93" s="355">
        <v>7.0769230769230766</v>
      </c>
      <c r="I93" t="str">
        <f t="shared" si="4"/>
        <v xml:space="preserve">Ministero dell'istruzione, università e ricerca                                               </v>
      </c>
      <c r="L93"/>
      <c r="N93" s="49"/>
      <c r="V93"/>
      <c r="X93" s="49"/>
      <c r="AF93"/>
      <c r="AL93" s="49"/>
      <c r="AT93"/>
    </row>
    <row r="94" spans="2:46">
      <c r="B94" s="347" t="s">
        <v>387</v>
      </c>
      <c r="C94" s="349">
        <v>20</v>
      </c>
      <c r="D94" s="349">
        <v>6.0487804878048781</v>
      </c>
      <c r="E94" s="355">
        <v>5.4</v>
      </c>
      <c r="F94" s="34">
        <v>7.7777777777777777</v>
      </c>
      <c r="G94" s="355">
        <v>5.333333333333333</v>
      </c>
      <c r="H94" s="355">
        <v>5.8461538461538458</v>
      </c>
      <c r="I94" t="str">
        <f t="shared" si="4"/>
        <v xml:space="preserve">Ministero della salute                                                                        </v>
      </c>
      <c r="L94"/>
      <c r="N94" s="49"/>
      <c r="V94"/>
      <c r="X94" s="49"/>
      <c r="AF94"/>
      <c r="AL94" s="49"/>
      <c r="AT94"/>
    </row>
    <row r="95" spans="2:46">
      <c r="B95" s="347" t="s">
        <v>394</v>
      </c>
      <c r="C95" s="349">
        <v>21</v>
      </c>
      <c r="D95" s="349">
        <v>5.5853658536585362</v>
      </c>
      <c r="E95" s="355">
        <v>8.1999999999999993</v>
      </c>
      <c r="F95" s="34">
        <v>5.2222222222222223</v>
      </c>
      <c r="G95" s="355">
        <v>2.8888888888888888</v>
      </c>
      <c r="H95" s="355">
        <v>5.6923076923076925</v>
      </c>
      <c r="I95" t="str">
        <f t="shared" si="4"/>
        <v xml:space="preserve">Ministero delle comunicazioni                                                                       </v>
      </c>
      <c r="L95"/>
      <c r="N95" s="49"/>
      <c r="V95"/>
      <c r="X95" s="49"/>
      <c r="AF95"/>
      <c r="AL95" s="49"/>
      <c r="AT95"/>
    </row>
    <row r="96" spans="2:46">
      <c r="B96" s="347" t="s">
        <v>412</v>
      </c>
      <c r="C96" s="358">
        <v>22</v>
      </c>
      <c r="D96" s="358">
        <v>6.0487804878048781</v>
      </c>
      <c r="E96" s="354">
        <v>6.9</v>
      </c>
      <c r="F96" s="348">
        <v>6.7777777777777777</v>
      </c>
      <c r="G96" s="354">
        <v>5.7777777777777777</v>
      </c>
      <c r="H96" s="354">
        <v>5.0769230769230766</v>
      </c>
      <c r="I96" t="str">
        <f t="shared" si="4"/>
        <v xml:space="preserve">Presidenza del Consiglio dei ministri                                                       </v>
      </c>
      <c r="L96"/>
      <c r="N96" s="49"/>
      <c r="V96"/>
      <c r="X96" s="49"/>
      <c r="AF96"/>
      <c r="AL96" s="49"/>
      <c r="AT96"/>
    </row>
    <row r="97" spans="2:46">
      <c r="B97" s="347" t="s">
        <v>350</v>
      </c>
      <c r="C97" s="358">
        <v>33</v>
      </c>
      <c r="D97" s="358">
        <v>7.9268292682926829</v>
      </c>
      <c r="E97" s="354">
        <v>8.1</v>
      </c>
      <c r="F97" s="348">
        <v>10</v>
      </c>
      <c r="G97" s="354">
        <v>7.7777777777777777</v>
      </c>
      <c r="H97" s="354">
        <v>6.4615384615384617</v>
      </c>
      <c r="I97" t="str">
        <f t="shared" si="4"/>
        <v xml:space="preserve">Corte dei conti                                                                                     </v>
      </c>
      <c r="L97"/>
      <c r="N97" s="49"/>
      <c r="V97"/>
      <c r="X97" s="49"/>
      <c r="AF97"/>
      <c r="AL97" s="49"/>
      <c r="AT97"/>
    </row>
    <row r="98" spans="2:46">
      <c r="B98" s="347" t="s">
        <v>451</v>
      </c>
      <c r="C98" s="349">
        <v>34</v>
      </c>
      <c r="D98" s="349">
        <v>8.2682926829268286</v>
      </c>
      <c r="E98" s="355">
        <v>9.1</v>
      </c>
      <c r="F98" s="34">
        <v>8.2222222222222214</v>
      </c>
      <c r="G98" s="355">
        <v>6.8888888888888893</v>
      </c>
      <c r="H98" s="355">
        <v>8.615384615384615</v>
      </c>
      <c r="I98" t="str">
        <f t="shared" si="4"/>
        <v xml:space="preserve">Istituto superiore di sanità                                                                        </v>
      </c>
      <c r="L98"/>
      <c r="N98" s="49"/>
      <c r="V98"/>
      <c r="X98" s="49"/>
      <c r="AF98"/>
      <c r="AL98" s="49"/>
      <c r="AT98"/>
    </row>
    <row r="99" spans="2:46">
      <c r="B99" s="347" t="s">
        <v>329</v>
      </c>
      <c r="C99" s="349">
        <v>36</v>
      </c>
      <c r="D99" s="349">
        <v>7.9512195121951219</v>
      </c>
      <c r="E99" s="355">
        <v>8.1999999999999993</v>
      </c>
      <c r="F99" s="34">
        <v>8</v>
      </c>
      <c r="G99" s="355">
        <v>8</v>
      </c>
      <c r="H99" s="355">
        <v>7.6923076923076925</v>
      </c>
      <c r="I99" t="str">
        <f t="shared" si="4"/>
        <v xml:space="preserve">Istituto dei postelegrafonici                                                                       </v>
      </c>
      <c r="L99"/>
      <c r="N99" s="49"/>
      <c r="V99"/>
      <c r="X99" s="49"/>
      <c r="AF99"/>
      <c r="AL99" s="49"/>
      <c r="AT99"/>
    </row>
    <row r="100" spans="2:46">
      <c r="B100" s="347" t="s">
        <v>426</v>
      </c>
      <c r="C100" s="349">
        <v>37</v>
      </c>
      <c r="D100" s="349">
        <v>8.536585365853659</v>
      </c>
      <c r="E100" s="355">
        <v>6.2</v>
      </c>
      <c r="F100" s="34">
        <v>9.5555555555555554</v>
      </c>
      <c r="G100" s="355">
        <v>8.4444444444444446</v>
      </c>
      <c r="H100" s="355">
        <v>9.6923076923076916</v>
      </c>
      <c r="I100" t="str">
        <f t="shared" si="4"/>
        <v xml:space="preserve">Automobile club d'Italia                                                                            </v>
      </c>
      <c r="L100"/>
      <c r="N100" s="49"/>
      <c r="V100"/>
      <c r="X100" s="49"/>
      <c r="AF100"/>
      <c r="AL100" s="49"/>
      <c r="AT100"/>
    </row>
    <row r="101" spans="2:46">
      <c r="B101" s="347" t="s">
        <v>327</v>
      </c>
      <c r="C101" s="349">
        <v>44</v>
      </c>
      <c r="D101" s="349">
        <v>5.8536585365853657</v>
      </c>
      <c r="E101" s="355">
        <v>5</v>
      </c>
      <c r="F101" s="34">
        <v>3.8888888888888888</v>
      </c>
      <c r="G101" s="355">
        <v>7.2222222222222223</v>
      </c>
      <c r="H101" s="355">
        <v>6.9230769230769234</v>
      </c>
      <c r="I101" t="str">
        <f t="shared" si="4"/>
        <v xml:space="preserve">Ente per le nuove tecnologie, l'energia e l'ambiente                                                </v>
      </c>
      <c r="L101"/>
      <c r="N101" s="49"/>
      <c r="V101"/>
      <c r="X101" s="49"/>
      <c r="AF101"/>
      <c r="AL101" s="49"/>
      <c r="AT101"/>
    </row>
    <row r="102" spans="2:46">
      <c r="B102" s="347" t="s">
        <v>403</v>
      </c>
      <c r="C102" s="349">
        <v>45</v>
      </c>
      <c r="D102" s="349">
        <v>6.8048780487804876</v>
      </c>
      <c r="E102" s="355">
        <v>5</v>
      </c>
      <c r="F102" s="34">
        <v>8.4444444444444446</v>
      </c>
      <c r="G102" s="355">
        <v>8.3333333333333339</v>
      </c>
      <c r="H102" s="355">
        <v>6</v>
      </c>
      <c r="I102" t="str">
        <f t="shared" si="4"/>
        <v xml:space="preserve">Istituto nazionale per il commercio estero                                                          </v>
      </c>
      <c r="L102"/>
      <c r="N102" s="49"/>
      <c r="V102"/>
      <c r="X102" s="49"/>
      <c r="AF102"/>
      <c r="AL102" s="49"/>
      <c r="AT102"/>
    </row>
    <row r="103" spans="2:46">
      <c r="B103" s="347" t="s">
        <v>354</v>
      </c>
      <c r="C103" s="349">
        <v>46</v>
      </c>
      <c r="D103" s="349">
        <v>8.2195121951219505</v>
      </c>
      <c r="E103" s="355">
        <v>8.5</v>
      </c>
      <c r="F103" s="34">
        <v>7.333333333333333</v>
      </c>
      <c r="G103" s="355">
        <v>7.7777777777777777</v>
      </c>
      <c r="H103" s="355">
        <v>8.9230769230769234</v>
      </c>
      <c r="I103" t="str">
        <f t="shared" si="4"/>
        <v xml:space="preserve">Istituto nazionale per l'assicurazione infortuni sul lavoro                                         </v>
      </c>
      <c r="L103"/>
      <c r="N103" s="49"/>
      <c r="V103"/>
      <c r="X103" s="49"/>
      <c r="AF103"/>
      <c r="AL103" s="49"/>
      <c r="AT103"/>
    </row>
    <row r="104" spans="2:46">
      <c r="B104" s="347" t="s">
        <v>341</v>
      </c>
      <c r="C104" s="349">
        <v>48</v>
      </c>
      <c r="D104" s="349">
        <v>7.9024390243902438</v>
      </c>
      <c r="E104" s="355">
        <v>9</v>
      </c>
      <c r="F104" s="34">
        <v>10</v>
      </c>
      <c r="G104" s="355">
        <v>7.333333333333333</v>
      </c>
      <c r="H104" s="355">
        <v>6</v>
      </c>
      <c r="I104" t="str">
        <f t="shared" si="4"/>
        <v xml:space="preserve">Istituto nazionale di previdenza dei dipendenti dell'amministrazione pubblica                       </v>
      </c>
      <c r="L104"/>
      <c r="N104" s="49"/>
      <c r="V104"/>
      <c r="X104" s="49"/>
      <c r="AF104"/>
      <c r="AL104" s="49"/>
      <c r="AT104"/>
    </row>
    <row r="105" spans="2:46">
      <c r="B105" s="347" t="s">
        <v>373</v>
      </c>
      <c r="C105" s="349">
        <v>50</v>
      </c>
      <c r="D105" s="349">
        <v>8.6829268292682933</v>
      </c>
      <c r="E105" s="355">
        <v>9.1</v>
      </c>
      <c r="F105" s="34">
        <v>10</v>
      </c>
      <c r="G105" s="355">
        <v>9.2222222222222214</v>
      </c>
      <c r="H105" s="355">
        <v>7.0769230769230766</v>
      </c>
      <c r="I105" t="str">
        <f t="shared" si="4"/>
        <v xml:space="preserve">Istituto nazionale per la previdenza sociale                                                        </v>
      </c>
      <c r="L105"/>
      <c r="N105" s="49"/>
      <c r="V105"/>
      <c r="X105" s="49"/>
      <c r="AF105"/>
      <c r="AL105" s="49"/>
      <c r="AT105"/>
    </row>
    <row r="106" spans="2:46">
      <c r="B106" s="347" t="s">
        <v>352</v>
      </c>
      <c r="C106" s="349">
        <v>52</v>
      </c>
      <c r="D106" s="349">
        <v>8.6097560975609753</v>
      </c>
      <c r="E106" s="355">
        <v>7.9</v>
      </c>
      <c r="F106" s="34">
        <v>7.333333333333333</v>
      </c>
      <c r="G106" s="355">
        <v>9.1111111111111107</v>
      </c>
      <c r="H106" s="355">
        <v>9.6923076923076916</v>
      </c>
      <c r="I106" t="str">
        <f t="shared" si="4"/>
        <v xml:space="preserve">Arma dei Carabinieri                                                                                </v>
      </c>
      <c r="L106"/>
      <c r="N106" s="49"/>
      <c r="V106"/>
      <c r="X106" s="49"/>
      <c r="AF106"/>
      <c r="AL106" s="49"/>
      <c r="AT106"/>
    </row>
    <row r="107" spans="2:46">
      <c r="B107" s="347" t="s">
        <v>357</v>
      </c>
      <c r="C107" s="358">
        <v>57</v>
      </c>
      <c r="D107" s="358">
        <v>4.4146341463414638</v>
      </c>
      <c r="E107" s="354">
        <v>4.4000000000000004</v>
      </c>
      <c r="F107" s="348">
        <v>6.333333333333333</v>
      </c>
      <c r="G107" s="354">
        <v>5.1111111111111107</v>
      </c>
      <c r="H107" s="354">
        <v>2.6153846153846154</v>
      </c>
      <c r="I107" t="str">
        <f t="shared" si="4"/>
        <v xml:space="preserve">Avvocatura Generale dello Stato                                  </v>
      </c>
      <c r="L107"/>
      <c r="N107" s="49"/>
      <c r="V107"/>
      <c r="X107" s="49"/>
      <c r="AF107"/>
      <c r="AL107" s="49"/>
      <c r="AT107"/>
    </row>
    <row r="108" spans="2:46">
      <c r="B108" s="347" t="s">
        <v>450</v>
      </c>
      <c r="C108" s="349">
        <v>60</v>
      </c>
      <c r="D108" s="349">
        <v>4.5365853658536581</v>
      </c>
      <c r="E108" s="355">
        <v>5.6</v>
      </c>
      <c r="F108" s="34">
        <v>6.666666666666667</v>
      </c>
      <c r="G108" s="355">
        <v>5.5555555555555554</v>
      </c>
      <c r="H108" s="355">
        <v>1.5384615384615385</v>
      </c>
      <c r="I108" t="str">
        <f t="shared" si="4"/>
        <v xml:space="preserve">Istituto nazionale di economia agraria                                                       </v>
      </c>
      <c r="L108"/>
      <c r="N108" s="49"/>
      <c r="V108"/>
      <c r="X108" s="49"/>
      <c r="AF108"/>
      <c r="AL108" s="49"/>
      <c r="AT108"/>
    </row>
    <row r="109" spans="2:46">
      <c r="B109" s="347" t="s">
        <v>398</v>
      </c>
      <c r="C109" s="349">
        <v>61</v>
      </c>
      <c r="D109" s="349">
        <v>1.4146341463414633</v>
      </c>
      <c r="E109" s="355">
        <v>3.2</v>
      </c>
      <c r="F109" s="34">
        <v>2.4444444444444446</v>
      </c>
      <c r="G109" s="355">
        <v>0.22222222222222221</v>
      </c>
      <c r="H109" s="355">
        <v>0.15384615384615385</v>
      </c>
      <c r="I109" t="str">
        <f t="shared" si="4"/>
        <v xml:space="preserve">Ente nazionale assistenza magistrale                                                                </v>
      </c>
      <c r="L109"/>
      <c r="N109" s="49"/>
      <c r="V109"/>
      <c r="X109" s="49"/>
      <c r="AF109"/>
      <c r="AL109" s="49"/>
      <c r="AT109"/>
    </row>
    <row r="110" spans="2:46">
      <c r="B110" s="347" t="s">
        <v>351</v>
      </c>
      <c r="C110" s="349">
        <v>62</v>
      </c>
      <c r="D110" s="349">
        <v>7.3658536585365857</v>
      </c>
      <c r="E110" s="355">
        <v>8.4</v>
      </c>
      <c r="F110" s="34">
        <v>7.7777777777777777</v>
      </c>
      <c r="G110" s="355">
        <v>5.1111111111111107</v>
      </c>
      <c r="H110" s="355">
        <v>7.8461538461538458</v>
      </c>
      <c r="I110" t="str">
        <f t="shared" si="4"/>
        <v xml:space="preserve">Ente nazionale previdenza assistenza lavoratori dello spettacolo                                    </v>
      </c>
      <c r="L110"/>
      <c r="N110" s="49"/>
      <c r="V110"/>
      <c r="X110" s="49"/>
      <c r="AF110"/>
      <c r="AL110" s="49"/>
      <c r="AT110"/>
    </row>
    <row r="111" spans="2:46">
      <c r="B111" s="347" t="s">
        <v>430</v>
      </c>
      <c r="C111" s="349">
        <v>64</v>
      </c>
      <c r="D111" s="349">
        <v>5.6829268292682924</v>
      </c>
      <c r="E111" s="355">
        <v>7</v>
      </c>
      <c r="F111" s="34">
        <v>5.2222222222222223</v>
      </c>
      <c r="G111" s="355">
        <v>4.4444444444444446</v>
      </c>
      <c r="H111" s="355">
        <v>5.8461538461538458</v>
      </c>
      <c r="I111" t="str">
        <f t="shared" si="4"/>
        <v xml:space="preserve">Unione nazionale incremento razze equine                                                            </v>
      </c>
      <c r="L111"/>
      <c r="N111" s="49"/>
      <c r="V111"/>
      <c r="X111" s="49"/>
      <c r="AF111"/>
      <c r="AL111" s="49"/>
      <c r="AT111"/>
    </row>
    <row r="112" spans="2:46">
      <c r="B112" s="347" t="s">
        <v>328</v>
      </c>
      <c r="C112" s="349">
        <v>68</v>
      </c>
      <c r="D112" s="349">
        <v>4.1707317073170733</v>
      </c>
      <c r="E112" s="355">
        <v>5.4</v>
      </c>
      <c r="F112" s="34">
        <v>4.333333333333333</v>
      </c>
      <c r="G112" s="355">
        <v>6.666666666666667</v>
      </c>
      <c r="H112" s="355">
        <v>1.3846153846153846</v>
      </c>
      <c r="I112" t="str">
        <f t="shared" si="4"/>
        <v xml:space="preserve">Ente nazionale italiano per il turismo                                                              </v>
      </c>
      <c r="L112"/>
      <c r="N112" s="49"/>
      <c r="V112"/>
      <c r="X112" s="49"/>
      <c r="AF112"/>
      <c r="AL112" s="49"/>
      <c r="AT112"/>
    </row>
    <row r="113" spans="2:46">
      <c r="B113" s="347" t="s">
        <v>338</v>
      </c>
      <c r="C113" s="349">
        <v>71</v>
      </c>
      <c r="D113" s="349">
        <v>7.1707317073170733</v>
      </c>
      <c r="E113" s="355">
        <v>7.7</v>
      </c>
      <c r="F113" s="34">
        <v>8.2222222222222214</v>
      </c>
      <c r="G113" s="355">
        <v>6.5555555555555554</v>
      </c>
      <c r="H113" s="355">
        <v>6.4615384615384617</v>
      </c>
      <c r="I113" t="str">
        <f t="shared" si="4"/>
        <v xml:space="preserve">Ministero dell'economia e finanze - Area tesoro        </v>
      </c>
      <c r="L113"/>
      <c r="N113" s="49"/>
      <c r="V113"/>
      <c r="X113" s="49"/>
      <c r="AF113"/>
      <c r="AL113" s="49"/>
      <c r="AT113"/>
    </row>
    <row r="114" spans="2:46">
      <c r="B114" s="347" t="s">
        <v>431</v>
      </c>
      <c r="C114" s="349">
        <v>75</v>
      </c>
      <c r="D114" s="349">
        <v>7.7804878048780486</v>
      </c>
      <c r="E114" s="355">
        <v>7.7</v>
      </c>
      <c r="F114" s="34">
        <v>7.7777777777777777</v>
      </c>
      <c r="G114" s="355">
        <v>7.333333333333333</v>
      </c>
      <c r="H114" s="355">
        <v>8.1538461538461533</v>
      </c>
      <c r="I114" t="str">
        <f t="shared" si="4"/>
        <v xml:space="preserve">Ministero delle infrastrutture e dei trasporti                                            </v>
      </c>
      <c r="L114"/>
      <c r="N114" s="49"/>
      <c r="V114"/>
      <c r="X114" s="49"/>
      <c r="AF114"/>
      <c r="AL114" s="49"/>
      <c r="AT114"/>
    </row>
    <row r="115" spans="2:46">
      <c r="B115" s="347" t="s">
        <v>309</v>
      </c>
      <c r="C115" s="349">
        <v>77</v>
      </c>
      <c r="D115" s="349">
        <v>4.2926829268292686</v>
      </c>
      <c r="E115" s="355">
        <v>5.9</v>
      </c>
      <c r="F115" s="34">
        <v>6.333333333333333</v>
      </c>
      <c r="G115" s="355">
        <v>6.666666666666667</v>
      </c>
      <c r="H115" s="355">
        <v>0</v>
      </c>
      <c r="I115" t="str">
        <f t="shared" si="4"/>
        <v xml:space="preserve">Istituto di Studi per l'Analisi Economica                                                           </v>
      </c>
      <c r="L115"/>
      <c r="N115" s="49"/>
      <c r="V115"/>
      <c r="X115" s="49"/>
      <c r="AF115"/>
      <c r="AL115" s="49"/>
      <c r="AT115"/>
    </row>
    <row r="116" spans="2:46">
      <c r="B116" s="347" t="s">
        <v>356</v>
      </c>
      <c r="C116" s="358">
        <v>82</v>
      </c>
      <c r="D116" s="358">
        <v>6.7317073170731705</v>
      </c>
      <c r="E116" s="354">
        <v>8.1</v>
      </c>
      <c r="F116" s="348">
        <v>8.3333333333333339</v>
      </c>
      <c r="G116" s="354">
        <v>4.2222222222222223</v>
      </c>
      <c r="H116" s="354">
        <v>6.3076923076923075</v>
      </c>
      <c r="I116" t="str">
        <f t="shared" si="4"/>
        <v xml:space="preserve">Scuola Superiore della Pubblica Amministrazione                                               </v>
      </c>
      <c r="L116"/>
      <c r="N116" s="49"/>
      <c r="V116"/>
      <c r="X116" s="49"/>
      <c r="AF116"/>
      <c r="AL116" s="49"/>
      <c r="AT116"/>
    </row>
    <row r="117" spans="2:46">
      <c r="B117" s="347" t="s">
        <v>333</v>
      </c>
      <c r="C117" s="358">
        <v>101</v>
      </c>
      <c r="D117" s="358">
        <v>4.6097560975609753</v>
      </c>
      <c r="E117" s="354">
        <v>5.6</v>
      </c>
      <c r="F117" s="348">
        <v>3.8888888888888888</v>
      </c>
      <c r="G117" s="354">
        <v>2.8888888888888888</v>
      </c>
      <c r="H117" s="354">
        <v>5.5384615384615383</v>
      </c>
      <c r="I117" t="str">
        <f t="shared" si="4"/>
        <v xml:space="preserve">Consiglio di Stato                                                                                  </v>
      </c>
      <c r="L117"/>
      <c r="N117" s="49"/>
      <c r="V117"/>
      <c r="X117" s="49"/>
      <c r="AF117"/>
      <c r="AL117" s="49"/>
      <c r="AT117"/>
    </row>
    <row r="118" spans="2:46">
      <c r="B118" s="347" t="s">
        <v>405</v>
      </c>
      <c r="C118" s="358">
        <v>102</v>
      </c>
      <c r="D118" s="358">
        <v>5.7317073170731705</v>
      </c>
      <c r="E118" s="354">
        <v>8.5</v>
      </c>
      <c r="F118" s="348">
        <v>7.333333333333333</v>
      </c>
      <c r="G118" s="354">
        <v>5.1111111111111107</v>
      </c>
      <c r="H118" s="354">
        <v>2.9230769230769229</v>
      </c>
      <c r="I118" t="str">
        <f t="shared" si="4"/>
        <v>Ministero dell'ambiente e della tutela del territorio</v>
      </c>
      <c r="L118"/>
      <c r="N118" s="49"/>
      <c r="V118"/>
      <c r="X118" s="49"/>
      <c r="AF118"/>
      <c r="AL118" s="49"/>
      <c r="AT118"/>
    </row>
    <row r="119" spans="2:46">
      <c r="B119" s="347" t="s">
        <v>35</v>
      </c>
      <c r="C119" s="359">
        <v>103</v>
      </c>
      <c r="D119" s="359">
        <v>6.6341463414634143</v>
      </c>
      <c r="E119" s="355">
        <v>9.1999999999999993</v>
      </c>
      <c r="F119" s="34">
        <v>8.4444444444444446</v>
      </c>
      <c r="G119" s="355">
        <v>8.8888888888888893</v>
      </c>
      <c r="H119" s="355">
        <v>1.8461538461538463</v>
      </c>
      <c r="I119" t="str">
        <f t="shared" si="4"/>
        <v>Ministero dello sviluppo economico</v>
      </c>
      <c r="L119"/>
      <c r="N119" s="49"/>
      <c r="V119"/>
      <c r="X119" s="49"/>
      <c r="AF119"/>
      <c r="AL119" s="49"/>
      <c r="AT119"/>
    </row>
    <row r="120" spans="2:46">
      <c r="B120" s="347" t="s">
        <v>36</v>
      </c>
      <c r="C120" s="359">
        <v>104</v>
      </c>
      <c r="D120" s="359">
        <v>4.5609756097560972</v>
      </c>
      <c r="E120" s="355">
        <v>4.2</v>
      </c>
      <c r="F120" s="34">
        <v>5.2222222222222223</v>
      </c>
      <c r="G120" s="355">
        <v>3.5555555555555554</v>
      </c>
      <c r="H120" s="355">
        <v>5.0769230769230766</v>
      </c>
      <c r="I120" t="str">
        <f t="shared" si="4"/>
        <v xml:space="preserve">Ministero del commercio internazionale       </v>
      </c>
      <c r="L120"/>
      <c r="N120" s="49"/>
      <c r="V120"/>
      <c r="X120" s="49"/>
      <c r="AF120"/>
      <c r="AL120" s="49"/>
      <c r="AT120"/>
    </row>
    <row r="121" spans="2:46">
      <c r="B121" s="347" t="s">
        <v>408</v>
      </c>
      <c r="C121" s="349">
        <v>105</v>
      </c>
      <c r="D121" s="349">
        <v>9.1707317073170724</v>
      </c>
      <c r="E121" s="355">
        <v>9.6</v>
      </c>
      <c r="F121" s="34">
        <v>8.4444444444444446</v>
      </c>
      <c r="G121" s="355">
        <v>9.5555555555555554</v>
      </c>
      <c r="H121" s="355">
        <v>9.0769230769230766</v>
      </c>
      <c r="I121" t="str">
        <f t="shared" si="4"/>
        <v>Dipartimento delle Politiche Fiscali</v>
      </c>
      <c r="L121"/>
      <c r="N121" s="49"/>
      <c r="V121"/>
      <c r="X121" s="49"/>
      <c r="AF121"/>
      <c r="AL121" s="49"/>
      <c r="AT121"/>
    </row>
    <row r="122" spans="2:46">
      <c r="B122" s="347" t="s">
        <v>409</v>
      </c>
      <c r="C122" s="349">
        <v>106</v>
      </c>
      <c r="D122" s="349">
        <v>8.4146341463414629</v>
      </c>
      <c r="E122" s="355">
        <v>7.7</v>
      </c>
      <c r="F122" s="34">
        <v>7.333333333333333</v>
      </c>
      <c r="G122" s="355">
        <v>9.5555555555555554</v>
      </c>
      <c r="H122" s="355">
        <v>8.9230769230769234</v>
      </c>
      <c r="I122" t="str">
        <f t="shared" si="4"/>
        <v>AGENZIA DELLE DOGANE</v>
      </c>
      <c r="L122"/>
      <c r="N122" s="49"/>
      <c r="V122"/>
      <c r="X122" s="49"/>
      <c r="AF122"/>
      <c r="AL122" s="49"/>
      <c r="AT122"/>
    </row>
    <row r="123" spans="2:46">
      <c r="B123" s="347" t="s">
        <v>410</v>
      </c>
      <c r="C123" s="349">
        <v>107</v>
      </c>
      <c r="D123" s="349">
        <v>0.34146341463414637</v>
      </c>
      <c r="E123" s="355">
        <v>0</v>
      </c>
      <c r="F123" s="34">
        <v>1.1111111111111112</v>
      </c>
      <c r="G123" s="355">
        <v>0.22222222222222221</v>
      </c>
      <c r="H123" s="355">
        <v>0.15384615384615385</v>
      </c>
      <c r="I123" t="str">
        <f t="shared" si="4"/>
        <v>AGENZIA DELLE ENTRATE</v>
      </c>
      <c r="L123"/>
      <c r="N123" s="49"/>
      <c r="V123"/>
      <c r="X123" s="49"/>
      <c r="AF123"/>
      <c r="AL123" s="49"/>
      <c r="AT123"/>
    </row>
    <row r="124" spans="2:46">
      <c r="B124" s="347" t="s">
        <v>411</v>
      </c>
      <c r="C124" s="349">
        <v>108</v>
      </c>
      <c r="D124" s="349">
        <v>2.0975609756097562</v>
      </c>
      <c r="E124" s="355">
        <v>0</v>
      </c>
      <c r="F124" s="34">
        <v>9.1111111111111107</v>
      </c>
      <c r="G124" s="355">
        <v>0.22222222222222221</v>
      </c>
      <c r="H124" s="355">
        <v>0.15384615384615385</v>
      </c>
      <c r="I124" t="str">
        <f t="shared" si="4"/>
        <v>AGENZIA DEL TERRITORIO</v>
      </c>
      <c r="L124"/>
      <c r="N124" s="49"/>
      <c r="V124"/>
      <c r="X124" s="49"/>
      <c r="AF124"/>
      <c r="AL124" s="49"/>
      <c r="AT124"/>
    </row>
    <row r="125" spans="2:46">
      <c r="B125" s="347" t="s">
        <v>337</v>
      </c>
      <c r="C125" s="349">
        <v>109</v>
      </c>
      <c r="D125" s="349">
        <v>7.8048780487804876</v>
      </c>
      <c r="E125" s="355">
        <v>8.6</v>
      </c>
      <c r="F125" s="34">
        <v>9.5555555555555554</v>
      </c>
      <c r="G125" s="355">
        <v>7.333333333333333</v>
      </c>
      <c r="H125" s="355">
        <v>6.3076923076923075</v>
      </c>
      <c r="I125" t="str">
        <f t="shared" si="4"/>
        <v xml:space="preserve">Comando Generale Guardia di finanza                               </v>
      </c>
      <c r="L125"/>
      <c r="N125" s="49"/>
      <c r="V125"/>
      <c r="X125" s="49"/>
      <c r="AF125"/>
      <c r="AL125" s="49"/>
      <c r="AT125"/>
    </row>
    <row r="126" spans="2:46">
      <c r="B126" s="347" t="s">
        <v>248</v>
      </c>
      <c r="C126" s="349">
        <v>110</v>
      </c>
      <c r="D126" s="349">
        <v>8.7317073170731714</v>
      </c>
      <c r="E126" s="355">
        <v>8.8000000000000007</v>
      </c>
      <c r="F126" s="34">
        <v>9.3333333333333339</v>
      </c>
      <c r="G126" s="355">
        <v>9.1111111111111107</v>
      </c>
      <c r="H126" s="355">
        <v>8</v>
      </c>
      <c r="I126" t="str">
        <f t="shared" si="4"/>
        <v xml:space="preserve">Ministero dell'interno                                                                              </v>
      </c>
      <c r="L126"/>
      <c r="N126" s="49"/>
      <c r="V126"/>
      <c r="X126" s="49"/>
      <c r="AF126"/>
      <c r="AL126" s="49"/>
      <c r="AT126"/>
    </row>
    <row r="127" spans="2:46">
      <c r="B127" s="347" t="s">
        <v>249</v>
      </c>
      <c r="C127" s="349">
        <v>111</v>
      </c>
      <c r="D127" s="349">
        <v>7.0487804878048781</v>
      </c>
      <c r="E127" s="355">
        <v>7.7</v>
      </c>
      <c r="F127" s="34">
        <v>8.4444444444444446</v>
      </c>
      <c r="G127" s="355">
        <v>7.7777777777777777</v>
      </c>
      <c r="H127" s="355">
        <v>5.0769230769230766</v>
      </c>
      <c r="I127" t="str">
        <f t="shared" si="4"/>
        <v xml:space="preserve">Ministero delle politiche agricole e forestali                                                      </v>
      </c>
      <c r="L127"/>
      <c r="N127" s="49"/>
      <c r="V127"/>
      <c r="X127" s="49"/>
      <c r="AF127"/>
      <c r="AL127" s="49"/>
      <c r="AT127"/>
    </row>
    <row r="128" spans="2:46">
      <c r="B128" s="347" t="s">
        <v>250</v>
      </c>
      <c r="C128" s="349">
        <v>112</v>
      </c>
      <c r="D128" s="349">
        <v>7.0975609756097562</v>
      </c>
      <c r="E128" s="355">
        <v>9.8000000000000007</v>
      </c>
      <c r="F128" s="34">
        <v>9</v>
      </c>
      <c r="G128" s="355">
        <v>7.333333333333333</v>
      </c>
      <c r="H128" s="355">
        <v>3.5384615384615383</v>
      </c>
      <c r="I128" t="str">
        <f t="shared" si="4"/>
        <v xml:space="preserve">Corpo forestale dello Stato                                                                         </v>
      </c>
      <c r="L128"/>
      <c r="N128" s="49"/>
      <c r="V128"/>
      <c r="X128" s="49"/>
      <c r="AF128"/>
      <c r="AL128" s="49"/>
      <c r="AT128"/>
    </row>
    <row r="129" spans="2:46">
      <c r="B129" s="347" t="s">
        <v>342</v>
      </c>
      <c r="C129" s="349">
        <v>113</v>
      </c>
      <c r="D129" s="349">
        <v>8.2195121951219505</v>
      </c>
      <c r="E129" s="355">
        <v>7.1</v>
      </c>
      <c r="F129" s="34">
        <v>9.1111111111111107</v>
      </c>
      <c r="G129" s="355">
        <v>9.1111111111111107</v>
      </c>
      <c r="H129" s="355">
        <v>7.8461538461538458</v>
      </c>
      <c r="I129" t="str">
        <f t="shared" si="4"/>
        <v xml:space="preserve">Agenzia per le erogazioni in agricoltura                                                            </v>
      </c>
      <c r="L129"/>
      <c r="N129" s="49"/>
      <c r="V129"/>
      <c r="X129" s="49"/>
      <c r="AF129"/>
      <c r="AL129" s="49"/>
      <c r="AT129"/>
    </row>
    <row r="130" spans="2:46">
      <c r="B130" s="347" t="s">
        <v>343</v>
      </c>
      <c r="C130" s="349">
        <v>114</v>
      </c>
      <c r="D130" s="349">
        <v>5.8048780487804876</v>
      </c>
      <c r="E130" s="355">
        <v>3.4</v>
      </c>
      <c r="F130" s="34">
        <v>8.8888888888888893</v>
      </c>
      <c r="G130" s="355">
        <v>7.333333333333333</v>
      </c>
      <c r="H130" s="355">
        <v>4.4615384615384617</v>
      </c>
      <c r="I130" t="str">
        <f t="shared" si="4"/>
        <v xml:space="preserve">Consiglio nazionale delle ricerche                                                                  </v>
      </c>
      <c r="L130"/>
      <c r="N130" s="49"/>
      <c r="V130"/>
      <c r="X130" s="49"/>
      <c r="AF130"/>
      <c r="AL130" s="49"/>
      <c r="AT130"/>
    </row>
    <row r="131" spans="2:46">
      <c r="B131" s="347" t="s">
        <v>344</v>
      </c>
      <c r="C131" s="349">
        <v>115</v>
      </c>
      <c r="D131" s="349">
        <v>6.8048780487804876</v>
      </c>
      <c r="E131" s="355">
        <v>6.5</v>
      </c>
      <c r="F131" s="34">
        <v>10</v>
      </c>
      <c r="G131" s="355">
        <v>6.666666666666667</v>
      </c>
      <c r="H131" s="355">
        <v>4.9230769230769234</v>
      </c>
      <c r="I131" t="str">
        <f t="shared" si="4"/>
        <v xml:space="preserve">Croce rossa italiana                                                                                </v>
      </c>
      <c r="L131"/>
      <c r="N131" s="49"/>
      <c r="V131"/>
      <c r="X131" s="49"/>
      <c r="AF131"/>
      <c r="AL131" s="49"/>
      <c r="AT131"/>
    </row>
    <row r="132" spans="2:46">
      <c r="B132" s="347" t="s">
        <v>172</v>
      </c>
      <c r="C132" s="349">
        <v>116</v>
      </c>
      <c r="D132" s="349">
        <v>7.6585365853658534</v>
      </c>
      <c r="E132" s="355">
        <v>7.2</v>
      </c>
      <c r="F132" s="34">
        <v>9.5555555555555554</v>
      </c>
      <c r="G132" s="355">
        <v>6.2222222222222223</v>
      </c>
      <c r="H132" s="355">
        <v>7.6923076923076925</v>
      </c>
      <c r="I132" t="str">
        <f t="shared" si="4"/>
        <v>Ente Nazionale per l'Aviazione Civile</v>
      </c>
      <c r="L132"/>
      <c r="N132" s="49"/>
      <c r="V132"/>
      <c r="X132" s="49"/>
      <c r="AF132"/>
      <c r="AL132" s="49"/>
      <c r="AT132"/>
    </row>
    <row r="133" spans="2:46">
      <c r="B133" s="347" t="s">
        <v>162</v>
      </c>
      <c r="C133" s="349">
        <v>117</v>
      </c>
      <c r="D133" s="349">
        <v>2.9512195121951219</v>
      </c>
      <c r="E133" s="355">
        <v>5.4</v>
      </c>
      <c r="F133" s="34">
        <v>3</v>
      </c>
      <c r="G133" s="355">
        <v>4.4444444444444446</v>
      </c>
      <c r="H133" s="355">
        <v>0</v>
      </c>
      <c r="I133" t="str">
        <f t="shared" si="4"/>
        <v xml:space="preserve">Istituto italiano di medicina sociale                                                               </v>
      </c>
      <c r="L133"/>
      <c r="N133" s="49"/>
      <c r="V133"/>
      <c r="X133" s="49"/>
      <c r="AF133"/>
      <c r="AL133" s="49"/>
      <c r="AT133"/>
    </row>
    <row r="134" spans="2:46">
      <c r="B134" s="347" t="s">
        <v>163</v>
      </c>
      <c r="C134" s="349">
        <v>118</v>
      </c>
      <c r="D134" s="349">
        <v>5.5853658536585362</v>
      </c>
      <c r="E134" s="355">
        <v>5.4</v>
      </c>
      <c r="F134" s="34">
        <v>3.6666666666666665</v>
      </c>
      <c r="G134" s="355">
        <v>6.666666666666667</v>
      </c>
      <c r="H134" s="355">
        <v>6.3076923076923075</v>
      </c>
      <c r="I134" t="str">
        <f t="shared" si="4"/>
        <v xml:space="preserve">Istituto nazionale per le conserve alimentari                                                       </v>
      </c>
      <c r="L134"/>
      <c r="N134" s="49"/>
      <c r="V134"/>
      <c r="X134" s="49"/>
      <c r="AF134"/>
      <c r="AL134" s="49"/>
      <c r="AT134"/>
    </row>
    <row r="135" spans="2:46">
      <c r="B135" s="347" t="s">
        <v>265</v>
      </c>
      <c r="C135" s="349">
        <v>119</v>
      </c>
      <c r="D135" s="349">
        <v>6.3414634146341466</v>
      </c>
      <c r="E135" s="355">
        <v>6.7</v>
      </c>
      <c r="F135" s="34">
        <v>7.4444444444444446</v>
      </c>
      <c r="G135" s="355">
        <v>6.2222222222222223</v>
      </c>
      <c r="H135" s="355">
        <v>5.384615384615385</v>
      </c>
      <c r="I135" t="str">
        <f t="shared" si="4"/>
        <v xml:space="preserve">Istituto di previdenza del settore marittimo                                                        </v>
      </c>
      <c r="L135"/>
      <c r="N135" s="49"/>
      <c r="V135"/>
      <c r="X135" s="49"/>
      <c r="AF135"/>
      <c r="AL135" s="49"/>
      <c r="AT135"/>
    </row>
    <row r="136" spans="2:46">
      <c r="B136" s="347" t="s">
        <v>267</v>
      </c>
      <c r="C136" s="349">
        <v>120</v>
      </c>
      <c r="D136" s="349">
        <v>7.3658536585365857</v>
      </c>
      <c r="E136" s="355">
        <v>8.9</v>
      </c>
      <c r="F136" s="34">
        <v>4.5555555555555554</v>
      </c>
      <c r="G136" s="355">
        <v>10</v>
      </c>
      <c r="H136" s="355">
        <v>6.3076923076923075</v>
      </c>
      <c r="I136" t="str">
        <f t="shared" si="4"/>
        <v xml:space="preserve">Istituto per lo sviluppo della formazione professionale dei lavoratori                              </v>
      </c>
      <c r="L136"/>
      <c r="N136" s="49"/>
      <c r="V136"/>
      <c r="X136" s="49"/>
      <c r="AF136"/>
      <c r="AL136" s="49"/>
      <c r="AT136"/>
    </row>
    <row r="137" spans="2:46">
      <c r="B137" s="347" t="s">
        <v>166</v>
      </c>
      <c r="C137" s="349">
        <v>121</v>
      </c>
      <c r="D137" s="349">
        <v>7.1463414634146343</v>
      </c>
      <c r="E137" s="355">
        <v>8.1999999999999993</v>
      </c>
      <c r="F137" s="34">
        <v>7.8888888888888893</v>
      </c>
      <c r="G137" s="355">
        <v>7.333333333333333</v>
      </c>
      <c r="H137" s="355">
        <v>5.6923076923076925</v>
      </c>
      <c r="I137" t="str">
        <f t="shared" si="4"/>
        <v xml:space="preserve">Istituto superiore per la prevenzione e la sicurezza del lavoro                                     </v>
      </c>
      <c r="L137"/>
      <c r="N137" s="49"/>
      <c r="V137"/>
      <c r="X137" s="49"/>
      <c r="AF137"/>
      <c r="AL137" s="49"/>
      <c r="AT137"/>
    </row>
    <row r="138" spans="2:46">
      <c r="B138" s="347" t="s">
        <v>82</v>
      </c>
      <c r="C138" s="349">
        <v>703</v>
      </c>
      <c r="D138" s="349">
        <v>6.3902439024390247</v>
      </c>
      <c r="E138" s="355">
        <v>4.8</v>
      </c>
      <c r="F138" s="34">
        <v>9.1111111111111107</v>
      </c>
      <c r="G138" s="355">
        <v>5.7777777777777777</v>
      </c>
      <c r="H138" s="355">
        <v>6.1538461538461542</v>
      </c>
      <c r="I138" t="str">
        <f t="shared" si="4"/>
        <v>Ministero dell'interno - Affari Interni e Territoriali - Demografici</v>
      </c>
      <c r="L138"/>
      <c r="N138" s="49"/>
      <c r="V138"/>
      <c r="X138" s="49"/>
      <c r="AF138"/>
      <c r="AL138" s="49"/>
      <c r="AT138"/>
    </row>
    <row r="139" spans="2:46">
      <c r="B139" s="347" t="s">
        <v>170</v>
      </c>
      <c r="C139" s="349">
        <v>705</v>
      </c>
      <c r="D139" s="349">
        <v>8.2195121951219505</v>
      </c>
      <c r="E139" s="355">
        <v>8</v>
      </c>
      <c r="F139" s="34">
        <v>7.666666666666667</v>
      </c>
      <c r="G139" s="355">
        <v>10</v>
      </c>
      <c r="H139" s="355">
        <v>7.5384615384615383</v>
      </c>
      <c r="I139" t="str">
        <f t="shared" si="4"/>
        <v>Ministero dell'interno - Libertà Civili e Immigrazione</v>
      </c>
      <c r="L139"/>
      <c r="N139" s="49"/>
      <c r="V139"/>
      <c r="X139" s="49"/>
      <c r="AF139"/>
      <c r="AL139" s="49"/>
      <c r="AT139"/>
    </row>
    <row r="140" spans="2:46">
      <c r="B140" s="347" t="s">
        <v>169</v>
      </c>
      <c r="C140" s="349">
        <v>707</v>
      </c>
      <c r="D140" s="349">
        <v>5.8048780487804876</v>
      </c>
      <c r="E140" s="355">
        <v>4.8</v>
      </c>
      <c r="F140" s="34">
        <v>6.4444444444444446</v>
      </c>
      <c r="G140" s="355">
        <v>6.666666666666667</v>
      </c>
      <c r="H140" s="355">
        <v>5.5384615384615383</v>
      </c>
      <c r="I140" t="str">
        <f t="shared" si="4"/>
        <v>Ministero dell'interno - Affari Interni e Territoriali - Elettorale</v>
      </c>
      <c r="L140"/>
      <c r="N140" s="49"/>
      <c r="V140"/>
      <c r="X140" s="49"/>
      <c r="AF140"/>
      <c r="AL140" s="49"/>
      <c r="AT140"/>
    </row>
    <row r="141" spans="2:46">
      <c r="B141" s="347" t="s">
        <v>171</v>
      </c>
      <c r="C141" s="349">
        <v>710</v>
      </c>
      <c r="D141" s="349">
        <v>7.9024390243902438</v>
      </c>
      <c r="E141" s="355">
        <v>9</v>
      </c>
      <c r="F141" s="34">
        <v>8.4444444444444446</v>
      </c>
      <c r="G141" s="355">
        <v>6.666666666666667</v>
      </c>
      <c r="H141" s="355">
        <v>7.5384615384615383</v>
      </c>
      <c r="I141" t="str">
        <f t="shared" si="4"/>
        <v>Ministero dell'interno - P.S. CED PS</v>
      </c>
      <c r="L141"/>
      <c r="N141" s="49"/>
      <c r="V141"/>
      <c r="X141" s="49"/>
      <c r="AF141"/>
      <c r="AL141" s="49"/>
      <c r="AT141"/>
    </row>
    <row r="142" spans="2:46">
      <c r="B142" s="347" t="s">
        <v>157</v>
      </c>
      <c r="C142" s="349" t="s">
        <v>173</v>
      </c>
      <c r="D142" s="349">
        <v>1.9512195121951219</v>
      </c>
      <c r="E142" s="355">
        <v>1.8</v>
      </c>
      <c r="F142" s="34">
        <v>1.1111111111111112</v>
      </c>
      <c r="G142" s="355">
        <v>4.4444444444444446</v>
      </c>
      <c r="H142" s="355">
        <v>0.92307692307692313</v>
      </c>
      <c r="I142" t="str">
        <f t="shared" si="4"/>
        <v>Stato Maggiore Esercito</v>
      </c>
      <c r="L142"/>
      <c r="N142" s="49"/>
      <c r="V142"/>
      <c r="X142" s="49"/>
      <c r="AF142"/>
      <c r="AL142" s="49"/>
      <c r="AT142"/>
    </row>
    <row r="143" spans="2:46">
      <c r="B143" s="347" t="s">
        <v>158</v>
      </c>
      <c r="C143" s="349">
        <v>302</v>
      </c>
      <c r="D143" s="349">
        <v>1.4634146341463414</v>
      </c>
      <c r="E143" s="355">
        <v>0.6</v>
      </c>
      <c r="F143" s="34">
        <v>2.2222222222222223</v>
      </c>
      <c r="G143" s="355">
        <v>2.4444444444444446</v>
      </c>
      <c r="H143" s="355">
        <v>0.92307692307692313</v>
      </c>
      <c r="I143" t="str">
        <f t="shared" si="4"/>
        <v>Stato Maggiore Marina</v>
      </c>
      <c r="L143"/>
      <c r="N143" s="49"/>
      <c r="V143"/>
      <c r="X143" s="49"/>
      <c r="AF143"/>
      <c r="AL143" s="49"/>
      <c r="AT143"/>
    </row>
    <row r="144" spans="2:46">
      <c r="B144" s="347" t="s">
        <v>159</v>
      </c>
      <c r="C144" s="349">
        <v>300</v>
      </c>
      <c r="D144" s="349">
        <v>2.5121951219512195</v>
      </c>
      <c r="E144" s="355">
        <v>1.8</v>
      </c>
      <c r="F144" s="34">
        <v>2.2222222222222223</v>
      </c>
      <c r="G144" s="355">
        <v>3.6666666666666665</v>
      </c>
      <c r="H144" s="355">
        <v>2.4615384615384617</v>
      </c>
      <c r="I144" t="str">
        <f t="shared" si="4"/>
        <v>Stato Maggiore Aeronautica</v>
      </c>
      <c r="L144"/>
      <c r="N144" s="49"/>
      <c r="V144"/>
      <c r="X144" s="49"/>
      <c r="AF144"/>
      <c r="AL144" s="49"/>
      <c r="AT144"/>
    </row>
    <row r="145" spans="2:46">
      <c r="B145" s="347" t="s">
        <v>80</v>
      </c>
      <c r="C145" s="349" t="s">
        <v>173</v>
      </c>
      <c r="D145" s="349">
        <v>2.7560975609756095</v>
      </c>
      <c r="E145" s="355">
        <v>4.4000000000000004</v>
      </c>
      <c r="F145" s="34">
        <v>2.3333333333333335</v>
      </c>
      <c r="G145" s="355">
        <v>3.3333333333333335</v>
      </c>
      <c r="H145" s="355">
        <v>1.3846153846153846</v>
      </c>
      <c r="I145" t="str">
        <f t="shared" si="4"/>
        <v>Ministero della giustizia - Dipartimento per la Giustizia Minorile</v>
      </c>
      <c r="L145"/>
      <c r="N145" s="49"/>
      <c r="V145"/>
      <c r="X145" s="49"/>
      <c r="AF145"/>
      <c r="AL145" s="49"/>
      <c r="AT145"/>
    </row>
    <row r="146" spans="2:46">
      <c r="B146" s="347" t="s">
        <v>81</v>
      </c>
      <c r="C146" s="349" t="s">
        <v>173</v>
      </c>
      <c r="D146" s="349">
        <v>5.9512195121951219</v>
      </c>
      <c r="E146" s="355">
        <v>7.5</v>
      </c>
      <c r="F146" s="34">
        <v>6.7777777777777777</v>
      </c>
      <c r="G146" s="355">
        <v>4</v>
      </c>
      <c r="H146" s="355">
        <v>5.5384615384615383</v>
      </c>
      <c r="I146" t="str">
        <f t="shared" si="4"/>
        <v>Ministero della giustizia - Dipartimento dell'Amministrazione Penitenziaria</v>
      </c>
      <c r="L146"/>
      <c r="N146" s="49"/>
      <c r="V146"/>
      <c r="X146" s="49"/>
      <c r="AF146"/>
      <c r="AL146" s="49"/>
      <c r="AT146"/>
    </row>
    <row r="147" spans="2:46">
      <c r="B147" s="25" t="s">
        <v>416</v>
      </c>
      <c r="C147" s="351">
        <v>711</v>
      </c>
      <c r="D147" s="351">
        <v>5</v>
      </c>
      <c r="E147" s="356">
        <v>5</v>
      </c>
      <c r="F147" s="350">
        <v>6.7777777777777777</v>
      </c>
      <c r="G147" s="356">
        <v>6.666666666666667</v>
      </c>
      <c r="H147" s="356">
        <v>2.6153846153846154</v>
      </c>
      <c r="I147" t="str">
        <f t="shared" si="4"/>
        <v>Ministero dell'interno - Vigili del  Fuoco</v>
      </c>
      <c r="L147"/>
      <c r="N147" s="49"/>
      <c r="V147"/>
      <c r="X147" s="49"/>
      <c r="AF147"/>
      <c r="AL147" s="49"/>
      <c r="AT147"/>
    </row>
    <row r="148" spans="2:46">
      <c r="B148" s="34" t="s">
        <v>275</v>
      </c>
      <c r="D148">
        <v>11230.845121951215</v>
      </c>
      <c r="E148">
        <v>9464.0111111111219</v>
      </c>
      <c r="F148">
        <v>8625.444444444438</v>
      </c>
      <c r="G148">
        <v>17779.944444444438</v>
      </c>
      <c r="H148">
        <v>7870.9743589743548</v>
      </c>
      <c r="L148"/>
      <c r="N148" s="49"/>
      <c r="V148"/>
      <c r="X148" s="49"/>
      <c r="AF148"/>
      <c r="AL148" s="49"/>
      <c r="AT148"/>
    </row>
    <row r="149" spans="2:46">
      <c r="B149" s="34"/>
      <c r="C149" t="s">
        <v>38</v>
      </c>
      <c r="E149">
        <v>0</v>
      </c>
      <c r="F149">
        <v>1.1111111111111112</v>
      </c>
      <c r="G149">
        <v>0.22222222222222221</v>
      </c>
      <c r="H149">
        <v>0</v>
      </c>
      <c r="L149"/>
      <c r="N149" s="49"/>
      <c r="V149"/>
      <c r="X149" s="49"/>
      <c r="AF149"/>
      <c r="AL149" s="49"/>
      <c r="AT149"/>
    </row>
    <row r="150" spans="2:46">
      <c r="B150" s="34"/>
      <c r="C150" t="s">
        <v>39</v>
      </c>
      <c r="E150">
        <v>9.8000000000000007</v>
      </c>
      <c r="F150">
        <v>10</v>
      </c>
      <c r="G150">
        <v>10</v>
      </c>
      <c r="H150">
        <v>9.6923076923076916</v>
      </c>
      <c r="L150"/>
      <c r="N150" s="49"/>
      <c r="V150"/>
      <c r="X150" s="49"/>
      <c r="AF150"/>
      <c r="AL150" s="49"/>
      <c r="AT150"/>
    </row>
  </sheetData>
  <sortState ref="B88:H148">
    <sortCondition ref="C89:C148"/>
  </sortState>
  <mergeCells count="4">
    <mergeCell ref="C2:M2"/>
    <mergeCell ref="N2:W2"/>
    <mergeCell ref="X2:AG2"/>
    <mergeCell ref="AH2:AU2"/>
  </mergeCells>
  <phoneticPr fontId="50" type="noConversion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 enableFormatConditionsCalculation="0"/>
  <dimension ref="A1:AZ143"/>
  <sheetViews>
    <sheetView workbookViewId="0">
      <selection activeCell="D86" sqref="D86"/>
    </sheetView>
  </sheetViews>
  <sheetFormatPr baseColWidth="10" defaultColWidth="8.83203125" defaultRowHeight="12" x14ac:dyDescent="0"/>
  <cols>
    <col min="1" max="1" width="6" style="435" customWidth="1"/>
    <col min="2" max="2" width="47.5" style="435" customWidth="1"/>
    <col min="3" max="11" width="5.6640625" style="435" customWidth="1"/>
    <col min="12" max="12" width="5.6640625" style="49" customWidth="1"/>
    <col min="13" max="13" width="8.6640625" style="435" customWidth="1"/>
    <col min="14" max="21" width="5.6640625" style="435" customWidth="1"/>
    <col min="22" max="22" width="5.6640625" style="49" customWidth="1"/>
    <col min="23" max="23" width="8.6640625" style="435" customWidth="1"/>
    <col min="24" max="31" width="5.6640625" style="435" customWidth="1"/>
    <col min="32" max="32" width="5.6640625" style="49" customWidth="1"/>
    <col min="33" max="33" width="8.6640625" style="435" customWidth="1"/>
    <col min="34" max="45" width="5.6640625" style="435" customWidth="1"/>
    <col min="46" max="46" width="5.6640625" style="49" customWidth="1"/>
    <col min="47" max="47" width="8.6640625" style="435" customWidth="1"/>
    <col min="48" max="16384" width="8.83203125" style="435"/>
  </cols>
  <sheetData>
    <row r="1" spans="1:52">
      <c r="A1" s="233"/>
      <c r="B1" s="34"/>
      <c r="L1" s="435"/>
      <c r="M1" s="49"/>
      <c r="V1" s="435"/>
      <c r="W1" s="49"/>
      <c r="AF1" s="435"/>
      <c r="AG1" s="49"/>
      <c r="AT1" s="435"/>
      <c r="AU1" s="49"/>
    </row>
    <row r="2" spans="1:52" ht="21">
      <c r="A2" s="233"/>
      <c r="B2" s="434">
        <v>2008</v>
      </c>
      <c r="C2" s="603" t="s">
        <v>432</v>
      </c>
      <c r="D2" s="600"/>
      <c r="E2" s="600"/>
      <c r="F2" s="600"/>
      <c r="G2" s="600"/>
      <c r="H2" s="600"/>
      <c r="I2" s="600"/>
      <c r="J2" s="600"/>
      <c r="K2" s="600"/>
      <c r="L2" s="604"/>
      <c r="M2" s="259"/>
      <c r="N2" s="605" t="s">
        <v>470</v>
      </c>
      <c r="O2" s="605"/>
      <c r="P2" s="605"/>
      <c r="Q2" s="605"/>
      <c r="R2" s="605"/>
      <c r="S2" s="605"/>
      <c r="T2" s="605"/>
      <c r="U2" s="605"/>
      <c r="V2" s="605"/>
      <c r="W2" s="259"/>
      <c r="X2" s="605" t="s">
        <v>471</v>
      </c>
      <c r="Y2" s="605"/>
      <c r="Z2" s="605"/>
      <c r="AA2" s="605"/>
      <c r="AB2" s="605"/>
      <c r="AC2" s="605"/>
      <c r="AD2" s="605"/>
      <c r="AE2" s="605"/>
      <c r="AF2" s="605"/>
      <c r="AG2" s="259"/>
      <c r="AH2" s="605" t="s">
        <v>472</v>
      </c>
      <c r="AI2" s="605"/>
      <c r="AJ2" s="605"/>
      <c r="AK2" s="605"/>
      <c r="AL2" s="605"/>
      <c r="AM2" s="605"/>
      <c r="AN2" s="605"/>
      <c r="AO2" s="605"/>
      <c r="AP2" s="605"/>
      <c r="AQ2" s="605"/>
      <c r="AR2" s="605"/>
      <c r="AS2" s="605"/>
      <c r="AT2" s="605"/>
      <c r="AU2" s="259"/>
    </row>
    <row r="3" spans="1:52" s="235" customFormat="1" ht="12" customHeight="1">
      <c r="B3" s="436">
        <v>1</v>
      </c>
      <c r="C3" s="252">
        <v>5</v>
      </c>
      <c r="D3" s="252">
        <v>7</v>
      </c>
      <c r="E3" s="252">
        <v>9</v>
      </c>
      <c r="F3" s="253">
        <v>11</v>
      </c>
      <c r="G3" s="253">
        <v>19</v>
      </c>
      <c r="H3" s="252">
        <v>27</v>
      </c>
      <c r="I3" s="252">
        <v>29</v>
      </c>
      <c r="J3" s="252">
        <v>31</v>
      </c>
      <c r="K3" s="253">
        <v>33</v>
      </c>
      <c r="L3" s="252">
        <v>37</v>
      </c>
      <c r="M3" s="254">
        <v>10</v>
      </c>
      <c r="N3" s="246">
        <v>40</v>
      </c>
      <c r="O3" s="241">
        <v>42</v>
      </c>
      <c r="P3" s="241">
        <v>44</v>
      </c>
      <c r="Q3" s="242">
        <v>46</v>
      </c>
      <c r="R3" s="242">
        <v>52</v>
      </c>
      <c r="S3" s="242">
        <v>56</v>
      </c>
      <c r="T3" s="242">
        <v>60</v>
      </c>
      <c r="U3" s="241">
        <v>64</v>
      </c>
      <c r="V3" s="241">
        <v>66</v>
      </c>
      <c r="W3" s="242">
        <v>9</v>
      </c>
      <c r="X3" s="246">
        <v>69</v>
      </c>
      <c r="Y3" s="241">
        <v>71</v>
      </c>
      <c r="Z3" s="241">
        <v>73</v>
      </c>
      <c r="AA3" s="241">
        <v>75</v>
      </c>
      <c r="AB3" s="241">
        <v>77</v>
      </c>
      <c r="AC3" s="241">
        <v>79</v>
      </c>
      <c r="AD3" s="241">
        <v>81</v>
      </c>
      <c r="AE3" s="241">
        <v>83</v>
      </c>
      <c r="AF3" s="242">
        <v>85</v>
      </c>
      <c r="AG3" s="249">
        <v>9</v>
      </c>
      <c r="AH3" s="246">
        <v>98</v>
      </c>
      <c r="AI3" s="241">
        <v>100</v>
      </c>
      <c r="AJ3" s="241">
        <v>102</v>
      </c>
      <c r="AK3" s="241">
        <v>104</v>
      </c>
      <c r="AL3" s="241">
        <v>106</v>
      </c>
      <c r="AM3" s="241">
        <v>108</v>
      </c>
      <c r="AN3" s="241">
        <v>110</v>
      </c>
      <c r="AO3" s="242">
        <v>112</v>
      </c>
      <c r="AP3" s="242">
        <v>116</v>
      </c>
      <c r="AQ3" s="242">
        <v>122</v>
      </c>
      <c r="AR3" s="241">
        <v>126</v>
      </c>
      <c r="AS3" s="241">
        <v>128</v>
      </c>
      <c r="AT3" s="242">
        <v>130</v>
      </c>
      <c r="AU3" s="243">
        <v>13</v>
      </c>
      <c r="AV3" s="237"/>
      <c r="AW3" s="435"/>
      <c r="AX3" s="238"/>
      <c r="AY3" s="238"/>
    </row>
    <row r="4" spans="1:52" s="60" customFormat="1" ht="23.25" customHeight="1">
      <c r="A4" s="234">
        <v>15</v>
      </c>
      <c r="B4" s="438" t="s">
        <v>217</v>
      </c>
      <c r="C4" s="439" t="s">
        <v>23</v>
      </c>
      <c r="D4" s="439" t="s">
        <v>24</v>
      </c>
      <c r="E4" s="439" t="s">
        <v>25</v>
      </c>
      <c r="F4" s="439" t="s">
        <v>26</v>
      </c>
      <c r="G4" s="439" t="s">
        <v>27</v>
      </c>
      <c r="H4" s="439" t="s">
        <v>28</v>
      </c>
      <c r="I4" s="439" t="s">
        <v>29</v>
      </c>
      <c r="J4" s="439" t="s">
        <v>30</v>
      </c>
      <c r="K4" s="439" t="s">
        <v>32</v>
      </c>
      <c r="L4" s="439" t="s">
        <v>101</v>
      </c>
      <c r="M4" s="440" t="s">
        <v>392</v>
      </c>
      <c r="N4" s="441" t="s">
        <v>102</v>
      </c>
      <c r="O4" s="439" t="s">
        <v>103</v>
      </c>
      <c r="P4" s="439" t="s">
        <v>104</v>
      </c>
      <c r="Q4" s="439" t="s">
        <v>105</v>
      </c>
      <c r="R4" s="439" t="s">
        <v>106</v>
      </c>
      <c r="S4" s="439" t="s">
        <v>107</v>
      </c>
      <c r="T4" s="439" t="s">
        <v>108</v>
      </c>
      <c r="U4" s="439" t="s">
        <v>109</v>
      </c>
      <c r="V4" s="439" t="s">
        <v>110</v>
      </c>
      <c r="W4" s="442" t="s">
        <v>392</v>
      </c>
      <c r="X4" s="441" t="s">
        <v>111</v>
      </c>
      <c r="Y4" s="439" t="s">
        <v>112</v>
      </c>
      <c r="Z4" s="439" t="s">
        <v>113</v>
      </c>
      <c r="AA4" s="439" t="s">
        <v>114</v>
      </c>
      <c r="AB4" s="439" t="s">
        <v>115</v>
      </c>
      <c r="AC4" s="439" t="s">
        <v>54</v>
      </c>
      <c r="AD4" s="439" t="s">
        <v>55</v>
      </c>
      <c r="AE4" s="439" t="s">
        <v>56</v>
      </c>
      <c r="AF4" s="439" t="s">
        <v>57</v>
      </c>
      <c r="AG4" s="443" t="s">
        <v>392</v>
      </c>
      <c r="AH4" s="441" t="s">
        <v>58</v>
      </c>
      <c r="AI4" s="439" t="s">
        <v>59</v>
      </c>
      <c r="AJ4" s="439" t="s">
        <v>60</v>
      </c>
      <c r="AK4" s="439" t="s">
        <v>61</v>
      </c>
      <c r="AL4" s="439" t="s">
        <v>62</v>
      </c>
      <c r="AM4" s="439" t="s">
        <v>63</v>
      </c>
      <c r="AN4" s="439" t="s">
        <v>64</v>
      </c>
      <c r="AO4" s="439" t="s">
        <v>65</v>
      </c>
      <c r="AP4" s="439" t="s">
        <v>66</v>
      </c>
      <c r="AQ4" s="439" t="s">
        <v>67</v>
      </c>
      <c r="AR4" s="439" t="s">
        <v>68</v>
      </c>
      <c r="AS4" s="439" t="s">
        <v>69</v>
      </c>
      <c r="AT4" s="439" t="s">
        <v>70</v>
      </c>
      <c r="AU4" s="444" t="s">
        <v>392</v>
      </c>
      <c r="AV4" s="91" t="s">
        <v>435</v>
      </c>
      <c r="AW4" s="435"/>
    </row>
    <row r="5" spans="1:52" ht="15" customHeight="1">
      <c r="A5" s="234">
        <v>21</v>
      </c>
      <c r="B5" s="256" t="s">
        <v>456</v>
      </c>
      <c r="C5" s="15">
        <v>8</v>
      </c>
      <c r="D5" s="17">
        <v>10</v>
      </c>
      <c r="E5" s="17">
        <v>0</v>
      </c>
      <c r="F5" s="255">
        <v>0</v>
      </c>
      <c r="G5" s="17">
        <v>8</v>
      </c>
      <c r="H5" s="17">
        <v>0</v>
      </c>
      <c r="I5" s="17">
        <v>0</v>
      </c>
      <c r="J5" s="17">
        <v>0</v>
      </c>
      <c r="K5" s="255">
        <v>10</v>
      </c>
      <c r="L5" s="126">
        <v>10</v>
      </c>
      <c r="M5" s="293">
        <v>46</v>
      </c>
      <c r="N5" s="15">
        <v>10</v>
      </c>
      <c r="O5" s="17">
        <v>0</v>
      </c>
      <c r="P5" s="17">
        <v>0</v>
      </c>
      <c r="Q5" s="17">
        <v>5</v>
      </c>
      <c r="R5" s="17">
        <v>10</v>
      </c>
      <c r="S5" s="17">
        <v>10</v>
      </c>
      <c r="T5" s="17">
        <v>6</v>
      </c>
      <c r="U5" s="17">
        <v>0</v>
      </c>
      <c r="V5" s="126">
        <v>0</v>
      </c>
      <c r="W5" s="294">
        <v>41</v>
      </c>
      <c r="X5" s="15">
        <v>0</v>
      </c>
      <c r="Y5" s="17">
        <v>6</v>
      </c>
      <c r="Z5" s="17">
        <v>0</v>
      </c>
      <c r="AA5" s="17">
        <v>0</v>
      </c>
      <c r="AB5" s="17">
        <v>10</v>
      </c>
      <c r="AC5" s="17">
        <v>0</v>
      </c>
      <c r="AD5" s="17">
        <v>10</v>
      </c>
      <c r="AE5" s="17">
        <v>10</v>
      </c>
      <c r="AF5" s="126">
        <v>10</v>
      </c>
      <c r="AG5" s="295">
        <v>46</v>
      </c>
      <c r="AH5" s="15">
        <v>0</v>
      </c>
      <c r="AI5" s="17">
        <v>0</v>
      </c>
      <c r="AJ5" s="17">
        <v>6</v>
      </c>
      <c r="AK5" s="17">
        <v>0</v>
      </c>
      <c r="AL5" s="17">
        <v>0</v>
      </c>
      <c r="AM5" s="17">
        <v>0</v>
      </c>
      <c r="AN5" s="17">
        <v>0</v>
      </c>
      <c r="AO5" s="17">
        <v>4</v>
      </c>
      <c r="AP5" s="17">
        <v>10</v>
      </c>
      <c r="AQ5" s="17">
        <v>6</v>
      </c>
      <c r="AR5" s="17">
        <v>8</v>
      </c>
      <c r="AS5" s="17">
        <v>10</v>
      </c>
      <c r="AT5" s="126">
        <v>2</v>
      </c>
      <c r="AU5" s="296">
        <v>46</v>
      </c>
      <c r="AV5" s="4">
        <v>179</v>
      </c>
    </row>
    <row r="6" spans="1:52" ht="15" customHeight="1">
      <c r="A6" s="234">
        <v>22</v>
      </c>
      <c r="B6" s="257" t="s">
        <v>0</v>
      </c>
      <c r="C6" s="11">
        <v>6</v>
      </c>
      <c r="D6" s="18">
        <v>10</v>
      </c>
      <c r="E6" s="18">
        <v>10</v>
      </c>
      <c r="F6" s="239">
        <v>8</v>
      </c>
      <c r="G6" s="18">
        <v>6</v>
      </c>
      <c r="H6" s="18">
        <v>4</v>
      </c>
      <c r="I6" s="18">
        <v>0</v>
      </c>
      <c r="J6" s="18">
        <v>10</v>
      </c>
      <c r="K6" s="239">
        <v>10</v>
      </c>
      <c r="L6" s="19">
        <v>10</v>
      </c>
      <c r="M6" s="251">
        <v>74</v>
      </c>
      <c r="N6" s="11">
        <v>10</v>
      </c>
      <c r="O6" s="18">
        <v>10</v>
      </c>
      <c r="P6" s="18">
        <v>0</v>
      </c>
      <c r="Q6" s="18">
        <v>0</v>
      </c>
      <c r="R6" s="18">
        <v>6</v>
      </c>
      <c r="S6" s="18">
        <v>0</v>
      </c>
      <c r="T6" s="18">
        <v>10</v>
      </c>
      <c r="U6" s="18">
        <v>0</v>
      </c>
      <c r="V6" s="19">
        <v>0</v>
      </c>
      <c r="W6" s="250">
        <v>36</v>
      </c>
      <c r="X6" s="11">
        <v>0</v>
      </c>
      <c r="Y6" s="18">
        <v>6</v>
      </c>
      <c r="Z6" s="18">
        <v>0</v>
      </c>
      <c r="AA6" s="18">
        <v>0</v>
      </c>
      <c r="AB6" s="18">
        <v>0</v>
      </c>
      <c r="AC6" s="18">
        <v>0</v>
      </c>
      <c r="AD6" s="18">
        <v>0</v>
      </c>
      <c r="AE6" s="18">
        <v>10</v>
      </c>
      <c r="AF6" s="19">
        <v>2</v>
      </c>
      <c r="AG6" s="248">
        <v>18</v>
      </c>
      <c r="AH6" s="11">
        <v>10</v>
      </c>
      <c r="AI6" s="18">
        <v>0</v>
      </c>
      <c r="AJ6" s="18">
        <v>0</v>
      </c>
      <c r="AK6" s="18">
        <v>0</v>
      </c>
      <c r="AL6" s="18">
        <v>0</v>
      </c>
      <c r="AM6" s="18">
        <v>10</v>
      </c>
      <c r="AN6" s="18">
        <v>0</v>
      </c>
      <c r="AO6" s="18">
        <v>10</v>
      </c>
      <c r="AP6" s="18">
        <v>10</v>
      </c>
      <c r="AQ6" s="18">
        <v>6</v>
      </c>
      <c r="AR6" s="18">
        <v>8</v>
      </c>
      <c r="AS6" s="18">
        <v>0</v>
      </c>
      <c r="AT6" s="19">
        <v>6</v>
      </c>
      <c r="AU6" s="240">
        <v>60</v>
      </c>
      <c r="AV6" s="4">
        <v>188</v>
      </c>
    </row>
    <row r="7" spans="1:52" ht="15" customHeight="1">
      <c r="A7" s="234">
        <v>23</v>
      </c>
      <c r="B7" s="257" t="s">
        <v>350</v>
      </c>
      <c r="C7" s="11">
        <v>6</v>
      </c>
      <c r="D7" s="18">
        <v>10</v>
      </c>
      <c r="E7" s="18">
        <v>10</v>
      </c>
      <c r="F7" s="239">
        <v>5</v>
      </c>
      <c r="G7" s="18">
        <v>10</v>
      </c>
      <c r="H7" s="18">
        <v>6</v>
      </c>
      <c r="I7" s="18">
        <v>10</v>
      </c>
      <c r="J7" s="18">
        <v>0</v>
      </c>
      <c r="K7" s="239">
        <v>10</v>
      </c>
      <c r="L7" s="19">
        <v>10</v>
      </c>
      <c r="M7" s="251">
        <v>77</v>
      </c>
      <c r="N7" s="11">
        <v>10</v>
      </c>
      <c r="O7" s="18">
        <v>10</v>
      </c>
      <c r="P7" s="18">
        <v>10</v>
      </c>
      <c r="Q7" s="18">
        <v>5</v>
      </c>
      <c r="R7" s="18">
        <v>10</v>
      </c>
      <c r="S7" s="18">
        <v>10</v>
      </c>
      <c r="T7" s="18">
        <v>10</v>
      </c>
      <c r="U7" s="18">
        <v>10</v>
      </c>
      <c r="V7" s="19">
        <v>10</v>
      </c>
      <c r="W7" s="250">
        <v>85</v>
      </c>
      <c r="X7" s="11">
        <v>0</v>
      </c>
      <c r="Y7" s="18">
        <v>6</v>
      </c>
      <c r="Z7" s="18">
        <v>0</v>
      </c>
      <c r="AA7" s="18">
        <v>10</v>
      </c>
      <c r="AB7" s="18">
        <v>10</v>
      </c>
      <c r="AC7" s="18">
        <v>10</v>
      </c>
      <c r="AD7" s="18">
        <v>10</v>
      </c>
      <c r="AE7" s="18">
        <v>10</v>
      </c>
      <c r="AF7" s="19">
        <v>10</v>
      </c>
      <c r="AG7" s="248">
        <v>66</v>
      </c>
      <c r="AH7" s="11">
        <v>0</v>
      </c>
      <c r="AI7" s="18">
        <v>0</v>
      </c>
      <c r="AJ7" s="18">
        <v>6</v>
      </c>
      <c r="AK7" s="18">
        <v>10</v>
      </c>
      <c r="AL7" s="18">
        <v>10</v>
      </c>
      <c r="AM7" s="18">
        <v>0</v>
      </c>
      <c r="AN7" s="18">
        <v>10</v>
      </c>
      <c r="AO7" s="18">
        <v>0</v>
      </c>
      <c r="AP7" s="18">
        <v>6</v>
      </c>
      <c r="AQ7" s="18">
        <v>0</v>
      </c>
      <c r="AR7" s="18">
        <v>8</v>
      </c>
      <c r="AS7" s="18">
        <v>10</v>
      </c>
      <c r="AT7" s="19">
        <v>2</v>
      </c>
      <c r="AU7" s="240">
        <v>62</v>
      </c>
      <c r="AV7" s="4">
        <v>290</v>
      </c>
    </row>
    <row r="8" spans="1:52" ht="15" customHeight="1">
      <c r="A8" s="234">
        <v>24</v>
      </c>
      <c r="B8" s="257" t="s">
        <v>412</v>
      </c>
      <c r="C8" s="11">
        <v>8</v>
      </c>
      <c r="D8" s="18">
        <v>10</v>
      </c>
      <c r="E8" s="18">
        <v>10</v>
      </c>
      <c r="F8" s="239">
        <v>6</v>
      </c>
      <c r="G8" s="18">
        <v>10</v>
      </c>
      <c r="H8" s="18">
        <v>10</v>
      </c>
      <c r="I8" s="18">
        <v>0</v>
      </c>
      <c r="J8" s="18">
        <v>0</v>
      </c>
      <c r="K8" s="239">
        <v>10</v>
      </c>
      <c r="L8" s="19">
        <v>10</v>
      </c>
      <c r="M8" s="251">
        <v>74</v>
      </c>
      <c r="N8" s="11">
        <v>10</v>
      </c>
      <c r="O8" s="18">
        <v>10</v>
      </c>
      <c r="P8" s="18">
        <v>10</v>
      </c>
      <c r="Q8" s="18">
        <v>5</v>
      </c>
      <c r="R8" s="18">
        <v>6</v>
      </c>
      <c r="S8" s="18">
        <v>10</v>
      </c>
      <c r="T8" s="18">
        <v>10</v>
      </c>
      <c r="U8" s="18">
        <v>0</v>
      </c>
      <c r="V8" s="19">
        <v>6</v>
      </c>
      <c r="W8" s="250">
        <v>67</v>
      </c>
      <c r="X8" s="11">
        <v>0</v>
      </c>
      <c r="Y8" s="18">
        <v>6</v>
      </c>
      <c r="Z8" s="18">
        <v>0</v>
      </c>
      <c r="AA8" s="18">
        <v>10</v>
      </c>
      <c r="AB8" s="18">
        <v>10</v>
      </c>
      <c r="AC8" s="18">
        <v>10</v>
      </c>
      <c r="AD8" s="18">
        <v>10</v>
      </c>
      <c r="AE8" s="18">
        <v>10</v>
      </c>
      <c r="AF8" s="19">
        <v>10</v>
      </c>
      <c r="AG8" s="248">
        <v>66</v>
      </c>
      <c r="AH8" s="11">
        <v>0</v>
      </c>
      <c r="AI8" s="18">
        <v>0</v>
      </c>
      <c r="AJ8" s="18">
        <v>0</v>
      </c>
      <c r="AK8" s="18">
        <v>10</v>
      </c>
      <c r="AL8" s="18">
        <v>10</v>
      </c>
      <c r="AM8" s="18">
        <v>0</v>
      </c>
      <c r="AN8" s="18">
        <v>10</v>
      </c>
      <c r="AO8" s="18">
        <v>6</v>
      </c>
      <c r="AP8" s="18">
        <v>6</v>
      </c>
      <c r="AQ8" s="18">
        <v>0</v>
      </c>
      <c r="AR8" s="18">
        <v>0</v>
      </c>
      <c r="AS8" s="18">
        <v>0</v>
      </c>
      <c r="AT8" s="19">
        <v>2</v>
      </c>
      <c r="AU8" s="240">
        <v>44</v>
      </c>
      <c r="AV8" s="4">
        <v>251</v>
      </c>
    </row>
    <row r="9" spans="1:52" ht="15" customHeight="1">
      <c r="A9" s="234">
        <v>25</v>
      </c>
      <c r="B9" s="257" t="s">
        <v>356</v>
      </c>
      <c r="C9" s="11">
        <v>8</v>
      </c>
      <c r="D9" s="18">
        <v>10</v>
      </c>
      <c r="E9" s="18">
        <v>10</v>
      </c>
      <c r="F9" s="239">
        <v>3</v>
      </c>
      <c r="G9" s="18">
        <v>4</v>
      </c>
      <c r="H9" s="18">
        <v>10</v>
      </c>
      <c r="I9" s="18">
        <v>10</v>
      </c>
      <c r="J9" s="18">
        <v>10</v>
      </c>
      <c r="K9" s="239">
        <v>10</v>
      </c>
      <c r="L9" s="19">
        <v>10</v>
      </c>
      <c r="M9" s="251">
        <v>85</v>
      </c>
      <c r="N9" s="11">
        <v>10</v>
      </c>
      <c r="O9" s="18">
        <v>10</v>
      </c>
      <c r="P9" s="18">
        <v>0</v>
      </c>
      <c r="Q9" s="18">
        <v>10</v>
      </c>
      <c r="R9" s="18">
        <v>10</v>
      </c>
      <c r="S9" s="18">
        <v>10</v>
      </c>
      <c r="T9" s="18">
        <v>10</v>
      </c>
      <c r="U9" s="18">
        <v>10</v>
      </c>
      <c r="V9" s="19">
        <v>10</v>
      </c>
      <c r="W9" s="250">
        <v>80</v>
      </c>
      <c r="X9" s="11">
        <v>0</v>
      </c>
      <c r="Y9" s="18">
        <v>6</v>
      </c>
      <c r="Z9" s="18">
        <v>0</v>
      </c>
      <c r="AA9" s="18">
        <v>10</v>
      </c>
      <c r="AB9" s="18">
        <v>0</v>
      </c>
      <c r="AC9" s="18">
        <v>0</v>
      </c>
      <c r="AD9" s="18">
        <v>10</v>
      </c>
      <c r="AE9" s="18">
        <v>10</v>
      </c>
      <c r="AF9" s="19">
        <v>2</v>
      </c>
      <c r="AG9" s="248">
        <v>38</v>
      </c>
      <c r="AH9" s="11">
        <v>10</v>
      </c>
      <c r="AI9" s="18">
        <v>10</v>
      </c>
      <c r="AJ9" s="18">
        <v>6</v>
      </c>
      <c r="AK9" s="18">
        <v>10</v>
      </c>
      <c r="AL9" s="18">
        <v>10</v>
      </c>
      <c r="AM9" s="18">
        <v>0</v>
      </c>
      <c r="AN9" s="18">
        <v>10</v>
      </c>
      <c r="AO9" s="18">
        <v>0</v>
      </c>
      <c r="AP9" s="18">
        <v>0</v>
      </c>
      <c r="AQ9" s="18">
        <v>8</v>
      </c>
      <c r="AR9" s="18">
        <v>6</v>
      </c>
      <c r="AS9" s="18">
        <v>10</v>
      </c>
      <c r="AT9" s="19">
        <v>2</v>
      </c>
      <c r="AU9" s="240">
        <v>82</v>
      </c>
      <c r="AV9" s="4">
        <v>285</v>
      </c>
    </row>
    <row r="10" spans="1:52" ht="15" customHeight="1">
      <c r="A10" s="234">
        <v>26</v>
      </c>
      <c r="B10" s="257" t="s">
        <v>34</v>
      </c>
      <c r="C10" s="11">
        <v>10</v>
      </c>
      <c r="D10" s="18">
        <v>10</v>
      </c>
      <c r="E10" s="18">
        <v>10</v>
      </c>
      <c r="F10" s="239">
        <v>10</v>
      </c>
      <c r="G10" s="18">
        <v>10</v>
      </c>
      <c r="H10" s="18">
        <v>10</v>
      </c>
      <c r="I10" s="18">
        <v>10</v>
      </c>
      <c r="J10" s="18">
        <v>10</v>
      </c>
      <c r="K10" s="239">
        <v>10</v>
      </c>
      <c r="L10" s="19">
        <v>10</v>
      </c>
      <c r="M10" s="251">
        <v>100</v>
      </c>
      <c r="N10" s="11">
        <v>10</v>
      </c>
      <c r="O10" s="18">
        <v>10</v>
      </c>
      <c r="P10" s="18">
        <v>0</v>
      </c>
      <c r="Q10" s="18">
        <v>10</v>
      </c>
      <c r="R10" s="18">
        <v>6</v>
      </c>
      <c r="S10" s="18">
        <v>6</v>
      </c>
      <c r="T10" s="18">
        <v>10</v>
      </c>
      <c r="U10" s="18">
        <v>10</v>
      </c>
      <c r="V10" s="19">
        <v>10</v>
      </c>
      <c r="W10" s="250">
        <v>72</v>
      </c>
      <c r="X10" s="11">
        <v>0</v>
      </c>
      <c r="Y10" s="18">
        <v>0</v>
      </c>
      <c r="Z10" s="18">
        <v>0</v>
      </c>
      <c r="AA10" s="18">
        <v>10</v>
      </c>
      <c r="AB10" s="18">
        <v>10</v>
      </c>
      <c r="AC10" s="18">
        <v>10</v>
      </c>
      <c r="AD10" s="18">
        <v>10</v>
      </c>
      <c r="AE10" s="18">
        <v>10</v>
      </c>
      <c r="AF10" s="19">
        <v>10</v>
      </c>
      <c r="AG10" s="248">
        <v>60</v>
      </c>
      <c r="AH10" s="11">
        <v>10</v>
      </c>
      <c r="AI10" s="18">
        <v>10</v>
      </c>
      <c r="AJ10" s="18">
        <v>6</v>
      </c>
      <c r="AK10" s="18">
        <v>0</v>
      </c>
      <c r="AL10" s="18">
        <v>10</v>
      </c>
      <c r="AM10" s="18">
        <v>0</v>
      </c>
      <c r="AN10" s="18">
        <v>0</v>
      </c>
      <c r="AO10" s="18">
        <v>10</v>
      </c>
      <c r="AP10" s="18">
        <v>10</v>
      </c>
      <c r="AQ10" s="18">
        <v>0</v>
      </c>
      <c r="AR10" s="18">
        <v>8</v>
      </c>
      <c r="AS10" s="18">
        <v>10</v>
      </c>
      <c r="AT10" s="19">
        <v>2</v>
      </c>
      <c r="AU10" s="240">
        <v>76</v>
      </c>
      <c r="AV10" s="4">
        <v>308</v>
      </c>
    </row>
    <row r="11" spans="1:52" ht="15" customHeight="1">
      <c r="A11" s="234">
        <v>27</v>
      </c>
      <c r="B11" s="257" t="s">
        <v>1</v>
      </c>
      <c r="C11" s="11">
        <v>8</v>
      </c>
      <c r="D11" s="18">
        <v>10</v>
      </c>
      <c r="E11" s="18">
        <v>10</v>
      </c>
      <c r="F11" s="239">
        <v>3</v>
      </c>
      <c r="G11" s="18">
        <v>10</v>
      </c>
      <c r="H11" s="18">
        <v>8</v>
      </c>
      <c r="I11" s="18">
        <v>10</v>
      </c>
      <c r="J11" s="18">
        <v>10</v>
      </c>
      <c r="K11" s="239">
        <v>6</v>
      </c>
      <c r="L11" s="19">
        <v>10</v>
      </c>
      <c r="M11" s="251">
        <v>85</v>
      </c>
      <c r="N11" s="11">
        <v>10</v>
      </c>
      <c r="O11" s="18">
        <v>0</v>
      </c>
      <c r="P11" s="18">
        <v>0</v>
      </c>
      <c r="Q11" s="18">
        <v>10</v>
      </c>
      <c r="R11" s="18">
        <v>6</v>
      </c>
      <c r="S11" s="18">
        <v>10</v>
      </c>
      <c r="T11" s="18">
        <v>10</v>
      </c>
      <c r="U11" s="18">
        <v>10</v>
      </c>
      <c r="V11" s="19">
        <v>10</v>
      </c>
      <c r="W11" s="250">
        <v>66</v>
      </c>
      <c r="X11" s="11">
        <v>0</v>
      </c>
      <c r="Y11" s="18">
        <v>6</v>
      </c>
      <c r="Z11" s="18">
        <v>0</v>
      </c>
      <c r="AA11" s="18">
        <v>0</v>
      </c>
      <c r="AB11" s="18">
        <v>10</v>
      </c>
      <c r="AC11" s="18">
        <v>10</v>
      </c>
      <c r="AD11" s="18">
        <v>0</v>
      </c>
      <c r="AE11" s="18">
        <v>10</v>
      </c>
      <c r="AF11" s="19">
        <v>10</v>
      </c>
      <c r="AG11" s="248">
        <v>46</v>
      </c>
      <c r="AH11" s="11">
        <v>0</v>
      </c>
      <c r="AI11" s="18">
        <v>0</v>
      </c>
      <c r="AJ11" s="18">
        <v>0</v>
      </c>
      <c r="AK11" s="18">
        <v>10</v>
      </c>
      <c r="AL11" s="18">
        <v>10</v>
      </c>
      <c r="AM11" s="18">
        <v>0</v>
      </c>
      <c r="AN11" s="18">
        <v>0</v>
      </c>
      <c r="AO11" s="18">
        <v>0</v>
      </c>
      <c r="AP11" s="18">
        <v>6</v>
      </c>
      <c r="AQ11" s="18">
        <v>0</v>
      </c>
      <c r="AR11" s="18">
        <v>0</v>
      </c>
      <c r="AS11" s="18">
        <v>10</v>
      </c>
      <c r="AT11" s="19">
        <v>2</v>
      </c>
      <c r="AU11" s="240">
        <v>38</v>
      </c>
      <c r="AV11" s="4">
        <v>235</v>
      </c>
      <c r="AZ11" s="34"/>
    </row>
    <row r="12" spans="1:52" ht="15" customHeight="1">
      <c r="A12" s="234">
        <v>28</v>
      </c>
      <c r="B12" s="257" t="s">
        <v>35</v>
      </c>
      <c r="C12" s="11">
        <v>6</v>
      </c>
      <c r="D12" s="18">
        <v>10</v>
      </c>
      <c r="E12" s="18">
        <v>10</v>
      </c>
      <c r="F12" s="239">
        <v>10</v>
      </c>
      <c r="G12" s="18">
        <v>6</v>
      </c>
      <c r="H12" s="18">
        <v>10</v>
      </c>
      <c r="I12" s="18">
        <v>10</v>
      </c>
      <c r="J12" s="18">
        <v>10</v>
      </c>
      <c r="K12" s="239">
        <v>6</v>
      </c>
      <c r="L12" s="19">
        <v>10</v>
      </c>
      <c r="M12" s="251">
        <v>88</v>
      </c>
      <c r="N12" s="11">
        <v>10</v>
      </c>
      <c r="O12" s="18">
        <v>10</v>
      </c>
      <c r="P12" s="18">
        <v>0</v>
      </c>
      <c r="Q12" s="18">
        <v>5</v>
      </c>
      <c r="R12" s="18">
        <v>4</v>
      </c>
      <c r="S12" s="18">
        <v>10</v>
      </c>
      <c r="T12" s="18">
        <v>10</v>
      </c>
      <c r="U12" s="18">
        <v>0</v>
      </c>
      <c r="V12" s="19">
        <v>6</v>
      </c>
      <c r="W12" s="250">
        <v>55</v>
      </c>
      <c r="X12" s="11">
        <v>0</v>
      </c>
      <c r="Y12" s="18">
        <v>6</v>
      </c>
      <c r="Z12" s="18">
        <v>6</v>
      </c>
      <c r="AA12" s="18">
        <v>10</v>
      </c>
      <c r="AB12" s="18">
        <v>10</v>
      </c>
      <c r="AC12" s="18">
        <v>10</v>
      </c>
      <c r="AD12" s="18">
        <v>10</v>
      </c>
      <c r="AE12" s="18">
        <v>10</v>
      </c>
      <c r="AF12" s="19">
        <v>10</v>
      </c>
      <c r="AG12" s="248">
        <v>72</v>
      </c>
      <c r="AH12" s="11">
        <v>0</v>
      </c>
      <c r="AI12" s="18">
        <v>0</v>
      </c>
      <c r="AJ12" s="18">
        <v>0</v>
      </c>
      <c r="AK12" s="18">
        <v>0</v>
      </c>
      <c r="AL12" s="18">
        <v>0</v>
      </c>
      <c r="AM12" s="18">
        <v>0</v>
      </c>
      <c r="AN12" s="18">
        <v>0</v>
      </c>
      <c r="AO12" s="18">
        <v>0</v>
      </c>
      <c r="AP12" s="18">
        <v>0</v>
      </c>
      <c r="AQ12" s="18">
        <v>0</v>
      </c>
      <c r="AR12" s="18">
        <v>0</v>
      </c>
      <c r="AS12" s="18">
        <v>0</v>
      </c>
      <c r="AT12" s="19">
        <v>0</v>
      </c>
      <c r="AU12" s="240">
        <v>0</v>
      </c>
      <c r="AV12" s="4">
        <v>215</v>
      </c>
    </row>
    <row r="13" spans="1:52" ht="15" customHeight="1">
      <c r="A13" s="234">
        <v>29</v>
      </c>
      <c r="B13" s="257" t="s">
        <v>2</v>
      </c>
      <c r="C13" s="11">
        <v>0</v>
      </c>
      <c r="D13" s="18">
        <v>10</v>
      </c>
      <c r="E13" s="18">
        <v>0</v>
      </c>
      <c r="F13" s="239">
        <v>0</v>
      </c>
      <c r="G13" s="18">
        <v>2</v>
      </c>
      <c r="H13" s="18">
        <v>4</v>
      </c>
      <c r="I13" s="18">
        <v>10</v>
      </c>
      <c r="J13" s="18">
        <v>6</v>
      </c>
      <c r="K13" s="239">
        <v>10</v>
      </c>
      <c r="L13" s="19">
        <v>10</v>
      </c>
      <c r="M13" s="251">
        <v>52</v>
      </c>
      <c r="N13" s="11">
        <v>10</v>
      </c>
      <c r="O13" s="18">
        <v>10</v>
      </c>
      <c r="P13" s="18">
        <v>0</v>
      </c>
      <c r="Q13" s="18">
        <v>5</v>
      </c>
      <c r="R13" s="18">
        <v>6</v>
      </c>
      <c r="S13" s="18">
        <v>0</v>
      </c>
      <c r="T13" s="18">
        <v>10</v>
      </c>
      <c r="U13" s="18">
        <v>0</v>
      </c>
      <c r="V13" s="19">
        <v>0</v>
      </c>
      <c r="W13" s="250">
        <v>41</v>
      </c>
      <c r="X13" s="11">
        <v>10</v>
      </c>
      <c r="Y13" s="18">
        <v>6</v>
      </c>
      <c r="Z13" s="18">
        <v>6</v>
      </c>
      <c r="AA13" s="18">
        <v>10</v>
      </c>
      <c r="AB13" s="18">
        <v>0</v>
      </c>
      <c r="AC13" s="18">
        <v>0</v>
      </c>
      <c r="AD13" s="18">
        <v>10</v>
      </c>
      <c r="AE13" s="18">
        <v>10</v>
      </c>
      <c r="AF13" s="19">
        <v>10</v>
      </c>
      <c r="AG13" s="248">
        <v>62</v>
      </c>
      <c r="AH13" s="11">
        <v>10</v>
      </c>
      <c r="AI13" s="18">
        <v>10</v>
      </c>
      <c r="AJ13" s="18">
        <v>0</v>
      </c>
      <c r="AK13" s="18">
        <v>0</v>
      </c>
      <c r="AL13" s="18">
        <v>0</v>
      </c>
      <c r="AM13" s="18">
        <v>0</v>
      </c>
      <c r="AN13" s="18">
        <v>0</v>
      </c>
      <c r="AO13" s="18">
        <v>10</v>
      </c>
      <c r="AP13" s="18">
        <v>10</v>
      </c>
      <c r="AQ13" s="18">
        <v>0</v>
      </c>
      <c r="AR13" s="18">
        <v>10</v>
      </c>
      <c r="AS13" s="18">
        <v>10</v>
      </c>
      <c r="AT13" s="19">
        <v>2</v>
      </c>
      <c r="AU13" s="240">
        <v>62</v>
      </c>
      <c r="AV13" s="4">
        <v>217</v>
      </c>
    </row>
    <row r="14" spans="1:52" ht="15" customHeight="1">
      <c r="A14" s="234">
        <v>30</v>
      </c>
      <c r="B14" s="257" t="s">
        <v>3</v>
      </c>
      <c r="C14" s="11">
        <v>8</v>
      </c>
      <c r="D14" s="18">
        <v>10</v>
      </c>
      <c r="E14" s="18">
        <v>10</v>
      </c>
      <c r="F14" s="239">
        <v>10</v>
      </c>
      <c r="G14" s="18">
        <v>10</v>
      </c>
      <c r="H14" s="18">
        <v>8</v>
      </c>
      <c r="I14" s="18">
        <v>10</v>
      </c>
      <c r="J14" s="18">
        <v>0</v>
      </c>
      <c r="K14" s="239">
        <v>10</v>
      </c>
      <c r="L14" s="19">
        <v>10</v>
      </c>
      <c r="M14" s="251">
        <v>86</v>
      </c>
      <c r="N14" s="11">
        <v>10</v>
      </c>
      <c r="O14" s="18">
        <v>10</v>
      </c>
      <c r="P14" s="18">
        <v>0</v>
      </c>
      <c r="Q14" s="18">
        <v>10</v>
      </c>
      <c r="R14" s="18">
        <v>4</v>
      </c>
      <c r="S14" s="18">
        <v>10</v>
      </c>
      <c r="T14" s="18">
        <v>10</v>
      </c>
      <c r="U14" s="18">
        <v>10</v>
      </c>
      <c r="V14" s="19">
        <v>10</v>
      </c>
      <c r="W14" s="250">
        <v>74</v>
      </c>
      <c r="X14" s="11">
        <v>0</v>
      </c>
      <c r="Y14" s="18">
        <v>6</v>
      </c>
      <c r="Z14" s="18">
        <v>0</v>
      </c>
      <c r="AA14" s="18">
        <v>10</v>
      </c>
      <c r="AB14" s="18">
        <v>10</v>
      </c>
      <c r="AC14" s="18">
        <v>10</v>
      </c>
      <c r="AD14" s="18">
        <v>10</v>
      </c>
      <c r="AE14" s="18">
        <v>10</v>
      </c>
      <c r="AF14" s="19">
        <v>3</v>
      </c>
      <c r="AG14" s="248">
        <v>59</v>
      </c>
      <c r="AH14" s="11">
        <v>0</v>
      </c>
      <c r="AI14" s="18">
        <v>0</v>
      </c>
      <c r="AJ14" s="18">
        <v>0</v>
      </c>
      <c r="AK14" s="18">
        <v>0</v>
      </c>
      <c r="AL14" s="18">
        <v>0</v>
      </c>
      <c r="AM14" s="18">
        <v>0</v>
      </c>
      <c r="AN14" s="18">
        <v>0</v>
      </c>
      <c r="AO14" s="18">
        <v>0</v>
      </c>
      <c r="AP14" s="18">
        <v>0</v>
      </c>
      <c r="AQ14" s="18">
        <v>0</v>
      </c>
      <c r="AR14" s="18">
        <v>0</v>
      </c>
      <c r="AS14" s="18">
        <v>0</v>
      </c>
      <c r="AT14" s="19">
        <v>0</v>
      </c>
      <c r="AU14" s="240">
        <v>0</v>
      </c>
      <c r="AV14" s="4">
        <v>219</v>
      </c>
    </row>
    <row r="15" spans="1:52" ht="15" customHeight="1">
      <c r="A15" s="234">
        <v>31</v>
      </c>
      <c r="B15" s="257" t="s">
        <v>83</v>
      </c>
      <c r="C15" s="11">
        <v>6</v>
      </c>
      <c r="D15" s="18">
        <v>10</v>
      </c>
      <c r="E15" s="18">
        <v>10</v>
      </c>
      <c r="F15" s="239">
        <v>5</v>
      </c>
      <c r="G15" s="18">
        <v>10</v>
      </c>
      <c r="H15" s="18">
        <v>8</v>
      </c>
      <c r="I15" s="18">
        <v>10</v>
      </c>
      <c r="J15" s="18">
        <v>0</v>
      </c>
      <c r="K15" s="239">
        <v>0</v>
      </c>
      <c r="L15" s="19">
        <v>10</v>
      </c>
      <c r="M15" s="251">
        <v>69</v>
      </c>
      <c r="N15" s="11">
        <v>10</v>
      </c>
      <c r="O15" s="18">
        <v>10</v>
      </c>
      <c r="P15" s="18">
        <v>0</v>
      </c>
      <c r="Q15" s="18">
        <v>5</v>
      </c>
      <c r="R15" s="18">
        <v>10</v>
      </c>
      <c r="S15" s="18">
        <v>6</v>
      </c>
      <c r="T15" s="18">
        <v>10</v>
      </c>
      <c r="U15" s="18">
        <v>10</v>
      </c>
      <c r="V15" s="19">
        <v>10</v>
      </c>
      <c r="W15" s="250">
        <v>71</v>
      </c>
      <c r="X15" s="11">
        <v>0</v>
      </c>
      <c r="Y15" s="18">
        <v>0</v>
      </c>
      <c r="Z15" s="18">
        <v>0</v>
      </c>
      <c r="AA15" s="18">
        <v>0</v>
      </c>
      <c r="AB15" s="18">
        <v>0</v>
      </c>
      <c r="AC15" s="18">
        <v>0</v>
      </c>
      <c r="AD15" s="18">
        <v>10</v>
      </c>
      <c r="AE15" s="18">
        <v>10</v>
      </c>
      <c r="AF15" s="19">
        <v>6</v>
      </c>
      <c r="AG15" s="248">
        <v>26</v>
      </c>
      <c r="AH15" s="11">
        <v>10</v>
      </c>
      <c r="AI15" s="18">
        <v>10</v>
      </c>
      <c r="AJ15" s="18">
        <v>6</v>
      </c>
      <c r="AK15" s="18">
        <v>10</v>
      </c>
      <c r="AL15" s="18">
        <v>0</v>
      </c>
      <c r="AM15" s="18">
        <v>10</v>
      </c>
      <c r="AN15" s="18">
        <v>10</v>
      </c>
      <c r="AO15" s="18">
        <v>6</v>
      </c>
      <c r="AP15" s="18">
        <v>6</v>
      </c>
      <c r="AQ15" s="18">
        <v>0</v>
      </c>
      <c r="AR15" s="18">
        <v>10</v>
      </c>
      <c r="AS15" s="18">
        <v>10</v>
      </c>
      <c r="AT15" s="19">
        <v>6</v>
      </c>
      <c r="AU15" s="240">
        <v>94</v>
      </c>
      <c r="AV15" s="4">
        <v>260</v>
      </c>
    </row>
    <row r="16" spans="1:52" ht="15" customHeight="1">
      <c r="A16" s="234">
        <v>32</v>
      </c>
      <c r="B16" s="257" t="s">
        <v>156</v>
      </c>
      <c r="C16" s="11">
        <v>0</v>
      </c>
      <c r="D16" s="18">
        <v>0</v>
      </c>
      <c r="E16" s="18">
        <v>10</v>
      </c>
      <c r="F16" s="239">
        <v>0</v>
      </c>
      <c r="G16" s="18">
        <v>0</v>
      </c>
      <c r="H16" s="18">
        <v>0</v>
      </c>
      <c r="I16" s="18">
        <v>0</v>
      </c>
      <c r="J16" s="18">
        <v>0</v>
      </c>
      <c r="K16" s="239">
        <v>0</v>
      </c>
      <c r="L16" s="19">
        <v>0</v>
      </c>
      <c r="M16" s="251">
        <v>10</v>
      </c>
      <c r="N16" s="11">
        <v>0</v>
      </c>
      <c r="O16" s="18">
        <v>0</v>
      </c>
      <c r="P16" s="18">
        <v>0</v>
      </c>
      <c r="Q16" s="18">
        <v>5</v>
      </c>
      <c r="R16" s="18">
        <v>10</v>
      </c>
      <c r="S16" s="18">
        <v>0</v>
      </c>
      <c r="T16" s="18">
        <v>10</v>
      </c>
      <c r="U16" s="18">
        <v>0</v>
      </c>
      <c r="V16" s="19">
        <v>10</v>
      </c>
      <c r="W16" s="250">
        <v>35</v>
      </c>
      <c r="X16" s="11">
        <v>0</v>
      </c>
      <c r="Y16" s="18">
        <v>0</v>
      </c>
      <c r="Z16" s="18">
        <v>0</v>
      </c>
      <c r="AA16" s="18">
        <v>10</v>
      </c>
      <c r="AB16" s="18">
        <v>10</v>
      </c>
      <c r="AC16" s="18">
        <v>10</v>
      </c>
      <c r="AD16" s="18">
        <v>0</v>
      </c>
      <c r="AE16" s="18">
        <v>0</v>
      </c>
      <c r="AF16" s="19">
        <v>3</v>
      </c>
      <c r="AG16" s="248">
        <v>33</v>
      </c>
      <c r="AH16" s="11">
        <v>0</v>
      </c>
      <c r="AI16" s="18">
        <v>0</v>
      </c>
      <c r="AJ16" s="18">
        <v>0</v>
      </c>
      <c r="AK16" s="18">
        <v>0</v>
      </c>
      <c r="AL16" s="18">
        <v>0</v>
      </c>
      <c r="AM16" s="18">
        <v>0</v>
      </c>
      <c r="AN16" s="18">
        <v>0</v>
      </c>
      <c r="AO16" s="18">
        <v>0</v>
      </c>
      <c r="AP16" s="18">
        <v>0</v>
      </c>
      <c r="AQ16" s="18">
        <v>0</v>
      </c>
      <c r="AR16" s="18">
        <v>0</v>
      </c>
      <c r="AS16" s="18">
        <v>0</v>
      </c>
      <c r="AT16" s="19">
        <v>2</v>
      </c>
      <c r="AU16" s="240">
        <v>2</v>
      </c>
      <c r="AV16" s="4">
        <v>80</v>
      </c>
    </row>
    <row r="17" spans="1:48">
      <c r="A17" s="234">
        <v>33</v>
      </c>
      <c r="B17" s="257" t="s">
        <v>158</v>
      </c>
      <c r="C17" s="11">
        <v>6</v>
      </c>
      <c r="D17" s="18">
        <v>10</v>
      </c>
      <c r="E17" s="18">
        <v>0</v>
      </c>
      <c r="F17" s="239">
        <v>0</v>
      </c>
      <c r="G17" s="18">
        <v>10</v>
      </c>
      <c r="H17" s="18">
        <v>10</v>
      </c>
      <c r="I17" s="18">
        <v>10</v>
      </c>
      <c r="J17" s="18">
        <v>0</v>
      </c>
      <c r="K17" s="239">
        <v>0</v>
      </c>
      <c r="L17" s="19">
        <v>10</v>
      </c>
      <c r="M17" s="251">
        <v>56</v>
      </c>
      <c r="N17" s="11">
        <v>10</v>
      </c>
      <c r="O17" s="18">
        <v>10</v>
      </c>
      <c r="P17" s="18">
        <v>0</v>
      </c>
      <c r="Q17" s="18">
        <v>10</v>
      </c>
      <c r="R17" s="18">
        <v>6</v>
      </c>
      <c r="S17" s="18">
        <v>10</v>
      </c>
      <c r="T17" s="18">
        <v>10</v>
      </c>
      <c r="U17" s="18">
        <v>10</v>
      </c>
      <c r="V17" s="19">
        <v>10</v>
      </c>
      <c r="W17" s="250">
        <v>76</v>
      </c>
      <c r="X17" s="11">
        <v>0</v>
      </c>
      <c r="Y17" s="18">
        <v>0</v>
      </c>
      <c r="Z17" s="18">
        <v>0</v>
      </c>
      <c r="AA17" s="18">
        <v>0</v>
      </c>
      <c r="AB17" s="18">
        <v>10</v>
      </c>
      <c r="AC17" s="18">
        <v>10</v>
      </c>
      <c r="AD17" s="18">
        <v>10</v>
      </c>
      <c r="AE17" s="18">
        <v>10</v>
      </c>
      <c r="AF17" s="19">
        <v>10</v>
      </c>
      <c r="AG17" s="248">
        <v>50</v>
      </c>
      <c r="AH17" s="11">
        <v>0</v>
      </c>
      <c r="AI17" s="18">
        <v>0</v>
      </c>
      <c r="AJ17" s="18">
        <v>0</v>
      </c>
      <c r="AK17" s="18">
        <v>0</v>
      </c>
      <c r="AL17" s="18">
        <v>0</v>
      </c>
      <c r="AM17" s="18">
        <v>10</v>
      </c>
      <c r="AN17" s="18">
        <v>0</v>
      </c>
      <c r="AO17" s="18">
        <v>4</v>
      </c>
      <c r="AP17" s="18">
        <v>10</v>
      </c>
      <c r="AQ17" s="18">
        <v>0</v>
      </c>
      <c r="AR17" s="18">
        <v>0</v>
      </c>
      <c r="AS17" s="18">
        <v>10</v>
      </c>
      <c r="AT17" s="19">
        <v>2</v>
      </c>
      <c r="AU17" s="240">
        <v>36</v>
      </c>
      <c r="AV17" s="4">
        <v>218</v>
      </c>
    </row>
    <row r="18" spans="1:48">
      <c r="A18" s="234">
        <v>34</v>
      </c>
      <c r="B18" s="257" t="s">
        <v>159</v>
      </c>
      <c r="C18" s="11">
        <v>8</v>
      </c>
      <c r="D18" s="18">
        <v>0</v>
      </c>
      <c r="E18" s="18">
        <v>10</v>
      </c>
      <c r="F18" s="239">
        <v>0</v>
      </c>
      <c r="G18" s="18">
        <v>0</v>
      </c>
      <c r="H18" s="18">
        <v>0</v>
      </c>
      <c r="I18" s="18">
        <v>0</v>
      </c>
      <c r="J18" s="18">
        <v>0</v>
      </c>
      <c r="K18" s="239">
        <v>0</v>
      </c>
      <c r="L18" s="19">
        <v>0</v>
      </c>
      <c r="M18" s="251">
        <v>18</v>
      </c>
      <c r="N18" s="11">
        <v>0</v>
      </c>
      <c r="O18" s="18">
        <v>0</v>
      </c>
      <c r="P18" s="18">
        <v>0</v>
      </c>
      <c r="Q18" s="18">
        <v>0</v>
      </c>
      <c r="R18" s="18">
        <v>4</v>
      </c>
      <c r="S18" s="18">
        <v>0</v>
      </c>
      <c r="T18" s="18">
        <v>10</v>
      </c>
      <c r="U18" s="18">
        <v>0</v>
      </c>
      <c r="V18" s="19">
        <v>10</v>
      </c>
      <c r="W18" s="250">
        <v>24</v>
      </c>
      <c r="X18" s="11">
        <v>0</v>
      </c>
      <c r="Y18" s="18">
        <v>0</v>
      </c>
      <c r="Z18" s="18">
        <v>0</v>
      </c>
      <c r="AA18" s="18">
        <v>10</v>
      </c>
      <c r="AB18" s="18">
        <v>10</v>
      </c>
      <c r="AC18" s="18">
        <v>10</v>
      </c>
      <c r="AD18" s="18">
        <v>0</v>
      </c>
      <c r="AE18" s="18">
        <v>0</v>
      </c>
      <c r="AF18" s="19">
        <v>3</v>
      </c>
      <c r="AG18" s="248">
        <v>33</v>
      </c>
      <c r="AH18" s="11">
        <v>0</v>
      </c>
      <c r="AI18" s="18">
        <v>0</v>
      </c>
      <c r="AJ18" s="18">
        <v>0</v>
      </c>
      <c r="AK18" s="18">
        <v>10</v>
      </c>
      <c r="AL18" s="18">
        <v>10</v>
      </c>
      <c r="AM18" s="18">
        <v>0</v>
      </c>
      <c r="AN18" s="18">
        <v>0</v>
      </c>
      <c r="AO18" s="18">
        <v>0</v>
      </c>
      <c r="AP18" s="18">
        <v>0</v>
      </c>
      <c r="AQ18" s="18">
        <v>0</v>
      </c>
      <c r="AR18" s="18">
        <v>0</v>
      </c>
      <c r="AS18" s="18">
        <v>10</v>
      </c>
      <c r="AT18" s="19">
        <v>2</v>
      </c>
      <c r="AU18" s="240">
        <v>32</v>
      </c>
      <c r="AV18" s="4">
        <v>107</v>
      </c>
    </row>
    <row r="19" spans="1:48">
      <c r="A19" s="234">
        <v>35</v>
      </c>
      <c r="B19" s="257" t="s">
        <v>352</v>
      </c>
      <c r="C19" s="11">
        <v>8</v>
      </c>
      <c r="D19" s="18">
        <v>10</v>
      </c>
      <c r="E19" s="18">
        <v>10</v>
      </c>
      <c r="F19" s="239">
        <v>3</v>
      </c>
      <c r="G19" s="18">
        <v>4</v>
      </c>
      <c r="H19" s="18">
        <v>10</v>
      </c>
      <c r="I19" s="18">
        <v>0</v>
      </c>
      <c r="J19" s="18">
        <v>0</v>
      </c>
      <c r="K19" s="239">
        <v>10</v>
      </c>
      <c r="L19" s="19">
        <v>10</v>
      </c>
      <c r="M19" s="251">
        <v>65</v>
      </c>
      <c r="N19" s="11">
        <v>10</v>
      </c>
      <c r="O19" s="18">
        <v>10</v>
      </c>
      <c r="P19" s="18">
        <v>10</v>
      </c>
      <c r="Q19" s="18">
        <v>5</v>
      </c>
      <c r="R19" s="18">
        <v>4</v>
      </c>
      <c r="S19" s="18">
        <v>0</v>
      </c>
      <c r="T19" s="18">
        <v>10</v>
      </c>
      <c r="U19" s="18">
        <v>0</v>
      </c>
      <c r="V19" s="19">
        <v>0</v>
      </c>
      <c r="W19" s="250">
        <v>49</v>
      </c>
      <c r="X19" s="11">
        <v>10</v>
      </c>
      <c r="Y19" s="18">
        <v>6</v>
      </c>
      <c r="Z19" s="18">
        <v>6</v>
      </c>
      <c r="AA19" s="18">
        <v>10</v>
      </c>
      <c r="AB19" s="18">
        <v>10</v>
      </c>
      <c r="AC19" s="18">
        <v>10</v>
      </c>
      <c r="AD19" s="18">
        <v>10</v>
      </c>
      <c r="AE19" s="18">
        <v>10</v>
      </c>
      <c r="AF19" s="19">
        <v>10</v>
      </c>
      <c r="AG19" s="248">
        <v>82</v>
      </c>
      <c r="AH19" s="11">
        <v>10</v>
      </c>
      <c r="AI19" s="18">
        <v>10</v>
      </c>
      <c r="AJ19" s="18">
        <v>10</v>
      </c>
      <c r="AK19" s="18">
        <v>10</v>
      </c>
      <c r="AL19" s="18">
        <v>10</v>
      </c>
      <c r="AM19" s="18">
        <v>10</v>
      </c>
      <c r="AN19" s="18">
        <v>10</v>
      </c>
      <c r="AO19" s="18">
        <v>10</v>
      </c>
      <c r="AP19" s="18">
        <v>10</v>
      </c>
      <c r="AQ19" s="18">
        <v>8</v>
      </c>
      <c r="AR19" s="18">
        <v>6</v>
      </c>
      <c r="AS19" s="18">
        <v>10</v>
      </c>
      <c r="AT19" s="19">
        <v>10</v>
      </c>
      <c r="AU19" s="240">
        <v>124</v>
      </c>
      <c r="AV19" s="4">
        <v>320</v>
      </c>
    </row>
    <row r="20" spans="1:48">
      <c r="A20" s="234">
        <v>36</v>
      </c>
      <c r="B20" s="257" t="s">
        <v>408</v>
      </c>
      <c r="C20" s="11">
        <v>8</v>
      </c>
      <c r="D20" s="18">
        <v>10</v>
      </c>
      <c r="E20" s="18">
        <v>10</v>
      </c>
      <c r="F20" s="239">
        <v>8</v>
      </c>
      <c r="G20" s="18">
        <v>10</v>
      </c>
      <c r="H20" s="18">
        <v>10</v>
      </c>
      <c r="I20" s="18">
        <v>10</v>
      </c>
      <c r="J20" s="18">
        <v>10</v>
      </c>
      <c r="K20" s="239">
        <v>10</v>
      </c>
      <c r="L20" s="19">
        <v>10</v>
      </c>
      <c r="M20" s="251">
        <v>96</v>
      </c>
      <c r="N20" s="11">
        <v>10</v>
      </c>
      <c r="O20" s="18">
        <v>10</v>
      </c>
      <c r="P20" s="18">
        <v>10</v>
      </c>
      <c r="Q20" s="18">
        <v>10</v>
      </c>
      <c r="R20" s="18">
        <v>10</v>
      </c>
      <c r="S20" s="18">
        <v>6</v>
      </c>
      <c r="T20" s="18">
        <v>10</v>
      </c>
      <c r="U20" s="18">
        <v>10</v>
      </c>
      <c r="V20" s="19">
        <v>10</v>
      </c>
      <c r="W20" s="250">
        <v>86</v>
      </c>
      <c r="X20" s="11">
        <v>10</v>
      </c>
      <c r="Y20" s="18">
        <v>10</v>
      </c>
      <c r="Z20" s="18">
        <v>6</v>
      </c>
      <c r="AA20" s="18">
        <v>10</v>
      </c>
      <c r="AB20" s="18">
        <v>10</v>
      </c>
      <c r="AC20" s="18">
        <v>10</v>
      </c>
      <c r="AD20" s="18">
        <v>10</v>
      </c>
      <c r="AE20" s="18">
        <v>10</v>
      </c>
      <c r="AF20" s="19">
        <v>10</v>
      </c>
      <c r="AG20" s="248">
        <v>86</v>
      </c>
      <c r="AH20" s="11">
        <v>10</v>
      </c>
      <c r="AI20" s="18">
        <v>10</v>
      </c>
      <c r="AJ20" s="18">
        <v>10</v>
      </c>
      <c r="AK20" s="18">
        <v>10</v>
      </c>
      <c r="AL20" s="18">
        <v>10</v>
      </c>
      <c r="AM20" s="18">
        <v>10</v>
      </c>
      <c r="AN20" s="18">
        <v>10</v>
      </c>
      <c r="AO20" s="18">
        <v>10</v>
      </c>
      <c r="AP20" s="18">
        <v>10</v>
      </c>
      <c r="AQ20" s="18">
        <v>6</v>
      </c>
      <c r="AR20" s="18">
        <v>10</v>
      </c>
      <c r="AS20" s="18">
        <v>10</v>
      </c>
      <c r="AT20" s="19">
        <v>2</v>
      </c>
      <c r="AU20" s="240">
        <v>118</v>
      </c>
      <c r="AV20" s="4">
        <v>386</v>
      </c>
    </row>
    <row r="21" spans="1:48">
      <c r="A21" s="234">
        <v>37</v>
      </c>
      <c r="B21" s="257" t="s">
        <v>84</v>
      </c>
      <c r="C21" s="11">
        <v>0</v>
      </c>
      <c r="D21" s="18">
        <v>0</v>
      </c>
      <c r="E21" s="18">
        <v>0</v>
      </c>
      <c r="F21" s="239">
        <v>0</v>
      </c>
      <c r="G21" s="18">
        <v>0</v>
      </c>
      <c r="H21" s="18">
        <v>0</v>
      </c>
      <c r="I21" s="18">
        <v>0</v>
      </c>
      <c r="J21" s="18">
        <v>0</v>
      </c>
      <c r="K21" s="239">
        <v>0</v>
      </c>
      <c r="L21" s="19">
        <v>0</v>
      </c>
      <c r="M21" s="251">
        <v>0</v>
      </c>
      <c r="N21" s="11">
        <v>0</v>
      </c>
      <c r="O21" s="18">
        <v>0</v>
      </c>
      <c r="P21" s="18">
        <v>0</v>
      </c>
      <c r="Q21" s="18">
        <v>0</v>
      </c>
      <c r="R21" s="18">
        <v>0</v>
      </c>
      <c r="S21" s="18">
        <v>0</v>
      </c>
      <c r="T21" s="18">
        <v>0</v>
      </c>
      <c r="U21" s="18">
        <v>0</v>
      </c>
      <c r="V21" s="19">
        <v>10</v>
      </c>
      <c r="W21" s="250">
        <v>10</v>
      </c>
      <c r="X21" s="11">
        <v>0</v>
      </c>
      <c r="Y21" s="18">
        <v>0</v>
      </c>
      <c r="Z21" s="18">
        <v>0</v>
      </c>
      <c r="AA21" s="18">
        <v>0</v>
      </c>
      <c r="AB21" s="18">
        <v>0</v>
      </c>
      <c r="AC21" s="18">
        <v>0</v>
      </c>
      <c r="AD21" s="18">
        <v>0</v>
      </c>
      <c r="AE21" s="18">
        <v>0</v>
      </c>
      <c r="AF21" s="19">
        <v>2</v>
      </c>
      <c r="AG21" s="248">
        <v>2</v>
      </c>
      <c r="AH21" s="11">
        <v>0</v>
      </c>
      <c r="AI21" s="18">
        <v>0</v>
      </c>
      <c r="AJ21" s="18">
        <v>0</v>
      </c>
      <c r="AK21" s="18">
        <v>0</v>
      </c>
      <c r="AL21" s="18">
        <v>0</v>
      </c>
      <c r="AM21" s="18">
        <v>0</v>
      </c>
      <c r="AN21" s="18">
        <v>0</v>
      </c>
      <c r="AO21" s="18">
        <v>0</v>
      </c>
      <c r="AP21" s="18">
        <v>0</v>
      </c>
      <c r="AQ21" s="18">
        <v>0</v>
      </c>
      <c r="AR21" s="18">
        <v>0</v>
      </c>
      <c r="AS21" s="18">
        <v>0</v>
      </c>
      <c r="AT21" s="19">
        <v>2</v>
      </c>
      <c r="AU21" s="240">
        <v>2</v>
      </c>
      <c r="AV21" s="4">
        <v>14</v>
      </c>
    </row>
    <row r="22" spans="1:48">
      <c r="A22" s="234">
        <v>38</v>
      </c>
      <c r="B22" s="257" t="s">
        <v>409</v>
      </c>
      <c r="C22" s="11">
        <v>8</v>
      </c>
      <c r="D22" s="18">
        <v>10</v>
      </c>
      <c r="E22" s="18">
        <v>10</v>
      </c>
      <c r="F22" s="239">
        <v>8</v>
      </c>
      <c r="G22" s="18">
        <v>10</v>
      </c>
      <c r="H22" s="18">
        <v>10</v>
      </c>
      <c r="I22" s="18">
        <v>10</v>
      </c>
      <c r="J22" s="18">
        <v>10</v>
      </c>
      <c r="K22" s="239">
        <v>10</v>
      </c>
      <c r="L22" s="19">
        <v>10</v>
      </c>
      <c r="M22" s="251">
        <v>96</v>
      </c>
      <c r="N22" s="11">
        <v>10</v>
      </c>
      <c r="O22" s="18">
        <v>10</v>
      </c>
      <c r="P22" s="18">
        <v>10</v>
      </c>
      <c r="Q22" s="18">
        <v>10</v>
      </c>
      <c r="R22" s="18">
        <v>10</v>
      </c>
      <c r="S22" s="18">
        <v>6</v>
      </c>
      <c r="T22" s="18">
        <v>10</v>
      </c>
      <c r="U22" s="18">
        <v>10</v>
      </c>
      <c r="V22" s="19">
        <v>10</v>
      </c>
      <c r="W22" s="250">
        <v>86</v>
      </c>
      <c r="X22" s="11">
        <v>10</v>
      </c>
      <c r="Y22" s="18">
        <v>10</v>
      </c>
      <c r="Z22" s="18">
        <v>6</v>
      </c>
      <c r="AA22" s="18">
        <v>10</v>
      </c>
      <c r="AB22" s="18">
        <v>10</v>
      </c>
      <c r="AC22" s="18">
        <v>10</v>
      </c>
      <c r="AD22" s="18">
        <v>10</v>
      </c>
      <c r="AE22" s="18">
        <v>10</v>
      </c>
      <c r="AF22" s="19">
        <v>10</v>
      </c>
      <c r="AG22" s="248">
        <v>86</v>
      </c>
      <c r="AH22" s="11">
        <v>10</v>
      </c>
      <c r="AI22" s="18">
        <v>10</v>
      </c>
      <c r="AJ22" s="18">
        <v>10</v>
      </c>
      <c r="AK22" s="18">
        <v>10</v>
      </c>
      <c r="AL22" s="18">
        <v>10</v>
      </c>
      <c r="AM22" s="18">
        <v>10</v>
      </c>
      <c r="AN22" s="18">
        <v>10</v>
      </c>
      <c r="AO22" s="18">
        <v>10</v>
      </c>
      <c r="AP22" s="18">
        <v>10</v>
      </c>
      <c r="AQ22" s="18">
        <v>6</v>
      </c>
      <c r="AR22" s="18">
        <v>10</v>
      </c>
      <c r="AS22" s="18">
        <v>10</v>
      </c>
      <c r="AT22" s="19">
        <v>2</v>
      </c>
      <c r="AU22" s="240">
        <v>118</v>
      </c>
      <c r="AV22" s="4">
        <v>386</v>
      </c>
    </row>
    <row r="23" spans="1:48">
      <c r="A23" s="234">
        <v>39</v>
      </c>
      <c r="B23" s="257" t="s">
        <v>410</v>
      </c>
      <c r="C23" s="11">
        <v>0</v>
      </c>
      <c r="D23" s="18">
        <v>0</v>
      </c>
      <c r="E23" s="18">
        <v>0</v>
      </c>
      <c r="F23" s="239">
        <v>0</v>
      </c>
      <c r="G23" s="18">
        <v>0</v>
      </c>
      <c r="H23" s="18">
        <v>0</v>
      </c>
      <c r="I23" s="18">
        <v>0</v>
      </c>
      <c r="J23" s="18">
        <v>0</v>
      </c>
      <c r="K23" s="239">
        <v>0</v>
      </c>
      <c r="L23" s="19">
        <v>0</v>
      </c>
      <c r="M23" s="251">
        <v>0</v>
      </c>
      <c r="N23" s="11">
        <v>0</v>
      </c>
      <c r="O23" s="18">
        <v>0</v>
      </c>
      <c r="P23" s="18">
        <v>0</v>
      </c>
      <c r="Q23" s="18">
        <v>0</v>
      </c>
      <c r="R23" s="18">
        <v>0</v>
      </c>
      <c r="S23" s="18">
        <v>0</v>
      </c>
      <c r="T23" s="18">
        <v>0</v>
      </c>
      <c r="U23" s="18">
        <v>0</v>
      </c>
      <c r="V23" s="19">
        <v>10</v>
      </c>
      <c r="W23" s="250">
        <v>10</v>
      </c>
      <c r="X23" s="11">
        <v>0</v>
      </c>
      <c r="Y23" s="18">
        <v>0</v>
      </c>
      <c r="Z23" s="18">
        <v>0</v>
      </c>
      <c r="AA23" s="18">
        <v>0</v>
      </c>
      <c r="AB23" s="18">
        <v>0</v>
      </c>
      <c r="AC23" s="18">
        <v>0</v>
      </c>
      <c r="AD23" s="18">
        <v>0</v>
      </c>
      <c r="AE23" s="18">
        <v>0</v>
      </c>
      <c r="AF23" s="19">
        <v>2</v>
      </c>
      <c r="AG23" s="248">
        <v>2</v>
      </c>
      <c r="AH23" s="11">
        <v>0</v>
      </c>
      <c r="AI23" s="18">
        <v>0</v>
      </c>
      <c r="AJ23" s="18">
        <v>0</v>
      </c>
      <c r="AK23" s="18">
        <v>0</v>
      </c>
      <c r="AL23" s="18">
        <v>0</v>
      </c>
      <c r="AM23" s="18">
        <v>0</v>
      </c>
      <c r="AN23" s="18">
        <v>0</v>
      </c>
      <c r="AO23" s="18">
        <v>0</v>
      </c>
      <c r="AP23" s="18">
        <v>0</v>
      </c>
      <c r="AQ23" s="18">
        <v>0</v>
      </c>
      <c r="AR23" s="18">
        <v>0</v>
      </c>
      <c r="AS23" s="18">
        <v>0</v>
      </c>
      <c r="AT23" s="19">
        <v>2</v>
      </c>
      <c r="AU23" s="240">
        <v>2</v>
      </c>
      <c r="AV23" s="4">
        <v>14</v>
      </c>
    </row>
    <row r="24" spans="1:48">
      <c r="A24" s="234">
        <v>40</v>
      </c>
      <c r="B24" s="257" t="s">
        <v>411</v>
      </c>
      <c r="C24" s="11">
        <v>0</v>
      </c>
      <c r="D24" s="18">
        <v>0</v>
      </c>
      <c r="E24" s="18">
        <v>0</v>
      </c>
      <c r="F24" s="239">
        <v>0</v>
      </c>
      <c r="G24" s="18">
        <v>0</v>
      </c>
      <c r="H24" s="18">
        <v>0</v>
      </c>
      <c r="I24" s="18">
        <v>0</v>
      </c>
      <c r="J24" s="18">
        <v>0</v>
      </c>
      <c r="K24" s="239">
        <v>0</v>
      </c>
      <c r="L24" s="19">
        <v>0</v>
      </c>
      <c r="M24" s="251">
        <v>0</v>
      </c>
      <c r="N24" s="11">
        <v>0</v>
      </c>
      <c r="O24" s="18">
        <v>0</v>
      </c>
      <c r="P24" s="18">
        <v>0</v>
      </c>
      <c r="Q24" s="18">
        <v>0</v>
      </c>
      <c r="R24" s="18">
        <v>0</v>
      </c>
      <c r="S24" s="18">
        <v>0</v>
      </c>
      <c r="T24" s="18">
        <v>0</v>
      </c>
      <c r="U24" s="18">
        <v>0</v>
      </c>
      <c r="V24" s="19">
        <v>10</v>
      </c>
      <c r="W24" s="250">
        <v>10</v>
      </c>
      <c r="X24" s="11">
        <v>0</v>
      </c>
      <c r="Y24" s="18">
        <v>0</v>
      </c>
      <c r="Z24" s="18">
        <v>0</v>
      </c>
      <c r="AA24" s="18">
        <v>0</v>
      </c>
      <c r="AB24" s="18">
        <v>0</v>
      </c>
      <c r="AC24" s="18">
        <v>0</v>
      </c>
      <c r="AD24" s="18">
        <v>0</v>
      </c>
      <c r="AE24" s="18">
        <v>0</v>
      </c>
      <c r="AF24" s="19">
        <v>2</v>
      </c>
      <c r="AG24" s="248">
        <v>2</v>
      </c>
      <c r="AH24" s="11">
        <v>0</v>
      </c>
      <c r="AI24" s="18">
        <v>0</v>
      </c>
      <c r="AJ24" s="18">
        <v>0</v>
      </c>
      <c r="AK24" s="18">
        <v>0</v>
      </c>
      <c r="AL24" s="18">
        <v>0</v>
      </c>
      <c r="AM24" s="18">
        <v>0</v>
      </c>
      <c r="AN24" s="18">
        <v>0</v>
      </c>
      <c r="AO24" s="18">
        <v>0</v>
      </c>
      <c r="AP24" s="18">
        <v>0</v>
      </c>
      <c r="AQ24" s="18">
        <v>0</v>
      </c>
      <c r="AR24" s="18">
        <v>0</v>
      </c>
      <c r="AS24" s="18">
        <v>0</v>
      </c>
      <c r="AT24" s="19">
        <v>2</v>
      </c>
      <c r="AU24" s="240">
        <v>2</v>
      </c>
      <c r="AV24" s="4">
        <v>14</v>
      </c>
    </row>
    <row r="25" spans="1:48">
      <c r="A25" s="234">
        <v>41</v>
      </c>
      <c r="B25" s="257" t="s">
        <v>337</v>
      </c>
      <c r="C25" s="11">
        <v>6</v>
      </c>
      <c r="D25" s="18">
        <v>10</v>
      </c>
      <c r="E25" s="18">
        <v>10</v>
      </c>
      <c r="F25" s="239">
        <v>3</v>
      </c>
      <c r="G25" s="18">
        <v>10</v>
      </c>
      <c r="H25" s="18">
        <v>10</v>
      </c>
      <c r="I25" s="18">
        <v>10</v>
      </c>
      <c r="J25" s="18">
        <v>0</v>
      </c>
      <c r="K25" s="239">
        <v>6</v>
      </c>
      <c r="L25" s="19">
        <v>10</v>
      </c>
      <c r="M25" s="251">
        <v>75</v>
      </c>
      <c r="N25" s="11">
        <v>10</v>
      </c>
      <c r="O25" s="18">
        <v>10</v>
      </c>
      <c r="P25" s="18">
        <v>10</v>
      </c>
      <c r="Q25" s="18">
        <v>10</v>
      </c>
      <c r="R25" s="18">
        <v>6</v>
      </c>
      <c r="S25" s="18">
        <v>10</v>
      </c>
      <c r="T25" s="18">
        <v>10</v>
      </c>
      <c r="U25" s="18">
        <v>10</v>
      </c>
      <c r="V25" s="19">
        <v>10</v>
      </c>
      <c r="W25" s="250">
        <v>86</v>
      </c>
      <c r="X25" s="11">
        <v>0</v>
      </c>
      <c r="Y25" s="18">
        <v>0</v>
      </c>
      <c r="Z25" s="18">
        <v>0</v>
      </c>
      <c r="AA25" s="18">
        <v>10</v>
      </c>
      <c r="AB25" s="18">
        <v>10</v>
      </c>
      <c r="AC25" s="18">
        <v>10</v>
      </c>
      <c r="AD25" s="18">
        <v>10</v>
      </c>
      <c r="AE25" s="18">
        <v>10</v>
      </c>
      <c r="AF25" s="19">
        <v>10</v>
      </c>
      <c r="AG25" s="248">
        <v>60</v>
      </c>
      <c r="AH25" s="11">
        <v>10</v>
      </c>
      <c r="AI25" s="18">
        <v>10</v>
      </c>
      <c r="AJ25" s="18">
        <v>0</v>
      </c>
      <c r="AK25" s="18">
        <v>10</v>
      </c>
      <c r="AL25" s="18">
        <v>0</v>
      </c>
      <c r="AM25" s="18">
        <v>10</v>
      </c>
      <c r="AN25" s="18">
        <v>10</v>
      </c>
      <c r="AO25" s="18">
        <v>6</v>
      </c>
      <c r="AP25" s="18">
        <v>6</v>
      </c>
      <c r="AQ25" s="18">
        <v>6</v>
      </c>
      <c r="AR25" s="18">
        <v>10</v>
      </c>
      <c r="AS25" s="18">
        <v>10</v>
      </c>
      <c r="AT25" s="19">
        <v>10</v>
      </c>
      <c r="AU25" s="240">
        <v>98</v>
      </c>
      <c r="AV25" s="4">
        <v>319</v>
      </c>
    </row>
    <row r="26" spans="1:48">
      <c r="A26" s="234">
        <v>42</v>
      </c>
      <c r="B26" s="257" t="s">
        <v>338</v>
      </c>
      <c r="C26" s="11">
        <v>8</v>
      </c>
      <c r="D26" s="18">
        <v>10</v>
      </c>
      <c r="E26" s="18">
        <v>10</v>
      </c>
      <c r="F26" s="239">
        <v>3</v>
      </c>
      <c r="G26" s="18">
        <v>10</v>
      </c>
      <c r="H26" s="18">
        <v>6</v>
      </c>
      <c r="I26" s="18">
        <v>10</v>
      </c>
      <c r="J26" s="18">
        <v>0</v>
      </c>
      <c r="K26" s="239">
        <v>10</v>
      </c>
      <c r="L26" s="19">
        <v>10</v>
      </c>
      <c r="M26" s="251">
        <v>77</v>
      </c>
      <c r="N26" s="11">
        <v>10</v>
      </c>
      <c r="O26" s="18">
        <v>10</v>
      </c>
      <c r="P26" s="18">
        <v>10</v>
      </c>
      <c r="Q26" s="18">
        <v>10</v>
      </c>
      <c r="R26" s="18">
        <v>4</v>
      </c>
      <c r="S26" s="18">
        <v>10</v>
      </c>
      <c r="T26" s="18">
        <v>10</v>
      </c>
      <c r="U26" s="18">
        <v>10</v>
      </c>
      <c r="V26" s="19">
        <v>0</v>
      </c>
      <c r="W26" s="250">
        <v>74</v>
      </c>
      <c r="X26" s="11">
        <v>0</v>
      </c>
      <c r="Y26" s="18">
        <v>6</v>
      </c>
      <c r="Z26" s="18">
        <v>0</v>
      </c>
      <c r="AA26" s="18">
        <v>10</v>
      </c>
      <c r="AB26" s="18">
        <v>10</v>
      </c>
      <c r="AC26" s="18">
        <v>10</v>
      </c>
      <c r="AD26" s="18">
        <v>10</v>
      </c>
      <c r="AE26" s="18">
        <v>10</v>
      </c>
      <c r="AF26" s="19">
        <v>3</v>
      </c>
      <c r="AG26" s="248">
        <v>59</v>
      </c>
      <c r="AH26" s="11">
        <v>0</v>
      </c>
      <c r="AI26" s="18">
        <v>0</v>
      </c>
      <c r="AJ26" s="18">
        <v>6</v>
      </c>
      <c r="AK26" s="18">
        <v>10</v>
      </c>
      <c r="AL26" s="18">
        <v>10</v>
      </c>
      <c r="AM26" s="18">
        <v>10</v>
      </c>
      <c r="AN26" s="18">
        <v>10</v>
      </c>
      <c r="AO26" s="18">
        <v>10</v>
      </c>
      <c r="AP26" s="18">
        <v>10</v>
      </c>
      <c r="AQ26" s="18">
        <v>8</v>
      </c>
      <c r="AR26" s="18">
        <v>8</v>
      </c>
      <c r="AS26" s="18">
        <v>10</v>
      </c>
      <c r="AT26" s="19">
        <v>2</v>
      </c>
      <c r="AU26" s="240">
        <v>94</v>
      </c>
      <c r="AV26" s="4">
        <v>304</v>
      </c>
    </row>
    <row r="27" spans="1:48">
      <c r="A27" s="234">
        <v>43</v>
      </c>
      <c r="B27" s="257" t="s">
        <v>339</v>
      </c>
      <c r="C27" s="11">
        <v>8</v>
      </c>
      <c r="D27" s="18">
        <v>10</v>
      </c>
      <c r="E27" s="18">
        <v>10</v>
      </c>
      <c r="F27" s="239">
        <v>5</v>
      </c>
      <c r="G27" s="18">
        <v>10</v>
      </c>
      <c r="H27" s="18">
        <v>10</v>
      </c>
      <c r="I27" s="18">
        <v>10</v>
      </c>
      <c r="J27" s="18">
        <v>0</v>
      </c>
      <c r="K27" s="239">
        <v>10</v>
      </c>
      <c r="L27" s="19">
        <v>10</v>
      </c>
      <c r="M27" s="251">
        <v>83</v>
      </c>
      <c r="N27" s="11">
        <v>10</v>
      </c>
      <c r="O27" s="18">
        <v>10</v>
      </c>
      <c r="P27" s="18">
        <v>10</v>
      </c>
      <c r="Q27" s="18">
        <v>5</v>
      </c>
      <c r="R27" s="18">
        <v>6</v>
      </c>
      <c r="S27" s="18">
        <v>6</v>
      </c>
      <c r="T27" s="18">
        <v>10</v>
      </c>
      <c r="U27" s="18">
        <v>10</v>
      </c>
      <c r="V27" s="19">
        <v>10</v>
      </c>
      <c r="W27" s="250">
        <v>77</v>
      </c>
      <c r="X27" s="11">
        <v>0</v>
      </c>
      <c r="Y27" s="18">
        <v>6</v>
      </c>
      <c r="Z27" s="18">
        <v>6</v>
      </c>
      <c r="AA27" s="18">
        <v>10</v>
      </c>
      <c r="AB27" s="18">
        <v>10</v>
      </c>
      <c r="AC27" s="18">
        <v>10</v>
      </c>
      <c r="AD27" s="18">
        <v>10</v>
      </c>
      <c r="AE27" s="18">
        <v>10</v>
      </c>
      <c r="AF27" s="19">
        <v>3</v>
      </c>
      <c r="AG27" s="248">
        <v>65</v>
      </c>
      <c r="AH27" s="11">
        <v>10</v>
      </c>
      <c r="AI27" s="18">
        <v>10</v>
      </c>
      <c r="AJ27" s="18">
        <v>0</v>
      </c>
      <c r="AK27" s="18">
        <v>10</v>
      </c>
      <c r="AL27" s="18">
        <v>10</v>
      </c>
      <c r="AM27" s="18">
        <v>10</v>
      </c>
      <c r="AN27" s="18">
        <v>10</v>
      </c>
      <c r="AO27" s="18">
        <v>10</v>
      </c>
      <c r="AP27" s="18">
        <v>10</v>
      </c>
      <c r="AQ27" s="18">
        <v>0</v>
      </c>
      <c r="AR27" s="18">
        <v>6</v>
      </c>
      <c r="AS27" s="18">
        <v>10</v>
      </c>
      <c r="AT27" s="19">
        <v>2</v>
      </c>
      <c r="AU27" s="240">
        <v>98</v>
      </c>
      <c r="AV27" s="4">
        <v>323</v>
      </c>
    </row>
    <row r="28" spans="1:48">
      <c r="A28" s="234">
        <v>44</v>
      </c>
      <c r="B28" s="257" t="s">
        <v>82</v>
      </c>
      <c r="C28" s="11">
        <v>6</v>
      </c>
      <c r="D28" s="18">
        <v>10</v>
      </c>
      <c r="E28" s="18">
        <v>10</v>
      </c>
      <c r="F28" s="239">
        <v>5</v>
      </c>
      <c r="G28" s="18">
        <v>10</v>
      </c>
      <c r="H28" s="18">
        <v>10</v>
      </c>
      <c r="I28" s="18">
        <v>0</v>
      </c>
      <c r="J28" s="18">
        <v>10</v>
      </c>
      <c r="K28" s="239">
        <v>10</v>
      </c>
      <c r="L28" s="19">
        <v>10</v>
      </c>
      <c r="M28" s="251">
        <v>81</v>
      </c>
      <c r="N28" s="11">
        <v>10</v>
      </c>
      <c r="O28" s="18">
        <v>10</v>
      </c>
      <c r="P28" s="18">
        <v>10</v>
      </c>
      <c r="Q28" s="18">
        <v>10</v>
      </c>
      <c r="R28" s="18">
        <v>6</v>
      </c>
      <c r="S28" s="18">
        <v>6</v>
      </c>
      <c r="T28" s="18">
        <v>10</v>
      </c>
      <c r="U28" s="18">
        <v>10</v>
      </c>
      <c r="V28" s="19">
        <v>10</v>
      </c>
      <c r="W28" s="250">
        <v>82</v>
      </c>
      <c r="X28" s="11">
        <v>10</v>
      </c>
      <c r="Y28" s="18">
        <v>10</v>
      </c>
      <c r="Z28" s="18">
        <v>10</v>
      </c>
      <c r="AA28" s="18">
        <v>10</v>
      </c>
      <c r="AB28" s="18">
        <v>0</v>
      </c>
      <c r="AC28" s="18">
        <v>0</v>
      </c>
      <c r="AD28" s="18">
        <v>10</v>
      </c>
      <c r="AE28" s="18">
        <v>0</v>
      </c>
      <c r="AF28" s="19">
        <v>10</v>
      </c>
      <c r="AG28" s="248">
        <v>60</v>
      </c>
      <c r="AH28" s="11">
        <v>10</v>
      </c>
      <c r="AI28" s="18">
        <v>10</v>
      </c>
      <c r="AJ28" s="18">
        <v>10</v>
      </c>
      <c r="AK28" s="18">
        <v>0</v>
      </c>
      <c r="AL28" s="18">
        <v>10</v>
      </c>
      <c r="AM28" s="18">
        <v>10</v>
      </c>
      <c r="AN28" s="18">
        <v>10</v>
      </c>
      <c r="AO28" s="18">
        <v>10</v>
      </c>
      <c r="AP28" s="18">
        <v>10</v>
      </c>
      <c r="AQ28" s="18">
        <v>0</v>
      </c>
      <c r="AR28" s="18">
        <v>8</v>
      </c>
      <c r="AS28" s="18">
        <v>0</v>
      </c>
      <c r="AT28" s="19">
        <v>2</v>
      </c>
      <c r="AU28" s="240">
        <v>90</v>
      </c>
      <c r="AV28" s="4">
        <v>313</v>
      </c>
    </row>
    <row r="29" spans="1:48">
      <c r="A29" s="234">
        <v>45</v>
      </c>
      <c r="B29" s="257" t="s">
        <v>169</v>
      </c>
      <c r="C29" s="11">
        <v>6</v>
      </c>
      <c r="D29" s="18">
        <v>10</v>
      </c>
      <c r="E29" s="18">
        <v>10</v>
      </c>
      <c r="F29" s="239">
        <v>8</v>
      </c>
      <c r="G29" s="18">
        <v>10</v>
      </c>
      <c r="H29" s="18">
        <v>6</v>
      </c>
      <c r="I29" s="18">
        <v>0</v>
      </c>
      <c r="J29" s="18">
        <v>6</v>
      </c>
      <c r="K29" s="239">
        <v>10</v>
      </c>
      <c r="L29" s="19">
        <v>0</v>
      </c>
      <c r="M29" s="251">
        <v>66</v>
      </c>
      <c r="N29" s="11">
        <v>10</v>
      </c>
      <c r="O29" s="18">
        <v>10</v>
      </c>
      <c r="P29" s="18">
        <v>10</v>
      </c>
      <c r="Q29" s="18">
        <v>10</v>
      </c>
      <c r="R29" s="18">
        <v>6</v>
      </c>
      <c r="S29" s="18">
        <v>10</v>
      </c>
      <c r="T29" s="18">
        <v>10</v>
      </c>
      <c r="U29" s="18">
        <v>10</v>
      </c>
      <c r="V29" s="19">
        <v>0</v>
      </c>
      <c r="W29" s="250">
        <v>76</v>
      </c>
      <c r="X29" s="11">
        <v>0</v>
      </c>
      <c r="Y29" s="18">
        <v>6</v>
      </c>
      <c r="Z29" s="18">
        <v>0</v>
      </c>
      <c r="AA29" s="18">
        <v>10</v>
      </c>
      <c r="AB29" s="18">
        <v>10</v>
      </c>
      <c r="AC29" s="18">
        <v>10</v>
      </c>
      <c r="AD29" s="18">
        <v>10</v>
      </c>
      <c r="AE29" s="18">
        <v>10</v>
      </c>
      <c r="AF29" s="19">
        <v>10</v>
      </c>
      <c r="AG29" s="248">
        <v>66</v>
      </c>
      <c r="AH29" s="11">
        <v>0</v>
      </c>
      <c r="AI29" s="18">
        <v>0</v>
      </c>
      <c r="AJ29" s="18">
        <v>6</v>
      </c>
      <c r="AK29" s="18">
        <v>10</v>
      </c>
      <c r="AL29" s="18">
        <v>10</v>
      </c>
      <c r="AM29" s="18">
        <v>10</v>
      </c>
      <c r="AN29" s="18">
        <v>10</v>
      </c>
      <c r="AO29" s="18">
        <v>10</v>
      </c>
      <c r="AP29" s="18">
        <v>10</v>
      </c>
      <c r="AQ29" s="18">
        <v>0</v>
      </c>
      <c r="AR29" s="18">
        <v>10</v>
      </c>
      <c r="AS29" s="18">
        <v>10</v>
      </c>
      <c r="AT29" s="19">
        <v>2</v>
      </c>
      <c r="AU29" s="240">
        <v>88</v>
      </c>
      <c r="AV29" s="4">
        <v>296</v>
      </c>
    </row>
    <row r="30" spans="1:48">
      <c r="A30" s="234">
        <v>46</v>
      </c>
      <c r="B30" s="257" t="s">
        <v>170</v>
      </c>
      <c r="C30" s="11">
        <v>6</v>
      </c>
      <c r="D30" s="18">
        <v>0</v>
      </c>
      <c r="E30" s="18">
        <v>10</v>
      </c>
      <c r="F30" s="239">
        <v>8</v>
      </c>
      <c r="G30" s="18">
        <v>10</v>
      </c>
      <c r="H30" s="18">
        <v>0</v>
      </c>
      <c r="I30" s="18">
        <v>0</v>
      </c>
      <c r="J30" s="18">
        <v>0</v>
      </c>
      <c r="K30" s="239">
        <v>10</v>
      </c>
      <c r="L30" s="19">
        <v>10</v>
      </c>
      <c r="M30" s="251">
        <v>54</v>
      </c>
      <c r="N30" s="11">
        <v>10</v>
      </c>
      <c r="O30" s="18">
        <v>10</v>
      </c>
      <c r="P30" s="18">
        <v>0</v>
      </c>
      <c r="Q30" s="18">
        <v>5</v>
      </c>
      <c r="R30" s="18">
        <v>10</v>
      </c>
      <c r="S30" s="18">
        <v>6</v>
      </c>
      <c r="T30" s="18">
        <v>10</v>
      </c>
      <c r="U30" s="18">
        <v>10</v>
      </c>
      <c r="V30" s="19">
        <v>10</v>
      </c>
      <c r="W30" s="250">
        <v>71</v>
      </c>
      <c r="X30" s="11">
        <v>0</v>
      </c>
      <c r="Y30" s="18">
        <v>6</v>
      </c>
      <c r="Z30" s="18">
        <v>0</v>
      </c>
      <c r="AA30" s="18">
        <v>10</v>
      </c>
      <c r="AB30" s="18">
        <v>10</v>
      </c>
      <c r="AC30" s="18">
        <v>10</v>
      </c>
      <c r="AD30" s="18">
        <v>10</v>
      </c>
      <c r="AE30" s="18">
        <v>10</v>
      </c>
      <c r="AF30" s="19">
        <v>10</v>
      </c>
      <c r="AG30" s="248">
        <v>66</v>
      </c>
      <c r="AH30" s="11">
        <v>0</v>
      </c>
      <c r="AI30" s="18">
        <v>10</v>
      </c>
      <c r="AJ30" s="18">
        <v>0</v>
      </c>
      <c r="AK30" s="18">
        <v>0</v>
      </c>
      <c r="AL30" s="18">
        <v>10</v>
      </c>
      <c r="AM30" s="18">
        <v>10</v>
      </c>
      <c r="AN30" s="18">
        <v>10</v>
      </c>
      <c r="AO30" s="18">
        <v>6</v>
      </c>
      <c r="AP30" s="18">
        <v>6</v>
      </c>
      <c r="AQ30" s="18">
        <v>0</v>
      </c>
      <c r="AR30" s="18">
        <v>8</v>
      </c>
      <c r="AS30" s="18">
        <v>10</v>
      </c>
      <c r="AT30" s="19">
        <v>2</v>
      </c>
      <c r="AU30" s="240">
        <v>72</v>
      </c>
      <c r="AV30" s="4">
        <v>263</v>
      </c>
    </row>
    <row r="31" spans="1:48">
      <c r="A31" s="234">
        <v>47</v>
      </c>
      <c r="B31" s="257" t="s">
        <v>416</v>
      </c>
      <c r="C31" s="11">
        <v>8</v>
      </c>
      <c r="D31" s="18">
        <v>0</v>
      </c>
      <c r="E31" s="18">
        <v>0</v>
      </c>
      <c r="F31" s="239">
        <v>0</v>
      </c>
      <c r="G31" s="18">
        <v>10</v>
      </c>
      <c r="H31" s="18">
        <v>10</v>
      </c>
      <c r="I31" s="18">
        <v>10</v>
      </c>
      <c r="J31" s="18">
        <v>0</v>
      </c>
      <c r="K31" s="239">
        <v>0</v>
      </c>
      <c r="L31" s="19">
        <v>10</v>
      </c>
      <c r="M31" s="251">
        <v>48</v>
      </c>
      <c r="N31" s="11">
        <v>10</v>
      </c>
      <c r="O31" s="18">
        <v>10</v>
      </c>
      <c r="P31" s="18">
        <v>0</v>
      </c>
      <c r="Q31" s="18">
        <v>5</v>
      </c>
      <c r="R31" s="18">
        <v>6</v>
      </c>
      <c r="S31" s="18">
        <v>10</v>
      </c>
      <c r="T31" s="18">
        <v>10</v>
      </c>
      <c r="U31" s="18">
        <v>10</v>
      </c>
      <c r="V31" s="19">
        <v>10</v>
      </c>
      <c r="W31" s="250">
        <v>71</v>
      </c>
      <c r="X31" s="11">
        <v>0</v>
      </c>
      <c r="Y31" s="18">
        <v>6</v>
      </c>
      <c r="Z31" s="18">
        <v>0</v>
      </c>
      <c r="AA31" s="18">
        <v>0</v>
      </c>
      <c r="AB31" s="18">
        <v>0</v>
      </c>
      <c r="AC31" s="18">
        <v>0</v>
      </c>
      <c r="AD31" s="18">
        <v>0</v>
      </c>
      <c r="AE31" s="18">
        <v>10</v>
      </c>
      <c r="AF31" s="19">
        <v>10</v>
      </c>
      <c r="AG31" s="248">
        <v>26</v>
      </c>
      <c r="AH31" s="11">
        <v>0</v>
      </c>
      <c r="AI31" s="18">
        <v>0</v>
      </c>
      <c r="AJ31" s="18">
        <v>0</v>
      </c>
      <c r="AK31" s="18">
        <v>0</v>
      </c>
      <c r="AL31" s="18">
        <v>0</v>
      </c>
      <c r="AM31" s="18">
        <v>10</v>
      </c>
      <c r="AN31" s="18">
        <v>10</v>
      </c>
      <c r="AO31" s="18">
        <v>4</v>
      </c>
      <c r="AP31" s="18">
        <v>10</v>
      </c>
      <c r="AQ31" s="18">
        <v>0</v>
      </c>
      <c r="AR31" s="18">
        <v>8</v>
      </c>
      <c r="AS31" s="18">
        <v>10</v>
      </c>
      <c r="AT31" s="19">
        <v>2</v>
      </c>
      <c r="AU31" s="240">
        <v>54</v>
      </c>
      <c r="AV31" s="4">
        <v>199</v>
      </c>
    </row>
    <row r="32" spans="1:48">
      <c r="A32" s="234">
        <v>48</v>
      </c>
      <c r="B32" s="257" t="s">
        <v>171</v>
      </c>
      <c r="C32" s="11">
        <v>8</v>
      </c>
      <c r="D32" s="18">
        <v>10</v>
      </c>
      <c r="E32" s="18">
        <v>10</v>
      </c>
      <c r="F32" s="239">
        <v>10</v>
      </c>
      <c r="G32" s="18">
        <v>10</v>
      </c>
      <c r="H32" s="18">
        <v>10</v>
      </c>
      <c r="I32" s="18">
        <v>10</v>
      </c>
      <c r="J32" s="18">
        <v>6</v>
      </c>
      <c r="K32" s="239">
        <v>6</v>
      </c>
      <c r="L32" s="19">
        <v>10</v>
      </c>
      <c r="M32" s="251">
        <v>90</v>
      </c>
      <c r="N32" s="11">
        <v>10</v>
      </c>
      <c r="O32" s="18">
        <v>10</v>
      </c>
      <c r="P32" s="18">
        <v>0</v>
      </c>
      <c r="Q32" s="18">
        <v>10</v>
      </c>
      <c r="R32" s="18">
        <v>6</v>
      </c>
      <c r="S32" s="18">
        <v>6</v>
      </c>
      <c r="T32" s="18">
        <v>10</v>
      </c>
      <c r="U32" s="18">
        <v>10</v>
      </c>
      <c r="V32" s="19">
        <v>10</v>
      </c>
      <c r="W32" s="250">
        <v>72</v>
      </c>
      <c r="X32" s="11">
        <v>10</v>
      </c>
      <c r="Y32" s="18">
        <v>10</v>
      </c>
      <c r="Z32" s="18">
        <v>6</v>
      </c>
      <c r="AA32" s="18">
        <v>10</v>
      </c>
      <c r="AB32" s="18">
        <v>10</v>
      </c>
      <c r="AC32" s="18">
        <v>10</v>
      </c>
      <c r="AD32" s="18">
        <v>10</v>
      </c>
      <c r="AE32" s="18">
        <v>10</v>
      </c>
      <c r="AF32" s="19">
        <v>10</v>
      </c>
      <c r="AG32" s="248">
        <v>86</v>
      </c>
      <c r="AH32" s="11">
        <v>10</v>
      </c>
      <c r="AI32" s="18">
        <v>10</v>
      </c>
      <c r="AJ32" s="18">
        <v>10</v>
      </c>
      <c r="AK32" s="18">
        <v>10</v>
      </c>
      <c r="AL32" s="18">
        <v>0</v>
      </c>
      <c r="AM32" s="18">
        <v>10</v>
      </c>
      <c r="AN32" s="18">
        <v>10</v>
      </c>
      <c r="AO32" s="18">
        <v>10</v>
      </c>
      <c r="AP32" s="18">
        <v>10</v>
      </c>
      <c r="AQ32" s="18">
        <v>0</v>
      </c>
      <c r="AR32" s="18">
        <v>10</v>
      </c>
      <c r="AS32" s="18">
        <v>10</v>
      </c>
      <c r="AT32" s="19">
        <v>10</v>
      </c>
      <c r="AU32" s="240">
        <v>110</v>
      </c>
      <c r="AV32" s="4">
        <v>358</v>
      </c>
    </row>
    <row r="33" spans="1:48">
      <c r="A33" s="234">
        <v>49</v>
      </c>
      <c r="B33" s="257" t="s">
        <v>431</v>
      </c>
      <c r="C33" s="11">
        <v>0</v>
      </c>
      <c r="D33" s="18">
        <v>10</v>
      </c>
      <c r="E33" s="18">
        <v>10</v>
      </c>
      <c r="F33" s="239">
        <v>5</v>
      </c>
      <c r="G33" s="18">
        <v>10</v>
      </c>
      <c r="H33" s="18">
        <v>6</v>
      </c>
      <c r="I33" s="18">
        <v>10</v>
      </c>
      <c r="J33" s="18">
        <v>0</v>
      </c>
      <c r="K33" s="239">
        <v>6</v>
      </c>
      <c r="L33" s="19">
        <v>10</v>
      </c>
      <c r="M33" s="251">
        <v>67</v>
      </c>
      <c r="N33" s="11">
        <v>10</v>
      </c>
      <c r="O33" s="18">
        <v>10</v>
      </c>
      <c r="P33" s="18">
        <v>0</v>
      </c>
      <c r="Q33" s="18">
        <v>10</v>
      </c>
      <c r="R33" s="18">
        <v>10</v>
      </c>
      <c r="S33" s="18">
        <v>10</v>
      </c>
      <c r="T33" s="18">
        <v>10</v>
      </c>
      <c r="U33" s="18">
        <v>10</v>
      </c>
      <c r="V33" s="19">
        <v>10</v>
      </c>
      <c r="W33" s="250">
        <v>80</v>
      </c>
      <c r="X33" s="11">
        <v>0</v>
      </c>
      <c r="Y33" s="18">
        <v>0</v>
      </c>
      <c r="Z33" s="18">
        <v>6</v>
      </c>
      <c r="AA33" s="18">
        <v>0</v>
      </c>
      <c r="AB33" s="18">
        <v>10</v>
      </c>
      <c r="AC33" s="18">
        <v>10</v>
      </c>
      <c r="AD33" s="18">
        <v>10</v>
      </c>
      <c r="AE33" s="18">
        <v>10</v>
      </c>
      <c r="AF33" s="19">
        <v>3</v>
      </c>
      <c r="AG33" s="248">
        <v>49</v>
      </c>
      <c r="AH33" s="11">
        <v>0</v>
      </c>
      <c r="AI33" s="18">
        <v>10</v>
      </c>
      <c r="AJ33" s="18">
        <v>6</v>
      </c>
      <c r="AK33" s="18">
        <v>0</v>
      </c>
      <c r="AL33" s="18">
        <v>10</v>
      </c>
      <c r="AM33" s="18">
        <v>10</v>
      </c>
      <c r="AN33" s="18">
        <v>10</v>
      </c>
      <c r="AO33" s="18">
        <v>6</v>
      </c>
      <c r="AP33" s="18">
        <v>0</v>
      </c>
      <c r="AQ33" s="18">
        <v>0</v>
      </c>
      <c r="AR33" s="18">
        <v>8</v>
      </c>
      <c r="AS33" s="18">
        <v>10</v>
      </c>
      <c r="AT33" s="19">
        <v>2</v>
      </c>
      <c r="AU33" s="240">
        <v>72</v>
      </c>
      <c r="AV33" s="4">
        <v>268</v>
      </c>
    </row>
    <row r="34" spans="1:48">
      <c r="A34" s="234">
        <v>50</v>
      </c>
      <c r="B34" s="257" t="s">
        <v>353</v>
      </c>
      <c r="C34" s="11">
        <v>6</v>
      </c>
      <c r="D34" s="18">
        <v>10</v>
      </c>
      <c r="E34" s="18">
        <v>10</v>
      </c>
      <c r="F34" s="239">
        <v>5</v>
      </c>
      <c r="G34" s="18">
        <v>10</v>
      </c>
      <c r="H34" s="18">
        <v>8</v>
      </c>
      <c r="I34" s="18">
        <v>10</v>
      </c>
      <c r="J34" s="18">
        <v>10</v>
      </c>
      <c r="K34" s="239">
        <v>10</v>
      </c>
      <c r="L34" s="19">
        <v>10</v>
      </c>
      <c r="M34" s="251">
        <v>89</v>
      </c>
      <c r="N34" s="11">
        <v>10</v>
      </c>
      <c r="O34" s="18">
        <v>10</v>
      </c>
      <c r="P34" s="18">
        <v>10</v>
      </c>
      <c r="Q34" s="18">
        <v>10</v>
      </c>
      <c r="R34" s="18">
        <v>6</v>
      </c>
      <c r="S34" s="18">
        <v>10</v>
      </c>
      <c r="T34" s="18">
        <v>10</v>
      </c>
      <c r="U34" s="18">
        <v>10</v>
      </c>
      <c r="V34" s="19">
        <v>6</v>
      </c>
      <c r="W34" s="250">
        <v>82</v>
      </c>
      <c r="X34" s="11">
        <v>0</v>
      </c>
      <c r="Y34" s="18">
        <v>6</v>
      </c>
      <c r="Z34" s="18">
        <v>6</v>
      </c>
      <c r="AA34" s="18">
        <v>10</v>
      </c>
      <c r="AB34" s="18">
        <v>10</v>
      </c>
      <c r="AC34" s="18">
        <v>10</v>
      </c>
      <c r="AD34" s="18">
        <v>10</v>
      </c>
      <c r="AE34" s="18">
        <v>10</v>
      </c>
      <c r="AF34" s="19">
        <v>10</v>
      </c>
      <c r="AG34" s="248">
        <v>72</v>
      </c>
      <c r="AH34" s="11">
        <v>10</v>
      </c>
      <c r="AI34" s="18">
        <v>10</v>
      </c>
      <c r="AJ34" s="18">
        <v>10</v>
      </c>
      <c r="AK34" s="18">
        <v>10</v>
      </c>
      <c r="AL34" s="18">
        <v>10</v>
      </c>
      <c r="AM34" s="18">
        <v>10</v>
      </c>
      <c r="AN34" s="18">
        <v>10</v>
      </c>
      <c r="AO34" s="18">
        <v>10</v>
      </c>
      <c r="AP34" s="18">
        <v>10</v>
      </c>
      <c r="AQ34" s="18">
        <v>0</v>
      </c>
      <c r="AR34" s="18">
        <v>8</v>
      </c>
      <c r="AS34" s="18">
        <v>10</v>
      </c>
      <c r="AT34" s="19">
        <v>2</v>
      </c>
      <c r="AU34" s="240">
        <v>110</v>
      </c>
      <c r="AV34" s="4">
        <v>353</v>
      </c>
    </row>
    <row r="35" spans="1:48">
      <c r="A35" s="234">
        <v>51</v>
      </c>
      <c r="B35" s="257" t="s">
        <v>22</v>
      </c>
      <c r="C35" s="11">
        <v>6</v>
      </c>
      <c r="D35" s="18">
        <v>10</v>
      </c>
      <c r="E35" s="18">
        <v>10</v>
      </c>
      <c r="F35" s="239">
        <v>10</v>
      </c>
      <c r="G35" s="18">
        <v>10</v>
      </c>
      <c r="H35" s="18">
        <v>10</v>
      </c>
      <c r="I35" s="18">
        <v>10</v>
      </c>
      <c r="J35" s="18">
        <v>6</v>
      </c>
      <c r="K35" s="239">
        <v>10</v>
      </c>
      <c r="L35" s="19">
        <v>10</v>
      </c>
      <c r="M35" s="251">
        <v>92</v>
      </c>
      <c r="N35" s="11">
        <v>10</v>
      </c>
      <c r="O35" s="18">
        <v>10</v>
      </c>
      <c r="P35" s="18">
        <v>10</v>
      </c>
      <c r="Q35" s="18">
        <v>5</v>
      </c>
      <c r="R35" s="18">
        <v>6</v>
      </c>
      <c r="S35" s="18">
        <v>6</v>
      </c>
      <c r="T35" s="18">
        <v>10</v>
      </c>
      <c r="U35" s="18">
        <v>10</v>
      </c>
      <c r="V35" s="19">
        <v>10</v>
      </c>
      <c r="W35" s="250">
        <v>77</v>
      </c>
      <c r="X35" s="11">
        <v>10</v>
      </c>
      <c r="Y35" s="18">
        <v>6</v>
      </c>
      <c r="Z35" s="18">
        <v>6</v>
      </c>
      <c r="AA35" s="18">
        <v>10</v>
      </c>
      <c r="AB35" s="18">
        <v>10</v>
      </c>
      <c r="AC35" s="18">
        <v>10</v>
      </c>
      <c r="AD35" s="18">
        <v>10</v>
      </c>
      <c r="AE35" s="18">
        <v>10</v>
      </c>
      <c r="AF35" s="19">
        <v>6</v>
      </c>
      <c r="AG35" s="248">
        <v>78</v>
      </c>
      <c r="AH35" s="11">
        <v>10</v>
      </c>
      <c r="AI35" s="18">
        <v>10</v>
      </c>
      <c r="AJ35" s="18">
        <v>10</v>
      </c>
      <c r="AK35" s="18">
        <v>10</v>
      </c>
      <c r="AL35" s="18">
        <v>10</v>
      </c>
      <c r="AM35" s="18">
        <v>10</v>
      </c>
      <c r="AN35" s="18">
        <v>10</v>
      </c>
      <c r="AO35" s="18">
        <v>10</v>
      </c>
      <c r="AP35" s="18">
        <v>10</v>
      </c>
      <c r="AQ35" s="18">
        <v>6</v>
      </c>
      <c r="AR35" s="18">
        <v>6</v>
      </c>
      <c r="AS35" s="18">
        <v>10</v>
      </c>
      <c r="AT35" s="19">
        <v>10</v>
      </c>
      <c r="AU35" s="240">
        <v>122</v>
      </c>
      <c r="AV35" s="4">
        <v>369</v>
      </c>
    </row>
    <row r="36" spans="1:48">
      <c r="A36" s="234">
        <v>52</v>
      </c>
      <c r="B36" s="257" t="s">
        <v>249</v>
      </c>
      <c r="C36" s="11">
        <v>6</v>
      </c>
      <c r="D36" s="18">
        <v>10</v>
      </c>
      <c r="E36" s="18">
        <v>10</v>
      </c>
      <c r="F36" s="239">
        <v>5</v>
      </c>
      <c r="G36" s="18">
        <v>10</v>
      </c>
      <c r="H36" s="18">
        <v>10</v>
      </c>
      <c r="I36" s="18">
        <v>0</v>
      </c>
      <c r="J36" s="18">
        <v>6</v>
      </c>
      <c r="K36" s="239">
        <v>10</v>
      </c>
      <c r="L36" s="19">
        <v>10</v>
      </c>
      <c r="M36" s="251">
        <v>77</v>
      </c>
      <c r="N36" s="11">
        <v>10</v>
      </c>
      <c r="O36" s="18">
        <v>10</v>
      </c>
      <c r="P36" s="18">
        <v>10</v>
      </c>
      <c r="Q36" s="18">
        <v>5</v>
      </c>
      <c r="R36" s="18">
        <v>6</v>
      </c>
      <c r="S36" s="18">
        <v>6</v>
      </c>
      <c r="T36" s="18">
        <v>10</v>
      </c>
      <c r="U36" s="18">
        <v>10</v>
      </c>
      <c r="V36" s="19">
        <v>10</v>
      </c>
      <c r="W36" s="250">
        <v>77</v>
      </c>
      <c r="X36" s="11">
        <v>10</v>
      </c>
      <c r="Y36" s="18">
        <v>6</v>
      </c>
      <c r="Z36" s="18">
        <v>6</v>
      </c>
      <c r="AA36" s="18">
        <v>10</v>
      </c>
      <c r="AB36" s="18">
        <v>10</v>
      </c>
      <c r="AC36" s="18">
        <v>10</v>
      </c>
      <c r="AD36" s="18">
        <v>10</v>
      </c>
      <c r="AE36" s="18">
        <v>10</v>
      </c>
      <c r="AF36" s="19">
        <v>10</v>
      </c>
      <c r="AG36" s="248">
        <v>82</v>
      </c>
      <c r="AH36" s="11">
        <v>0</v>
      </c>
      <c r="AI36" s="18">
        <v>0</v>
      </c>
      <c r="AJ36" s="18">
        <v>6</v>
      </c>
      <c r="AK36" s="18">
        <v>0</v>
      </c>
      <c r="AL36" s="18">
        <v>10</v>
      </c>
      <c r="AM36" s="18">
        <v>0</v>
      </c>
      <c r="AN36" s="18">
        <v>10</v>
      </c>
      <c r="AO36" s="18">
        <v>10</v>
      </c>
      <c r="AP36" s="18">
        <v>10</v>
      </c>
      <c r="AQ36" s="18">
        <v>8</v>
      </c>
      <c r="AR36" s="18">
        <v>0</v>
      </c>
      <c r="AS36" s="18">
        <v>10</v>
      </c>
      <c r="AT36" s="19">
        <v>2</v>
      </c>
      <c r="AU36" s="240">
        <v>66</v>
      </c>
      <c r="AV36" s="4">
        <v>302</v>
      </c>
    </row>
    <row r="37" spans="1:48">
      <c r="A37" s="234">
        <v>53</v>
      </c>
      <c r="B37" s="257" t="s">
        <v>250</v>
      </c>
      <c r="C37" s="11">
        <v>6</v>
      </c>
      <c r="D37" s="18">
        <v>10</v>
      </c>
      <c r="E37" s="18">
        <v>10</v>
      </c>
      <c r="F37" s="239">
        <v>3</v>
      </c>
      <c r="G37" s="18">
        <v>8</v>
      </c>
      <c r="H37" s="18">
        <v>8</v>
      </c>
      <c r="I37" s="18">
        <v>0</v>
      </c>
      <c r="J37" s="18">
        <v>10</v>
      </c>
      <c r="K37" s="239">
        <v>10</v>
      </c>
      <c r="L37" s="19">
        <v>10</v>
      </c>
      <c r="M37" s="251">
        <v>75</v>
      </c>
      <c r="N37" s="11">
        <v>10</v>
      </c>
      <c r="O37" s="18">
        <v>10</v>
      </c>
      <c r="P37" s="18">
        <v>10</v>
      </c>
      <c r="Q37" s="18">
        <v>10</v>
      </c>
      <c r="R37" s="18">
        <v>6</v>
      </c>
      <c r="S37" s="18">
        <v>6</v>
      </c>
      <c r="T37" s="18">
        <v>10</v>
      </c>
      <c r="U37" s="18">
        <v>10</v>
      </c>
      <c r="V37" s="19">
        <v>6</v>
      </c>
      <c r="W37" s="250">
        <v>78</v>
      </c>
      <c r="X37" s="11">
        <v>0</v>
      </c>
      <c r="Y37" s="18">
        <v>10</v>
      </c>
      <c r="Z37" s="18">
        <v>0</v>
      </c>
      <c r="AA37" s="18">
        <v>10</v>
      </c>
      <c r="AB37" s="18">
        <v>10</v>
      </c>
      <c r="AC37" s="18">
        <v>10</v>
      </c>
      <c r="AD37" s="18">
        <v>10</v>
      </c>
      <c r="AE37" s="18">
        <v>10</v>
      </c>
      <c r="AF37" s="19">
        <v>10</v>
      </c>
      <c r="AG37" s="248">
        <v>70</v>
      </c>
      <c r="AH37" s="11">
        <v>0</v>
      </c>
      <c r="AI37" s="18">
        <v>0</v>
      </c>
      <c r="AJ37" s="18">
        <v>6</v>
      </c>
      <c r="AK37" s="18">
        <v>0</v>
      </c>
      <c r="AL37" s="18">
        <v>0</v>
      </c>
      <c r="AM37" s="18">
        <v>0</v>
      </c>
      <c r="AN37" s="18">
        <v>10</v>
      </c>
      <c r="AO37" s="18">
        <v>0</v>
      </c>
      <c r="AP37" s="18">
        <v>6</v>
      </c>
      <c r="AQ37" s="18">
        <v>0</v>
      </c>
      <c r="AR37" s="18">
        <v>0</v>
      </c>
      <c r="AS37" s="18">
        <v>10</v>
      </c>
      <c r="AT37" s="19">
        <v>2</v>
      </c>
      <c r="AU37" s="240">
        <v>34</v>
      </c>
      <c r="AV37" s="4">
        <v>257</v>
      </c>
    </row>
    <row r="38" spans="1:48">
      <c r="A38" s="234">
        <v>54</v>
      </c>
      <c r="B38" s="257" t="s">
        <v>86</v>
      </c>
      <c r="C38" s="11">
        <v>8</v>
      </c>
      <c r="D38" s="18">
        <v>10</v>
      </c>
      <c r="E38" s="18">
        <v>10</v>
      </c>
      <c r="F38" s="239">
        <v>5</v>
      </c>
      <c r="G38" s="18">
        <v>10</v>
      </c>
      <c r="H38" s="18">
        <v>10</v>
      </c>
      <c r="I38" s="18">
        <v>10</v>
      </c>
      <c r="J38" s="18">
        <v>10</v>
      </c>
      <c r="K38" s="239">
        <v>10</v>
      </c>
      <c r="L38" s="19">
        <v>10</v>
      </c>
      <c r="M38" s="251">
        <v>93</v>
      </c>
      <c r="N38" s="11">
        <v>10</v>
      </c>
      <c r="O38" s="18">
        <v>10</v>
      </c>
      <c r="P38" s="18">
        <v>10</v>
      </c>
      <c r="Q38" s="18">
        <v>10</v>
      </c>
      <c r="R38" s="18">
        <v>0</v>
      </c>
      <c r="S38" s="18">
        <v>0</v>
      </c>
      <c r="T38" s="18">
        <v>10</v>
      </c>
      <c r="U38" s="18">
        <v>10</v>
      </c>
      <c r="V38" s="19">
        <v>10</v>
      </c>
      <c r="W38" s="250">
        <v>70</v>
      </c>
      <c r="X38" s="11">
        <v>0</v>
      </c>
      <c r="Y38" s="18">
        <v>6</v>
      </c>
      <c r="Z38" s="18">
        <v>0</v>
      </c>
      <c r="AA38" s="18">
        <v>0</v>
      </c>
      <c r="AB38" s="18">
        <v>10</v>
      </c>
      <c r="AC38" s="18">
        <v>10</v>
      </c>
      <c r="AD38" s="18">
        <v>10</v>
      </c>
      <c r="AE38" s="18">
        <v>10</v>
      </c>
      <c r="AF38" s="19">
        <v>10</v>
      </c>
      <c r="AG38" s="248">
        <v>56</v>
      </c>
      <c r="AH38" s="11">
        <v>0</v>
      </c>
      <c r="AI38" s="18">
        <v>0</v>
      </c>
      <c r="AJ38" s="18">
        <v>6</v>
      </c>
      <c r="AK38" s="18">
        <v>10</v>
      </c>
      <c r="AL38" s="18">
        <v>10</v>
      </c>
      <c r="AM38" s="18">
        <v>10</v>
      </c>
      <c r="AN38" s="18">
        <v>10</v>
      </c>
      <c r="AO38" s="18">
        <v>10</v>
      </c>
      <c r="AP38" s="18">
        <v>10</v>
      </c>
      <c r="AQ38" s="18">
        <v>0</v>
      </c>
      <c r="AR38" s="18">
        <v>8</v>
      </c>
      <c r="AS38" s="18">
        <v>10</v>
      </c>
      <c r="AT38" s="19">
        <v>2</v>
      </c>
      <c r="AU38" s="240">
        <v>86</v>
      </c>
      <c r="AV38" s="4">
        <v>305</v>
      </c>
    </row>
    <row r="39" spans="1:48">
      <c r="A39" s="234">
        <v>55</v>
      </c>
      <c r="B39" s="257" t="s">
        <v>426</v>
      </c>
      <c r="C39" s="11">
        <v>6</v>
      </c>
      <c r="D39" s="18">
        <v>10</v>
      </c>
      <c r="E39" s="18">
        <v>0</v>
      </c>
      <c r="F39" s="239">
        <v>0</v>
      </c>
      <c r="G39" s="18">
        <v>10</v>
      </c>
      <c r="H39" s="18">
        <v>6</v>
      </c>
      <c r="I39" s="18">
        <v>0</v>
      </c>
      <c r="J39" s="18">
        <v>10</v>
      </c>
      <c r="K39" s="239">
        <v>10</v>
      </c>
      <c r="L39" s="19">
        <v>10</v>
      </c>
      <c r="M39" s="251">
        <v>62</v>
      </c>
      <c r="N39" s="11">
        <v>10</v>
      </c>
      <c r="O39" s="18">
        <v>10</v>
      </c>
      <c r="P39" s="18">
        <v>10</v>
      </c>
      <c r="Q39" s="18">
        <v>10</v>
      </c>
      <c r="R39" s="18">
        <v>0</v>
      </c>
      <c r="S39" s="18">
        <v>10</v>
      </c>
      <c r="T39" s="18">
        <v>10</v>
      </c>
      <c r="U39" s="18">
        <v>10</v>
      </c>
      <c r="V39" s="19">
        <v>6</v>
      </c>
      <c r="W39" s="250">
        <v>76</v>
      </c>
      <c r="X39" s="11">
        <v>10</v>
      </c>
      <c r="Y39" s="18">
        <v>0</v>
      </c>
      <c r="Z39" s="18">
        <v>6</v>
      </c>
      <c r="AA39" s="18">
        <v>10</v>
      </c>
      <c r="AB39" s="18">
        <v>10</v>
      </c>
      <c r="AC39" s="18">
        <v>10</v>
      </c>
      <c r="AD39" s="18">
        <v>10</v>
      </c>
      <c r="AE39" s="18">
        <v>10</v>
      </c>
      <c r="AF39" s="19">
        <v>10</v>
      </c>
      <c r="AG39" s="248">
        <v>76</v>
      </c>
      <c r="AH39" s="11">
        <v>10</v>
      </c>
      <c r="AI39" s="18">
        <v>10</v>
      </c>
      <c r="AJ39" s="18">
        <v>10</v>
      </c>
      <c r="AK39" s="18">
        <v>10</v>
      </c>
      <c r="AL39" s="18">
        <v>10</v>
      </c>
      <c r="AM39" s="18">
        <v>10</v>
      </c>
      <c r="AN39" s="18">
        <v>10</v>
      </c>
      <c r="AO39" s="18">
        <v>10</v>
      </c>
      <c r="AP39" s="18">
        <v>10</v>
      </c>
      <c r="AQ39" s="18">
        <v>6</v>
      </c>
      <c r="AR39" s="18">
        <v>10</v>
      </c>
      <c r="AS39" s="18">
        <v>10</v>
      </c>
      <c r="AT39" s="19">
        <v>10</v>
      </c>
      <c r="AU39" s="240">
        <v>126</v>
      </c>
      <c r="AV39" s="4">
        <v>340</v>
      </c>
    </row>
    <row r="40" spans="1:48">
      <c r="A40" s="234">
        <v>56</v>
      </c>
      <c r="B40" s="257" t="s">
        <v>342</v>
      </c>
      <c r="C40" s="11">
        <v>6</v>
      </c>
      <c r="D40" s="18">
        <v>10</v>
      </c>
      <c r="E40" s="18">
        <v>10</v>
      </c>
      <c r="F40" s="239">
        <v>5</v>
      </c>
      <c r="G40" s="18">
        <v>10</v>
      </c>
      <c r="H40" s="18">
        <v>10</v>
      </c>
      <c r="I40" s="18">
        <v>0</v>
      </c>
      <c r="J40" s="18">
        <v>0</v>
      </c>
      <c r="K40" s="239">
        <v>10</v>
      </c>
      <c r="L40" s="19">
        <v>10</v>
      </c>
      <c r="M40" s="251">
        <v>71</v>
      </c>
      <c r="N40" s="11">
        <v>10</v>
      </c>
      <c r="O40" s="18">
        <v>10</v>
      </c>
      <c r="P40" s="18">
        <v>10</v>
      </c>
      <c r="Q40" s="18">
        <v>10</v>
      </c>
      <c r="R40" s="18">
        <v>6</v>
      </c>
      <c r="S40" s="18">
        <v>6</v>
      </c>
      <c r="T40" s="18">
        <v>10</v>
      </c>
      <c r="U40" s="18">
        <v>10</v>
      </c>
      <c r="V40" s="19">
        <v>10</v>
      </c>
      <c r="W40" s="250">
        <v>82</v>
      </c>
      <c r="X40" s="11">
        <v>10</v>
      </c>
      <c r="Y40" s="18">
        <v>6</v>
      </c>
      <c r="Z40" s="18">
        <v>6</v>
      </c>
      <c r="AA40" s="18">
        <v>10</v>
      </c>
      <c r="AB40" s="18">
        <v>10</v>
      </c>
      <c r="AC40" s="18">
        <v>10</v>
      </c>
      <c r="AD40" s="18">
        <v>10</v>
      </c>
      <c r="AE40" s="18">
        <v>10</v>
      </c>
      <c r="AF40" s="19">
        <v>10</v>
      </c>
      <c r="AG40" s="248">
        <v>82</v>
      </c>
      <c r="AH40" s="11">
        <v>10</v>
      </c>
      <c r="AI40" s="18">
        <v>10</v>
      </c>
      <c r="AJ40" s="18">
        <v>6</v>
      </c>
      <c r="AK40" s="18">
        <v>10</v>
      </c>
      <c r="AL40" s="18">
        <v>10</v>
      </c>
      <c r="AM40" s="18">
        <v>10</v>
      </c>
      <c r="AN40" s="18">
        <v>10</v>
      </c>
      <c r="AO40" s="18">
        <v>10</v>
      </c>
      <c r="AP40" s="18">
        <v>10</v>
      </c>
      <c r="AQ40" s="18">
        <v>0</v>
      </c>
      <c r="AR40" s="18">
        <v>6</v>
      </c>
      <c r="AS40" s="18">
        <v>10</v>
      </c>
      <c r="AT40" s="19">
        <v>2</v>
      </c>
      <c r="AU40" s="240">
        <v>104</v>
      </c>
      <c r="AV40" s="4">
        <v>339</v>
      </c>
    </row>
    <row r="41" spans="1:48">
      <c r="A41" s="234">
        <v>57</v>
      </c>
      <c r="B41" s="257" t="s">
        <v>343</v>
      </c>
      <c r="C41" s="11">
        <v>8</v>
      </c>
      <c r="D41" s="18">
        <v>10</v>
      </c>
      <c r="E41" s="18">
        <v>0</v>
      </c>
      <c r="F41" s="239">
        <v>0</v>
      </c>
      <c r="G41" s="18">
        <v>10</v>
      </c>
      <c r="H41" s="18">
        <v>8</v>
      </c>
      <c r="I41" s="18">
        <v>0</v>
      </c>
      <c r="J41" s="18">
        <v>0</v>
      </c>
      <c r="K41" s="239">
        <v>10</v>
      </c>
      <c r="L41" s="19">
        <v>10</v>
      </c>
      <c r="M41" s="251">
        <v>56</v>
      </c>
      <c r="N41" s="11">
        <v>10</v>
      </c>
      <c r="O41" s="18">
        <v>10</v>
      </c>
      <c r="P41" s="18">
        <v>10</v>
      </c>
      <c r="Q41" s="18">
        <v>10</v>
      </c>
      <c r="R41" s="18">
        <v>10</v>
      </c>
      <c r="S41" s="18">
        <v>10</v>
      </c>
      <c r="T41" s="18">
        <v>10</v>
      </c>
      <c r="U41" s="18">
        <v>10</v>
      </c>
      <c r="V41" s="19">
        <v>6</v>
      </c>
      <c r="W41" s="250">
        <v>86</v>
      </c>
      <c r="X41" s="11">
        <v>0</v>
      </c>
      <c r="Y41" s="18">
        <v>6</v>
      </c>
      <c r="Z41" s="18">
        <v>0</v>
      </c>
      <c r="AA41" s="18">
        <v>0</v>
      </c>
      <c r="AB41" s="18">
        <v>10</v>
      </c>
      <c r="AC41" s="18">
        <v>10</v>
      </c>
      <c r="AD41" s="18">
        <v>10</v>
      </c>
      <c r="AE41" s="18">
        <v>10</v>
      </c>
      <c r="AF41" s="19">
        <v>10</v>
      </c>
      <c r="AG41" s="248">
        <v>56</v>
      </c>
      <c r="AH41" s="11">
        <v>10</v>
      </c>
      <c r="AI41" s="18">
        <v>0</v>
      </c>
      <c r="AJ41" s="18">
        <v>0</v>
      </c>
      <c r="AK41" s="18">
        <v>0</v>
      </c>
      <c r="AL41" s="18">
        <v>0</v>
      </c>
      <c r="AM41" s="18">
        <v>0</v>
      </c>
      <c r="AN41" s="18">
        <v>10</v>
      </c>
      <c r="AO41" s="18">
        <v>10</v>
      </c>
      <c r="AP41" s="18">
        <v>10</v>
      </c>
      <c r="AQ41" s="18">
        <v>0</v>
      </c>
      <c r="AR41" s="18">
        <v>0</v>
      </c>
      <c r="AS41" s="18">
        <v>0</v>
      </c>
      <c r="AT41" s="19">
        <v>2</v>
      </c>
      <c r="AU41" s="240">
        <v>42</v>
      </c>
      <c r="AV41" s="4">
        <v>240</v>
      </c>
    </row>
    <row r="42" spans="1:48">
      <c r="A42" s="234">
        <v>58</v>
      </c>
      <c r="B42" s="257" t="s">
        <v>344</v>
      </c>
      <c r="C42" s="11">
        <v>8</v>
      </c>
      <c r="D42" s="18">
        <v>0</v>
      </c>
      <c r="E42" s="18">
        <v>0</v>
      </c>
      <c r="F42" s="239">
        <v>0</v>
      </c>
      <c r="G42" s="18">
        <v>10</v>
      </c>
      <c r="H42" s="18">
        <v>8</v>
      </c>
      <c r="I42" s="18">
        <v>10</v>
      </c>
      <c r="J42" s="18">
        <v>10</v>
      </c>
      <c r="K42" s="239">
        <v>6</v>
      </c>
      <c r="L42" s="19">
        <v>10</v>
      </c>
      <c r="M42" s="251">
        <v>62</v>
      </c>
      <c r="N42" s="11">
        <v>10</v>
      </c>
      <c r="O42" s="18">
        <v>10</v>
      </c>
      <c r="P42" s="18">
        <v>10</v>
      </c>
      <c r="Q42" s="18">
        <v>10</v>
      </c>
      <c r="R42" s="18">
        <v>10</v>
      </c>
      <c r="S42" s="18">
        <v>10</v>
      </c>
      <c r="T42" s="18">
        <v>10</v>
      </c>
      <c r="U42" s="18">
        <v>10</v>
      </c>
      <c r="V42" s="19">
        <v>6</v>
      </c>
      <c r="W42" s="250">
        <v>86</v>
      </c>
      <c r="X42" s="11">
        <v>0</v>
      </c>
      <c r="Y42" s="18">
        <v>0</v>
      </c>
      <c r="Z42" s="18">
        <v>0</v>
      </c>
      <c r="AA42" s="18">
        <v>10</v>
      </c>
      <c r="AB42" s="18">
        <v>10</v>
      </c>
      <c r="AC42" s="18">
        <v>10</v>
      </c>
      <c r="AD42" s="18">
        <v>10</v>
      </c>
      <c r="AE42" s="18">
        <v>10</v>
      </c>
      <c r="AF42" s="19">
        <v>10</v>
      </c>
      <c r="AG42" s="248">
        <v>60</v>
      </c>
      <c r="AH42" s="11">
        <v>0</v>
      </c>
      <c r="AI42" s="18">
        <v>0</v>
      </c>
      <c r="AJ42" s="18">
        <v>0</v>
      </c>
      <c r="AK42" s="18">
        <v>10</v>
      </c>
      <c r="AL42" s="18">
        <v>10</v>
      </c>
      <c r="AM42" s="18">
        <v>10</v>
      </c>
      <c r="AN42" s="18">
        <v>0</v>
      </c>
      <c r="AO42" s="18">
        <v>4</v>
      </c>
      <c r="AP42" s="18">
        <v>10</v>
      </c>
      <c r="AQ42" s="18">
        <v>0</v>
      </c>
      <c r="AR42" s="18">
        <v>0</v>
      </c>
      <c r="AS42" s="18">
        <v>0</v>
      </c>
      <c r="AT42" s="19">
        <v>2</v>
      </c>
      <c r="AU42" s="240">
        <v>46</v>
      </c>
      <c r="AV42" s="4">
        <v>254</v>
      </c>
    </row>
    <row r="43" spans="1:48">
      <c r="A43" s="234">
        <v>59</v>
      </c>
      <c r="B43" s="257" t="s">
        <v>172</v>
      </c>
      <c r="C43" s="11">
        <v>6</v>
      </c>
      <c r="D43" s="18">
        <v>10</v>
      </c>
      <c r="E43" s="18">
        <v>0</v>
      </c>
      <c r="F43" s="239">
        <v>0</v>
      </c>
      <c r="G43" s="18">
        <v>2</v>
      </c>
      <c r="H43" s="18">
        <v>8</v>
      </c>
      <c r="I43" s="18">
        <v>10</v>
      </c>
      <c r="J43" s="18">
        <v>10</v>
      </c>
      <c r="K43" s="239">
        <v>0</v>
      </c>
      <c r="L43" s="19">
        <v>10</v>
      </c>
      <c r="M43" s="251">
        <v>56</v>
      </c>
      <c r="N43" s="11">
        <v>0</v>
      </c>
      <c r="O43" s="18">
        <v>0</v>
      </c>
      <c r="P43" s="18">
        <v>0</v>
      </c>
      <c r="Q43" s="18">
        <v>0</v>
      </c>
      <c r="R43" s="18">
        <v>0</v>
      </c>
      <c r="S43" s="18">
        <v>0</v>
      </c>
      <c r="T43" s="18">
        <v>0</v>
      </c>
      <c r="U43" s="18">
        <v>0</v>
      </c>
      <c r="V43" s="19">
        <v>0</v>
      </c>
      <c r="W43" s="250">
        <v>0</v>
      </c>
      <c r="X43" s="11">
        <v>0</v>
      </c>
      <c r="Y43" s="18">
        <v>0</v>
      </c>
      <c r="Z43" s="18">
        <v>0</v>
      </c>
      <c r="AA43" s="18">
        <v>0</v>
      </c>
      <c r="AB43" s="18">
        <v>0</v>
      </c>
      <c r="AC43" s="18">
        <v>0</v>
      </c>
      <c r="AD43" s="18">
        <v>0</v>
      </c>
      <c r="AE43" s="18">
        <v>0</v>
      </c>
      <c r="AF43" s="19">
        <v>0</v>
      </c>
      <c r="AG43" s="248">
        <v>0</v>
      </c>
      <c r="AH43" s="11">
        <v>0</v>
      </c>
      <c r="AI43" s="18">
        <v>0</v>
      </c>
      <c r="AJ43" s="18">
        <v>0</v>
      </c>
      <c r="AK43" s="18">
        <v>0</v>
      </c>
      <c r="AL43" s="18">
        <v>0</v>
      </c>
      <c r="AM43" s="18">
        <v>0</v>
      </c>
      <c r="AN43" s="18">
        <v>0</v>
      </c>
      <c r="AO43" s="18">
        <v>0</v>
      </c>
      <c r="AP43" s="18">
        <v>0</v>
      </c>
      <c r="AQ43" s="18">
        <v>0</v>
      </c>
      <c r="AR43" s="18">
        <v>0</v>
      </c>
      <c r="AS43" s="18">
        <v>0</v>
      </c>
      <c r="AT43" s="19">
        <v>0</v>
      </c>
      <c r="AU43" s="240">
        <v>0</v>
      </c>
      <c r="AV43" s="4">
        <v>56</v>
      </c>
    </row>
    <row r="44" spans="1:48">
      <c r="A44" s="234">
        <v>60</v>
      </c>
      <c r="B44" s="257" t="s">
        <v>328</v>
      </c>
      <c r="C44" s="11">
        <v>8</v>
      </c>
      <c r="D44" s="18">
        <v>10</v>
      </c>
      <c r="E44" s="18">
        <v>10</v>
      </c>
      <c r="F44" s="239">
        <v>3</v>
      </c>
      <c r="G44" s="18">
        <v>10</v>
      </c>
      <c r="H44" s="18">
        <v>10</v>
      </c>
      <c r="I44" s="18">
        <v>0</v>
      </c>
      <c r="J44" s="18">
        <v>10</v>
      </c>
      <c r="K44" s="239">
        <v>6</v>
      </c>
      <c r="L44" s="19">
        <v>0</v>
      </c>
      <c r="M44" s="251">
        <v>67</v>
      </c>
      <c r="N44" s="11">
        <v>10</v>
      </c>
      <c r="O44" s="18">
        <v>0</v>
      </c>
      <c r="P44" s="18">
        <v>0</v>
      </c>
      <c r="Q44" s="18">
        <v>5</v>
      </c>
      <c r="R44" s="18">
        <v>4</v>
      </c>
      <c r="S44" s="18">
        <v>0</v>
      </c>
      <c r="T44" s="18">
        <v>10</v>
      </c>
      <c r="U44" s="18">
        <v>0</v>
      </c>
      <c r="V44" s="19">
        <v>10</v>
      </c>
      <c r="W44" s="250">
        <v>39</v>
      </c>
      <c r="X44" s="11">
        <v>0</v>
      </c>
      <c r="Y44" s="18">
        <v>0</v>
      </c>
      <c r="Z44" s="18">
        <v>0</v>
      </c>
      <c r="AA44" s="18">
        <v>10</v>
      </c>
      <c r="AB44" s="18">
        <v>10</v>
      </c>
      <c r="AC44" s="18">
        <v>10</v>
      </c>
      <c r="AD44" s="18">
        <v>10</v>
      </c>
      <c r="AE44" s="18">
        <v>10</v>
      </c>
      <c r="AF44" s="19">
        <v>10</v>
      </c>
      <c r="AG44" s="248">
        <v>60</v>
      </c>
      <c r="AH44" s="11">
        <v>10</v>
      </c>
      <c r="AI44" s="18">
        <v>0</v>
      </c>
      <c r="AJ44" s="18">
        <v>0</v>
      </c>
      <c r="AK44" s="18">
        <v>0</v>
      </c>
      <c r="AL44" s="18">
        <v>10</v>
      </c>
      <c r="AM44" s="18">
        <v>0</v>
      </c>
      <c r="AN44" s="18">
        <v>0</v>
      </c>
      <c r="AO44" s="18">
        <v>10</v>
      </c>
      <c r="AP44" s="18">
        <v>10</v>
      </c>
      <c r="AQ44" s="18">
        <v>0</v>
      </c>
      <c r="AR44" s="18">
        <v>0</v>
      </c>
      <c r="AS44" s="18">
        <v>10</v>
      </c>
      <c r="AT44" s="19">
        <v>2</v>
      </c>
      <c r="AU44" s="240">
        <v>52</v>
      </c>
      <c r="AV44" s="4">
        <v>218</v>
      </c>
    </row>
    <row r="45" spans="1:48">
      <c r="A45" s="234">
        <v>61</v>
      </c>
      <c r="B45" s="257" t="s">
        <v>351</v>
      </c>
      <c r="C45" s="11">
        <v>6</v>
      </c>
      <c r="D45" s="18">
        <v>0</v>
      </c>
      <c r="E45" s="18">
        <v>10</v>
      </c>
      <c r="F45" s="239">
        <v>5</v>
      </c>
      <c r="G45" s="18">
        <v>10</v>
      </c>
      <c r="H45" s="18">
        <v>10</v>
      </c>
      <c r="I45" s="18">
        <v>10</v>
      </c>
      <c r="J45" s="18">
        <v>0</v>
      </c>
      <c r="K45" s="239">
        <v>10</v>
      </c>
      <c r="L45" s="19">
        <v>10</v>
      </c>
      <c r="M45" s="251">
        <v>71</v>
      </c>
      <c r="N45" s="11">
        <v>10</v>
      </c>
      <c r="O45" s="18">
        <v>10</v>
      </c>
      <c r="P45" s="18">
        <v>10</v>
      </c>
      <c r="Q45" s="18">
        <v>10</v>
      </c>
      <c r="R45" s="18">
        <v>0</v>
      </c>
      <c r="S45" s="18">
        <v>0</v>
      </c>
      <c r="T45" s="18">
        <v>6</v>
      </c>
      <c r="U45" s="18">
        <v>10</v>
      </c>
      <c r="V45" s="19">
        <v>10</v>
      </c>
      <c r="W45" s="250">
        <v>66</v>
      </c>
      <c r="X45" s="11">
        <v>10</v>
      </c>
      <c r="Y45" s="18">
        <v>0</v>
      </c>
      <c r="Z45" s="18">
        <v>10</v>
      </c>
      <c r="AA45" s="18">
        <v>10</v>
      </c>
      <c r="AB45" s="18">
        <v>10</v>
      </c>
      <c r="AC45" s="18">
        <v>10</v>
      </c>
      <c r="AD45" s="18">
        <v>10</v>
      </c>
      <c r="AE45" s="18">
        <v>10</v>
      </c>
      <c r="AF45" s="19">
        <v>10</v>
      </c>
      <c r="AG45" s="248">
        <v>80</v>
      </c>
      <c r="AH45" s="11">
        <v>10</v>
      </c>
      <c r="AI45" s="18">
        <v>10</v>
      </c>
      <c r="AJ45" s="18">
        <v>10</v>
      </c>
      <c r="AK45" s="18">
        <v>10</v>
      </c>
      <c r="AL45" s="18">
        <v>10</v>
      </c>
      <c r="AM45" s="18">
        <v>0</v>
      </c>
      <c r="AN45" s="18">
        <v>0</v>
      </c>
      <c r="AO45" s="18">
        <v>4</v>
      </c>
      <c r="AP45" s="18">
        <v>10</v>
      </c>
      <c r="AQ45" s="18">
        <v>0</v>
      </c>
      <c r="AR45" s="18">
        <v>0</v>
      </c>
      <c r="AS45" s="18">
        <v>10</v>
      </c>
      <c r="AT45" s="19">
        <v>2</v>
      </c>
      <c r="AU45" s="240">
        <v>76</v>
      </c>
      <c r="AV45" s="4">
        <v>293</v>
      </c>
    </row>
    <row r="46" spans="1:48">
      <c r="A46" s="234">
        <v>62</v>
      </c>
      <c r="B46" s="257" t="s">
        <v>403</v>
      </c>
      <c r="C46" s="11">
        <v>8</v>
      </c>
      <c r="D46" s="18">
        <v>10</v>
      </c>
      <c r="E46" s="18">
        <v>0</v>
      </c>
      <c r="F46" s="239">
        <v>0</v>
      </c>
      <c r="G46" s="18">
        <v>10</v>
      </c>
      <c r="H46" s="18">
        <v>10</v>
      </c>
      <c r="I46" s="18">
        <v>10</v>
      </c>
      <c r="J46" s="18">
        <v>0</v>
      </c>
      <c r="K46" s="239">
        <v>10</v>
      </c>
      <c r="L46" s="19">
        <v>10</v>
      </c>
      <c r="M46" s="251">
        <v>68</v>
      </c>
      <c r="N46" s="11">
        <v>10</v>
      </c>
      <c r="O46" s="18">
        <v>0</v>
      </c>
      <c r="P46" s="18">
        <v>0</v>
      </c>
      <c r="Q46" s="18">
        <v>5</v>
      </c>
      <c r="R46" s="18">
        <v>0</v>
      </c>
      <c r="S46" s="18">
        <v>10</v>
      </c>
      <c r="T46" s="18">
        <v>10</v>
      </c>
      <c r="U46" s="18">
        <v>10</v>
      </c>
      <c r="V46" s="19">
        <v>6</v>
      </c>
      <c r="W46" s="250">
        <v>51</v>
      </c>
      <c r="X46" s="11">
        <v>0</v>
      </c>
      <c r="Y46" s="18">
        <v>6</v>
      </c>
      <c r="Z46" s="18">
        <v>0</v>
      </c>
      <c r="AA46" s="18">
        <v>0</v>
      </c>
      <c r="AB46" s="18">
        <v>10</v>
      </c>
      <c r="AC46" s="18">
        <v>10</v>
      </c>
      <c r="AD46" s="18">
        <v>10</v>
      </c>
      <c r="AE46" s="18">
        <v>10</v>
      </c>
      <c r="AF46" s="19">
        <v>10</v>
      </c>
      <c r="AG46" s="248">
        <v>56</v>
      </c>
      <c r="AH46" s="11">
        <v>0</v>
      </c>
      <c r="AI46" s="18">
        <v>0</v>
      </c>
      <c r="AJ46" s="18">
        <v>6</v>
      </c>
      <c r="AK46" s="18">
        <v>10</v>
      </c>
      <c r="AL46" s="18">
        <v>10</v>
      </c>
      <c r="AM46" s="18">
        <v>10</v>
      </c>
      <c r="AN46" s="18">
        <v>10</v>
      </c>
      <c r="AO46" s="18">
        <v>10</v>
      </c>
      <c r="AP46" s="18">
        <v>10</v>
      </c>
      <c r="AQ46" s="18">
        <v>6</v>
      </c>
      <c r="AR46" s="18">
        <v>10</v>
      </c>
      <c r="AS46" s="18">
        <v>10</v>
      </c>
      <c r="AT46" s="19">
        <v>2</v>
      </c>
      <c r="AU46" s="240">
        <v>94</v>
      </c>
      <c r="AV46" s="4">
        <v>269</v>
      </c>
    </row>
    <row r="47" spans="1:48">
      <c r="A47" s="234">
        <v>63</v>
      </c>
      <c r="B47" s="257" t="s">
        <v>85</v>
      </c>
      <c r="C47" s="11">
        <v>8</v>
      </c>
      <c r="D47" s="18">
        <v>10</v>
      </c>
      <c r="E47" s="18">
        <v>10</v>
      </c>
      <c r="F47" s="239">
        <v>0</v>
      </c>
      <c r="G47" s="18">
        <v>10</v>
      </c>
      <c r="H47" s="18">
        <v>4</v>
      </c>
      <c r="I47" s="18">
        <v>0</v>
      </c>
      <c r="J47" s="18">
        <v>6</v>
      </c>
      <c r="K47" s="239">
        <v>10</v>
      </c>
      <c r="L47" s="19">
        <v>0</v>
      </c>
      <c r="M47" s="251">
        <v>58</v>
      </c>
      <c r="N47" s="11">
        <v>0</v>
      </c>
      <c r="O47" s="18">
        <v>0</v>
      </c>
      <c r="P47" s="18">
        <v>0</v>
      </c>
      <c r="Q47" s="18">
        <v>5</v>
      </c>
      <c r="R47" s="18">
        <v>6</v>
      </c>
      <c r="S47" s="18">
        <v>6</v>
      </c>
      <c r="T47" s="18">
        <v>6</v>
      </c>
      <c r="U47" s="18">
        <v>0</v>
      </c>
      <c r="V47" s="19">
        <v>10</v>
      </c>
      <c r="W47" s="250">
        <v>33</v>
      </c>
      <c r="X47" s="11">
        <v>0</v>
      </c>
      <c r="Y47" s="18">
        <v>0</v>
      </c>
      <c r="Z47" s="18">
        <v>0</v>
      </c>
      <c r="AA47" s="18">
        <v>10</v>
      </c>
      <c r="AB47" s="18">
        <v>0</v>
      </c>
      <c r="AC47" s="18">
        <v>0</v>
      </c>
      <c r="AD47" s="18">
        <v>10</v>
      </c>
      <c r="AE47" s="18">
        <v>10</v>
      </c>
      <c r="AF47" s="19">
        <v>10</v>
      </c>
      <c r="AG47" s="248">
        <v>40</v>
      </c>
      <c r="AH47" s="11">
        <v>10</v>
      </c>
      <c r="AI47" s="18">
        <v>10</v>
      </c>
      <c r="AJ47" s="18">
        <v>6</v>
      </c>
      <c r="AK47" s="18">
        <v>0</v>
      </c>
      <c r="AL47" s="18">
        <v>0</v>
      </c>
      <c r="AM47" s="18">
        <v>0</v>
      </c>
      <c r="AN47" s="18">
        <v>0</v>
      </c>
      <c r="AO47" s="18">
        <v>0</v>
      </c>
      <c r="AP47" s="18">
        <v>6</v>
      </c>
      <c r="AQ47" s="18">
        <v>0</v>
      </c>
      <c r="AR47" s="18">
        <v>10</v>
      </c>
      <c r="AS47" s="18">
        <v>10</v>
      </c>
      <c r="AT47" s="19">
        <v>2</v>
      </c>
      <c r="AU47" s="240">
        <v>54</v>
      </c>
      <c r="AV47" s="4">
        <v>185</v>
      </c>
    </row>
    <row r="48" spans="1:48">
      <c r="A48" s="234">
        <v>64</v>
      </c>
      <c r="B48" s="257" t="s">
        <v>354</v>
      </c>
      <c r="C48" s="11">
        <v>8</v>
      </c>
      <c r="D48" s="18">
        <v>10</v>
      </c>
      <c r="E48" s="18">
        <v>10</v>
      </c>
      <c r="F48" s="239">
        <v>3</v>
      </c>
      <c r="G48" s="18">
        <v>10</v>
      </c>
      <c r="H48" s="18">
        <v>8</v>
      </c>
      <c r="I48" s="18">
        <v>0</v>
      </c>
      <c r="J48" s="18">
        <v>0</v>
      </c>
      <c r="K48" s="239">
        <v>10</v>
      </c>
      <c r="L48" s="19">
        <v>10</v>
      </c>
      <c r="M48" s="251">
        <v>69</v>
      </c>
      <c r="N48" s="11">
        <v>10</v>
      </c>
      <c r="O48" s="18">
        <v>10</v>
      </c>
      <c r="P48" s="18">
        <v>0</v>
      </c>
      <c r="Q48" s="18">
        <v>10</v>
      </c>
      <c r="R48" s="18">
        <v>6</v>
      </c>
      <c r="S48" s="18">
        <v>10</v>
      </c>
      <c r="T48" s="18">
        <v>10</v>
      </c>
      <c r="U48" s="18">
        <v>10</v>
      </c>
      <c r="V48" s="19">
        <v>0</v>
      </c>
      <c r="W48" s="250">
        <v>66</v>
      </c>
      <c r="X48" s="11">
        <v>10</v>
      </c>
      <c r="Y48" s="18">
        <v>10</v>
      </c>
      <c r="Z48" s="18">
        <v>10</v>
      </c>
      <c r="AA48" s="18">
        <v>0</v>
      </c>
      <c r="AB48" s="18">
        <v>10</v>
      </c>
      <c r="AC48" s="18">
        <v>10</v>
      </c>
      <c r="AD48" s="18">
        <v>10</v>
      </c>
      <c r="AE48" s="18">
        <v>10</v>
      </c>
      <c r="AF48" s="19">
        <v>3</v>
      </c>
      <c r="AG48" s="248">
        <v>73</v>
      </c>
      <c r="AH48" s="11">
        <v>10</v>
      </c>
      <c r="AI48" s="18">
        <v>10</v>
      </c>
      <c r="AJ48" s="18">
        <v>6</v>
      </c>
      <c r="AK48" s="18">
        <v>10</v>
      </c>
      <c r="AL48" s="18">
        <v>10</v>
      </c>
      <c r="AM48" s="18">
        <v>10</v>
      </c>
      <c r="AN48" s="18">
        <v>10</v>
      </c>
      <c r="AO48" s="18">
        <v>4</v>
      </c>
      <c r="AP48" s="18">
        <v>10</v>
      </c>
      <c r="AQ48" s="18">
        <v>8</v>
      </c>
      <c r="AR48" s="18">
        <v>8</v>
      </c>
      <c r="AS48" s="18">
        <v>10</v>
      </c>
      <c r="AT48" s="19">
        <v>10</v>
      </c>
      <c r="AU48" s="240">
        <v>116</v>
      </c>
      <c r="AV48" s="4">
        <v>324</v>
      </c>
    </row>
    <row r="49" spans="1:48">
      <c r="A49" s="234">
        <v>65</v>
      </c>
      <c r="B49" s="257" t="s">
        <v>163</v>
      </c>
      <c r="C49" s="11">
        <v>8</v>
      </c>
      <c r="D49" s="18">
        <v>0</v>
      </c>
      <c r="E49" s="18">
        <v>0</v>
      </c>
      <c r="F49" s="239">
        <v>0</v>
      </c>
      <c r="G49" s="18">
        <v>0</v>
      </c>
      <c r="H49" s="18">
        <v>0</v>
      </c>
      <c r="I49" s="18">
        <v>0</v>
      </c>
      <c r="J49" s="18">
        <v>0</v>
      </c>
      <c r="K49" s="239">
        <v>0</v>
      </c>
      <c r="L49" s="19">
        <v>0</v>
      </c>
      <c r="M49" s="251">
        <v>8</v>
      </c>
      <c r="N49" s="11">
        <v>0</v>
      </c>
      <c r="O49" s="18">
        <v>0</v>
      </c>
      <c r="P49" s="18">
        <v>0</v>
      </c>
      <c r="Q49" s="18">
        <v>5</v>
      </c>
      <c r="R49" s="18">
        <v>6</v>
      </c>
      <c r="S49" s="18">
        <v>6</v>
      </c>
      <c r="T49" s="18">
        <v>0</v>
      </c>
      <c r="U49" s="18">
        <v>0</v>
      </c>
      <c r="V49" s="19">
        <v>10</v>
      </c>
      <c r="W49" s="250">
        <v>27</v>
      </c>
      <c r="X49" s="11">
        <v>0</v>
      </c>
      <c r="Y49" s="18">
        <v>0</v>
      </c>
      <c r="Z49" s="18">
        <v>0</v>
      </c>
      <c r="AA49" s="18">
        <v>0</v>
      </c>
      <c r="AB49" s="18">
        <v>10</v>
      </c>
      <c r="AC49" s="18">
        <v>10</v>
      </c>
      <c r="AD49" s="18">
        <v>0</v>
      </c>
      <c r="AE49" s="18">
        <v>10</v>
      </c>
      <c r="AF49" s="19">
        <v>10</v>
      </c>
      <c r="AG49" s="248">
        <v>40</v>
      </c>
      <c r="AH49" s="11">
        <v>0</v>
      </c>
      <c r="AI49" s="18">
        <v>0</v>
      </c>
      <c r="AJ49" s="18">
        <v>0</v>
      </c>
      <c r="AK49" s="18">
        <v>0</v>
      </c>
      <c r="AL49" s="18">
        <v>0</v>
      </c>
      <c r="AM49" s="18">
        <v>0</v>
      </c>
      <c r="AN49" s="18">
        <v>0</v>
      </c>
      <c r="AO49" s="18">
        <v>0</v>
      </c>
      <c r="AP49" s="18">
        <v>6</v>
      </c>
      <c r="AQ49" s="18">
        <v>0</v>
      </c>
      <c r="AR49" s="18">
        <v>0</v>
      </c>
      <c r="AS49" s="18">
        <v>0</v>
      </c>
      <c r="AT49" s="19">
        <v>2</v>
      </c>
      <c r="AU49" s="240">
        <v>8</v>
      </c>
      <c r="AV49" s="4">
        <v>83</v>
      </c>
    </row>
    <row r="50" spans="1:48">
      <c r="A50" s="234">
        <v>66</v>
      </c>
      <c r="B50" s="257" t="s">
        <v>450</v>
      </c>
      <c r="C50" s="11">
        <v>10</v>
      </c>
      <c r="D50" s="18">
        <v>10</v>
      </c>
      <c r="E50" s="18">
        <v>10</v>
      </c>
      <c r="F50" s="239">
        <v>8</v>
      </c>
      <c r="G50" s="18">
        <v>10</v>
      </c>
      <c r="H50" s="18">
        <v>10</v>
      </c>
      <c r="I50" s="18">
        <v>10</v>
      </c>
      <c r="J50" s="18">
        <v>0</v>
      </c>
      <c r="K50" s="239">
        <v>10</v>
      </c>
      <c r="L50" s="19">
        <v>10</v>
      </c>
      <c r="M50" s="251">
        <v>88</v>
      </c>
      <c r="N50" s="11">
        <v>10</v>
      </c>
      <c r="O50" s="18">
        <v>0</v>
      </c>
      <c r="P50" s="18">
        <v>0</v>
      </c>
      <c r="Q50" s="18">
        <v>10</v>
      </c>
      <c r="R50" s="18">
        <v>6</v>
      </c>
      <c r="S50" s="18">
        <v>6</v>
      </c>
      <c r="T50" s="18">
        <v>10</v>
      </c>
      <c r="U50" s="18">
        <v>10</v>
      </c>
      <c r="V50" s="19">
        <v>10</v>
      </c>
      <c r="W50" s="250">
        <v>62</v>
      </c>
      <c r="X50" s="11">
        <v>0</v>
      </c>
      <c r="Y50" s="18">
        <v>0</v>
      </c>
      <c r="Z50" s="18">
        <v>0</v>
      </c>
      <c r="AA50" s="18">
        <v>0</v>
      </c>
      <c r="AB50" s="18">
        <v>10</v>
      </c>
      <c r="AC50" s="18">
        <v>10</v>
      </c>
      <c r="AD50" s="18">
        <v>10</v>
      </c>
      <c r="AE50" s="18">
        <v>10</v>
      </c>
      <c r="AF50" s="19">
        <v>10</v>
      </c>
      <c r="AG50" s="248">
        <v>50</v>
      </c>
      <c r="AH50" s="11">
        <v>0</v>
      </c>
      <c r="AI50" s="18">
        <v>0</v>
      </c>
      <c r="AJ50" s="18">
        <v>0</v>
      </c>
      <c r="AK50" s="18">
        <v>0</v>
      </c>
      <c r="AL50" s="18">
        <v>0</v>
      </c>
      <c r="AM50" s="18">
        <v>0</v>
      </c>
      <c r="AN50" s="18">
        <v>0</v>
      </c>
      <c r="AO50" s="18">
        <v>6</v>
      </c>
      <c r="AP50" s="18">
        <v>6</v>
      </c>
      <c r="AQ50" s="18">
        <v>0</v>
      </c>
      <c r="AR50" s="18">
        <v>0</v>
      </c>
      <c r="AS50" s="18">
        <v>0</v>
      </c>
      <c r="AT50" s="19">
        <v>2</v>
      </c>
      <c r="AU50" s="240">
        <v>14</v>
      </c>
      <c r="AV50" s="4">
        <v>214</v>
      </c>
    </row>
    <row r="51" spans="1:48">
      <c r="A51" s="234">
        <v>67</v>
      </c>
      <c r="B51" s="257" t="s">
        <v>341</v>
      </c>
      <c r="C51" s="11">
        <v>6</v>
      </c>
      <c r="D51" s="18">
        <v>10</v>
      </c>
      <c r="E51" s="18">
        <v>10</v>
      </c>
      <c r="F51" s="239">
        <v>8</v>
      </c>
      <c r="G51" s="18">
        <v>10</v>
      </c>
      <c r="H51" s="18">
        <v>6</v>
      </c>
      <c r="I51" s="18">
        <v>10</v>
      </c>
      <c r="J51" s="18">
        <v>10</v>
      </c>
      <c r="K51" s="239">
        <v>10</v>
      </c>
      <c r="L51" s="19">
        <v>10</v>
      </c>
      <c r="M51" s="251">
        <v>90</v>
      </c>
      <c r="N51" s="11">
        <v>10</v>
      </c>
      <c r="O51" s="18">
        <v>10</v>
      </c>
      <c r="P51" s="18">
        <v>10</v>
      </c>
      <c r="Q51" s="18">
        <v>10</v>
      </c>
      <c r="R51" s="18">
        <v>4</v>
      </c>
      <c r="S51" s="18">
        <v>10</v>
      </c>
      <c r="T51" s="18">
        <v>10</v>
      </c>
      <c r="U51" s="18">
        <v>10</v>
      </c>
      <c r="V51" s="19">
        <v>10</v>
      </c>
      <c r="W51" s="250">
        <v>84</v>
      </c>
      <c r="X51" s="11">
        <v>10</v>
      </c>
      <c r="Y51" s="18">
        <v>0</v>
      </c>
      <c r="Z51" s="18">
        <v>6</v>
      </c>
      <c r="AA51" s="18">
        <v>0</v>
      </c>
      <c r="AB51" s="18">
        <v>10</v>
      </c>
      <c r="AC51" s="18">
        <v>10</v>
      </c>
      <c r="AD51" s="18">
        <v>10</v>
      </c>
      <c r="AE51" s="18">
        <v>10</v>
      </c>
      <c r="AF51" s="19">
        <v>10</v>
      </c>
      <c r="AG51" s="248">
        <v>66</v>
      </c>
      <c r="AH51" s="11">
        <v>0</v>
      </c>
      <c r="AI51" s="18">
        <v>0</v>
      </c>
      <c r="AJ51" s="18">
        <v>6</v>
      </c>
      <c r="AK51" s="18">
        <v>10</v>
      </c>
      <c r="AL51" s="18">
        <v>10</v>
      </c>
      <c r="AM51" s="18">
        <v>10</v>
      </c>
      <c r="AN51" s="18">
        <v>0</v>
      </c>
      <c r="AO51" s="18">
        <v>10</v>
      </c>
      <c r="AP51" s="18">
        <v>10</v>
      </c>
      <c r="AQ51" s="18">
        <v>4</v>
      </c>
      <c r="AR51" s="18">
        <v>8</v>
      </c>
      <c r="AS51" s="18">
        <v>10</v>
      </c>
      <c r="AT51" s="19">
        <v>6</v>
      </c>
      <c r="AU51" s="240">
        <v>84</v>
      </c>
      <c r="AV51" s="4">
        <v>324</v>
      </c>
    </row>
    <row r="52" spans="1:48">
      <c r="A52" s="234">
        <v>68</v>
      </c>
      <c r="B52" s="257" t="s">
        <v>373</v>
      </c>
      <c r="C52" s="11">
        <v>6</v>
      </c>
      <c r="D52" s="18">
        <v>10</v>
      </c>
      <c r="E52" s="18">
        <v>10</v>
      </c>
      <c r="F52" s="239">
        <v>5</v>
      </c>
      <c r="G52" s="18">
        <v>10</v>
      </c>
      <c r="H52" s="18">
        <v>10</v>
      </c>
      <c r="I52" s="18">
        <v>10</v>
      </c>
      <c r="J52" s="18">
        <v>0</v>
      </c>
      <c r="K52" s="239">
        <v>6</v>
      </c>
      <c r="L52" s="19">
        <v>10</v>
      </c>
      <c r="M52" s="251">
        <v>77</v>
      </c>
      <c r="N52" s="11">
        <v>10</v>
      </c>
      <c r="O52" s="18">
        <v>10</v>
      </c>
      <c r="P52" s="18">
        <v>10</v>
      </c>
      <c r="Q52" s="18">
        <v>10</v>
      </c>
      <c r="R52" s="18">
        <v>10</v>
      </c>
      <c r="S52" s="18">
        <v>10</v>
      </c>
      <c r="T52" s="18">
        <v>10</v>
      </c>
      <c r="U52" s="18">
        <v>10</v>
      </c>
      <c r="V52" s="19">
        <v>10</v>
      </c>
      <c r="W52" s="250">
        <v>90</v>
      </c>
      <c r="X52" s="11">
        <v>10</v>
      </c>
      <c r="Y52" s="18">
        <v>10</v>
      </c>
      <c r="Z52" s="18">
        <v>10</v>
      </c>
      <c r="AA52" s="18">
        <v>10</v>
      </c>
      <c r="AB52" s="18">
        <v>10</v>
      </c>
      <c r="AC52" s="18">
        <v>10</v>
      </c>
      <c r="AD52" s="18">
        <v>10</v>
      </c>
      <c r="AE52" s="18">
        <v>10</v>
      </c>
      <c r="AF52" s="19">
        <v>3</v>
      </c>
      <c r="AG52" s="248">
        <v>83</v>
      </c>
      <c r="AH52" s="11">
        <v>0</v>
      </c>
      <c r="AI52" s="18">
        <v>10</v>
      </c>
      <c r="AJ52" s="18">
        <v>0</v>
      </c>
      <c r="AK52" s="18">
        <v>10</v>
      </c>
      <c r="AL52" s="18">
        <v>10</v>
      </c>
      <c r="AM52" s="18">
        <v>10</v>
      </c>
      <c r="AN52" s="18">
        <v>10</v>
      </c>
      <c r="AO52" s="18">
        <v>10</v>
      </c>
      <c r="AP52" s="18">
        <v>10</v>
      </c>
      <c r="AQ52" s="18">
        <v>8</v>
      </c>
      <c r="AR52" s="18">
        <v>10</v>
      </c>
      <c r="AS52" s="18">
        <v>10</v>
      </c>
      <c r="AT52" s="19">
        <v>6</v>
      </c>
      <c r="AU52" s="240">
        <v>104</v>
      </c>
      <c r="AV52" s="18">
        <v>354</v>
      </c>
    </row>
    <row r="53" spans="1:48">
      <c r="A53" s="234">
        <v>69</v>
      </c>
      <c r="B53" s="257" t="s">
        <v>329</v>
      </c>
      <c r="C53" s="11">
        <v>6</v>
      </c>
      <c r="D53" s="18">
        <v>10</v>
      </c>
      <c r="E53" s="18">
        <v>10</v>
      </c>
      <c r="F53" s="239">
        <v>3</v>
      </c>
      <c r="G53" s="18">
        <v>6</v>
      </c>
      <c r="H53" s="18">
        <v>10</v>
      </c>
      <c r="I53" s="18">
        <v>10</v>
      </c>
      <c r="J53" s="18">
        <v>6</v>
      </c>
      <c r="K53" s="239">
        <v>10</v>
      </c>
      <c r="L53" s="19">
        <v>10</v>
      </c>
      <c r="M53" s="251">
        <v>81</v>
      </c>
      <c r="N53" s="11">
        <v>10</v>
      </c>
      <c r="O53" s="18">
        <v>10</v>
      </c>
      <c r="P53" s="18">
        <v>0</v>
      </c>
      <c r="Q53" s="18">
        <v>10</v>
      </c>
      <c r="R53" s="18">
        <v>6</v>
      </c>
      <c r="S53" s="18">
        <v>10</v>
      </c>
      <c r="T53" s="18">
        <v>10</v>
      </c>
      <c r="U53" s="18">
        <v>10</v>
      </c>
      <c r="V53" s="19">
        <v>10</v>
      </c>
      <c r="W53" s="250">
        <v>76</v>
      </c>
      <c r="X53" s="11">
        <v>10</v>
      </c>
      <c r="Y53" s="18">
        <v>6</v>
      </c>
      <c r="Z53" s="18">
        <v>6</v>
      </c>
      <c r="AA53" s="18">
        <v>0</v>
      </c>
      <c r="AB53" s="18">
        <v>10</v>
      </c>
      <c r="AC53" s="18">
        <v>10</v>
      </c>
      <c r="AD53" s="18">
        <v>10</v>
      </c>
      <c r="AE53" s="18">
        <v>10</v>
      </c>
      <c r="AF53" s="19">
        <v>6</v>
      </c>
      <c r="AG53" s="248">
        <v>68</v>
      </c>
      <c r="AH53" s="11">
        <v>10</v>
      </c>
      <c r="AI53" s="18">
        <v>10</v>
      </c>
      <c r="AJ53" s="18">
        <v>10</v>
      </c>
      <c r="AK53" s="18">
        <v>10</v>
      </c>
      <c r="AL53" s="18">
        <v>10</v>
      </c>
      <c r="AM53" s="18">
        <v>10</v>
      </c>
      <c r="AN53" s="18">
        <v>10</v>
      </c>
      <c r="AO53" s="18">
        <v>10</v>
      </c>
      <c r="AP53" s="18">
        <v>10</v>
      </c>
      <c r="AQ53" s="18">
        <v>0</v>
      </c>
      <c r="AR53" s="18">
        <v>8</v>
      </c>
      <c r="AS53" s="18">
        <v>10</v>
      </c>
      <c r="AT53" s="19">
        <v>2</v>
      </c>
      <c r="AU53" s="240">
        <v>110</v>
      </c>
      <c r="AV53" s="18">
        <v>335</v>
      </c>
    </row>
    <row r="54" spans="1:48">
      <c r="A54" s="234">
        <v>70</v>
      </c>
      <c r="B54" s="257" t="s">
        <v>265</v>
      </c>
      <c r="C54" s="11">
        <v>6</v>
      </c>
      <c r="D54" s="18">
        <v>10</v>
      </c>
      <c r="E54" s="18">
        <v>0</v>
      </c>
      <c r="F54" s="239">
        <v>0</v>
      </c>
      <c r="G54" s="18">
        <v>10</v>
      </c>
      <c r="H54" s="18">
        <v>8</v>
      </c>
      <c r="I54" s="18">
        <v>0</v>
      </c>
      <c r="J54" s="18">
        <v>0</v>
      </c>
      <c r="K54" s="239">
        <v>10</v>
      </c>
      <c r="L54" s="19">
        <v>0</v>
      </c>
      <c r="M54" s="251">
        <v>44</v>
      </c>
      <c r="N54" s="11">
        <v>10</v>
      </c>
      <c r="O54" s="18">
        <v>10</v>
      </c>
      <c r="P54" s="18">
        <v>0</v>
      </c>
      <c r="Q54" s="18">
        <v>10</v>
      </c>
      <c r="R54" s="18">
        <v>6</v>
      </c>
      <c r="S54" s="18">
        <v>6</v>
      </c>
      <c r="T54" s="18">
        <v>10</v>
      </c>
      <c r="U54" s="18">
        <v>10</v>
      </c>
      <c r="V54" s="19">
        <v>10</v>
      </c>
      <c r="W54" s="250">
        <v>72</v>
      </c>
      <c r="X54" s="11">
        <v>0</v>
      </c>
      <c r="Y54" s="18">
        <v>6</v>
      </c>
      <c r="Z54" s="18">
        <v>0</v>
      </c>
      <c r="AA54" s="18">
        <v>10</v>
      </c>
      <c r="AB54" s="18">
        <v>0</v>
      </c>
      <c r="AC54" s="18">
        <v>0</v>
      </c>
      <c r="AD54" s="18">
        <v>10</v>
      </c>
      <c r="AE54" s="18">
        <v>10</v>
      </c>
      <c r="AF54" s="19">
        <v>2</v>
      </c>
      <c r="AG54" s="248">
        <v>38</v>
      </c>
      <c r="AH54" s="11">
        <v>0</v>
      </c>
      <c r="AI54" s="18">
        <v>0</v>
      </c>
      <c r="AJ54" s="18">
        <v>0</v>
      </c>
      <c r="AK54" s="18">
        <v>0</v>
      </c>
      <c r="AL54" s="18">
        <v>0</v>
      </c>
      <c r="AM54" s="18">
        <v>10</v>
      </c>
      <c r="AN54" s="18">
        <v>0</v>
      </c>
      <c r="AO54" s="18">
        <v>10</v>
      </c>
      <c r="AP54" s="18">
        <v>10</v>
      </c>
      <c r="AQ54" s="18">
        <v>0</v>
      </c>
      <c r="AR54" s="18">
        <v>0</v>
      </c>
      <c r="AS54" s="18">
        <v>10</v>
      </c>
      <c r="AT54" s="19">
        <v>2</v>
      </c>
      <c r="AU54" s="240">
        <v>42</v>
      </c>
      <c r="AV54" s="18">
        <v>196</v>
      </c>
    </row>
    <row r="55" spans="1:48">
      <c r="A55" s="234">
        <v>71</v>
      </c>
      <c r="B55" s="257" t="s">
        <v>309</v>
      </c>
      <c r="C55" s="11">
        <v>8</v>
      </c>
      <c r="D55" s="18">
        <v>10</v>
      </c>
      <c r="E55" s="18">
        <v>10</v>
      </c>
      <c r="F55" s="239">
        <v>3</v>
      </c>
      <c r="G55" s="18">
        <v>2</v>
      </c>
      <c r="H55" s="18">
        <v>10</v>
      </c>
      <c r="I55" s="18">
        <v>0</v>
      </c>
      <c r="J55" s="18">
        <v>6</v>
      </c>
      <c r="K55" s="239">
        <v>10</v>
      </c>
      <c r="L55" s="19">
        <v>10</v>
      </c>
      <c r="M55" s="251">
        <v>69</v>
      </c>
      <c r="N55" s="11">
        <v>10</v>
      </c>
      <c r="O55" s="18">
        <v>10</v>
      </c>
      <c r="P55" s="18">
        <v>0</v>
      </c>
      <c r="Q55" s="18">
        <v>5</v>
      </c>
      <c r="R55" s="18">
        <v>10</v>
      </c>
      <c r="S55" s="18">
        <v>6</v>
      </c>
      <c r="T55" s="18">
        <v>10</v>
      </c>
      <c r="U55" s="18">
        <v>0</v>
      </c>
      <c r="V55" s="19">
        <v>10</v>
      </c>
      <c r="W55" s="250">
        <v>61</v>
      </c>
      <c r="X55" s="11">
        <v>0</v>
      </c>
      <c r="Y55" s="18">
        <v>0</v>
      </c>
      <c r="Z55" s="18">
        <v>0</v>
      </c>
      <c r="AA55" s="18">
        <v>0</v>
      </c>
      <c r="AB55" s="18">
        <v>0</v>
      </c>
      <c r="AC55" s="18">
        <v>0</v>
      </c>
      <c r="AD55" s="18">
        <v>0</v>
      </c>
      <c r="AE55" s="18">
        <v>0</v>
      </c>
      <c r="AF55" s="19">
        <v>0</v>
      </c>
      <c r="AG55" s="248">
        <v>0</v>
      </c>
      <c r="AH55" s="11">
        <v>10</v>
      </c>
      <c r="AI55" s="18">
        <v>10</v>
      </c>
      <c r="AJ55" s="18">
        <v>10</v>
      </c>
      <c r="AK55" s="18">
        <v>10</v>
      </c>
      <c r="AL55" s="18">
        <v>10</v>
      </c>
      <c r="AM55" s="18">
        <v>10</v>
      </c>
      <c r="AN55" s="18">
        <v>10</v>
      </c>
      <c r="AO55" s="18">
        <v>4</v>
      </c>
      <c r="AP55" s="18">
        <v>10</v>
      </c>
      <c r="AQ55" s="18">
        <v>6</v>
      </c>
      <c r="AR55" s="18">
        <v>8</v>
      </c>
      <c r="AS55" s="18">
        <v>10</v>
      </c>
      <c r="AT55" s="19">
        <v>2</v>
      </c>
      <c r="AU55" s="240">
        <v>110</v>
      </c>
      <c r="AV55" s="18">
        <v>240</v>
      </c>
    </row>
    <row r="56" spans="1:48">
      <c r="A56" s="234">
        <v>72</v>
      </c>
      <c r="B56" s="257" t="s">
        <v>267</v>
      </c>
      <c r="C56" s="11">
        <v>6</v>
      </c>
      <c r="D56" s="18">
        <v>10</v>
      </c>
      <c r="E56" s="18">
        <v>0</v>
      </c>
      <c r="F56" s="239">
        <v>0</v>
      </c>
      <c r="G56" s="18">
        <v>10</v>
      </c>
      <c r="H56" s="18">
        <v>10</v>
      </c>
      <c r="I56" s="18">
        <v>10</v>
      </c>
      <c r="J56" s="18">
        <v>6</v>
      </c>
      <c r="K56" s="239">
        <v>10</v>
      </c>
      <c r="L56" s="19">
        <v>10</v>
      </c>
      <c r="M56" s="251">
        <v>72</v>
      </c>
      <c r="N56" s="11">
        <v>10</v>
      </c>
      <c r="O56" s="18">
        <v>10</v>
      </c>
      <c r="P56" s="18">
        <v>0</v>
      </c>
      <c r="Q56" s="18">
        <v>5</v>
      </c>
      <c r="R56" s="18">
        <v>6</v>
      </c>
      <c r="S56" s="18">
        <v>0</v>
      </c>
      <c r="T56" s="18">
        <v>6</v>
      </c>
      <c r="U56" s="18">
        <v>0</v>
      </c>
      <c r="V56" s="19">
        <v>10</v>
      </c>
      <c r="W56" s="250">
        <v>47</v>
      </c>
      <c r="X56" s="11">
        <v>0</v>
      </c>
      <c r="Y56" s="18">
        <v>0</v>
      </c>
      <c r="Z56" s="18">
        <v>0</v>
      </c>
      <c r="AA56" s="18">
        <v>0</v>
      </c>
      <c r="AB56" s="18">
        <v>10</v>
      </c>
      <c r="AC56" s="18">
        <v>10</v>
      </c>
      <c r="AD56" s="18">
        <v>10</v>
      </c>
      <c r="AE56" s="18">
        <v>10</v>
      </c>
      <c r="AF56" s="19">
        <v>10</v>
      </c>
      <c r="AG56" s="248">
        <v>50</v>
      </c>
      <c r="AH56" s="11">
        <v>0</v>
      </c>
      <c r="AI56" s="18">
        <v>0</v>
      </c>
      <c r="AJ56" s="18">
        <v>6</v>
      </c>
      <c r="AK56" s="18">
        <v>0</v>
      </c>
      <c r="AL56" s="18">
        <v>10</v>
      </c>
      <c r="AM56" s="18">
        <v>10</v>
      </c>
      <c r="AN56" s="18">
        <v>10</v>
      </c>
      <c r="AO56" s="18">
        <v>6</v>
      </c>
      <c r="AP56" s="18">
        <v>0</v>
      </c>
      <c r="AQ56" s="18">
        <v>0</v>
      </c>
      <c r="AR56" s="18">
        <v>0</v>
      </c>
      <c r="AS56" s="18">
        <v>10</v>
      </c>
      <c r="AT56" s="19">
        <v>2</v>
      </c>
      <c r="AU56" s="240">
        <v>54</v>
      </c>
      <c r="AV56" s="18">
        <v>223</v>
      </c>
    </row>
    <row r="57" spans="1:48">
      <c r="A57" s="234">
        <v>73</v>
      </c>
      <c r="B57" s="257" t="s">
        <v>166</v>
      </c>
      <c r="C57" s="11">
        <v>6</v>
      </c>
      <c r="D57" s="18">
        <v>10</v>
      </c>
      <c r="E57" s="18">
        <v>10</v>
      </c>
      <c r="F57" s="239">
        <v>8</v>
      </c>
      <c r="G57" s="18">
        <v>10</v>
      </c>
      <c r="H57" s="18">
        <v>10</v>
      </c>
      <c r="I57" s="18">
        <v>10</v>
      </c>
      <c r="J57" s="18">
        <v>0</v>
      </c>
      <c r="K57" s="239">
        <v>10</v>
      </c>
      <c r="L57" s="19">
        <v>10</v>
      </c>
      <c r="M57" s="251">
        <v>84</v>
      </c>
      <c r="N57" s="11">
        <v>10</v>
      </c>
      <c r="O57" s="18">
        <v>10</v>
      </c>
      <c r="P57" s="18">
        <v>10</v>
      </c>
      <c r="Q57" s="18">
        <v>5</v>
      </c>
      <c r="R57" s="18">
        <v>6</v>
      </c>
      <c r="S57" s="18">
        <v>10</v>
      </c>
      <c r="T57" s="18">
        <v>10</v>
      </c>
      <c r="U57" s="18">
        <v>0</v>
      </c>
      <c r="V57" s="19">
        <v>6</v>
      </c>
      <c r="W57" s="250">
        <v>67</v>
      </c>
      <c r="X57" s="11">
        <v>10</v>
      </c>
      <c r="Y57" s="18">
        <v>10</v>
      </c>
      <c r="Z57" s="18">
        <v>0</v>
      </c>
      <c r="AA57" s="18">
        <v>10</v>
      </c>
      <c r="AB57" s="18">
        <v>10</v>
      </c>
      <c r="AC57" s="18">
        <v>10</v>
      </c>
      <c r="AD57" s="18">
        <v>10</v>
      </c>
      <c r="AE57" s="18">
        <v>10</v>
      </c>
      <c r="AF57" s="19">
        <v>6</v>
      </c>
      <c r="AG57" s="248">
        <v>76</v>
      </c>
      <c r="AH57" s="11">
        <v>10</v>
      </c>
      <c r="AI57" s="18">
        <v>10</v>
      </c>
      <c r="AJ57" s="18">
        <v>6</v>
      </c>
      <c r="AK57" s="18">
        <v>10</v>
      </c>
      <c r="AL57" s="18">
        <v>10</v>
      </c>
      <c r="AM57" s="18">
        <v>10</v>
      </c>
      <c r="AN57" s="18">
        <v>10</v>
      </c>
      <c r="AO57" s="18">
        <v>4</v>
      </c>
      <c r="AP57" s="18">
        <v>10</v>
      </c>
      <c r="AQ57" s="18">
        <v>0</v>
      </c>
      <c r="AR57" s="18">
        <v>10</v>
      </c>
      <c r="AS57" s="18">
        <v>10</v>
      </c>
      <c r="AT57" s="19">
        <v>2</v>
      </c>
      <c r="AU57" s="240">
        <v>102</v>
      </c>
      <c r="AV57" s="18">
        <v>329</v>
      </c>
    </row>
    <row r="58" spans="1:48">
      <c r="A58" s="234">
        <v>74</v>
      </c>
      <c r="B58" s="257" t="s">
        <v>451</v>
      </c>
      <c r="C58" s="11">
        <v>6</v>
      </c>
      <c r="D58" s="18">
        <v>10</v>
      </c>
      <c r="E58" s="18">
        <v>0</v>
      </c>
      <c r="F58" s="239">
        <v>0</v>
      </c>
      <c r="G58" s="18">
        <v>10</v>
      </c>
      <c r="H58" s="18">
        <v>4</v>
      </c>
      <c r="I58" s="18">
        <v>10</v>
      </c>
      <c r="J58" s="18">
        <v>10</v>
      </c>
      <c r="K58" s="239">
        <v>10</v>
      </c>
      <c r="L58" s="19">
        <v>10</v>
      </c>
      <c r="M58" s="251">
        <v>70</v>
      </c>
      <c r="N58" s="11">
        <v>10</v>
      </c>
      <c r="O58" s="18">
        <v>10</v>
      </c>
      <c r="P58" s="18">
        <v>10</v>
      </c>
      <c r="Q58" s="18">
        <v>10</v>
      </c>
      <c r="R58" s="18">
        <v>4</v>
      </c>
      <c r="S58" s="18">
        <v>10</v>
      </c>
      <c r="T58" s="18">
        <v>10</v>
      </c>
      <c r="U58" s="18">
        <v>10</v>
      </c>
      <c r="V58" s="19">
        <v>10</v>
      </c>
      <c r="W58" s="250">
        <v>84</v>
      </c>
      <c r="X58" s="11">
        <v>10</v>
      </c>
      <c r="Y58" s="18">
        <v>6</v>
      </c>
      <c r="Z58" s="18">
        <v>6</v>
      </c>
      <c r="AA58" s="18">
        <v>10</v>
      </c>
      <c r="AB58" s="18">
        <v>10</v>
      </c>
      <c r="AC58" s="18">
        <v>10</v>
      </c>
      <c r="AD58" s="18">
        <v>10</v>
      </c>
      <c r="AE58" s="18">
        <v>10</v>
      </c>
      <c r="AF58" s="19">
        <v>6</v>
      </c>
      <c r="AG58" s="248">
        <v>78</v>
      </c>
      <c r="AH58" s="11">
        <v>10</v>
      </c>
      <c r="AI58" s="18">
        <v>10</v>
      </c>
      <c r="AJ58" s="18">
        <v>6</v>
      </c>
      <c r="AK58" s="18">
        <v>10</v>
      </c>
      <c r="AL58" s="18">
        <v>10</v>
      </c>
      <c r="AM58" s="18">
        <v>10</v>
      </c>
      <c r="AN58" s="18">
        <v>10</v>
      </c>
      <c r="AO58" s="18">
        <v>10</v>
      </c>
      <c r="AP58" s="18">
        <v>10</v>
      </c>
      <c r="AQ58" s="18">
        <v>6</v>
      </c>
      <c r="AR58" s="18">
        <v>8</v>
      </c>
      <c r="AS58" s="18">
        <v>10</v>
      </c>
      <c r="AT58" s="19">
        <v>6</v>
      </c>
      <c r="AU58" s="240">
        <v>116</v>
      </c>
      <c r="AV58" s="18">
        <v>348</v>
      </c>
    </row>
    <row r="59" spans="1:48">
      <c r="A59" s="234">
        <v>75</v>
      </c>
      <c r="B59" s="257" t="s">
        <v>433</v>
      </c>
      <c r="C59" s="11">
        <v>6</v>
      </c>
      <c r="D59" s="18">
        <v>0</v>
      </c>
      <c r="E59" s="18">
        <v>0</v>
      </c>
      <c r="F59" s="239">
        <v>0</v>
      </c>
      <c r="G59" s="18">
        <v>4</v>
      </c>
      <c r="H59" s="18">
        <v>10</v>
      </c>
      <c r="I59" s="18">
        <v>10</v>
      </c>
      <c r="J59" s="18">
        <v>0</v>
      </c>
      <c r="K59" s="239">
        <v>10</v>
      </c>
      <c r="L59" s="19">
        <v>10</v>
      </c>
      <c r="M59" s="251">
        <v>50</v>
      </c>
      <c r="N59" s="11">
        <v>10</v>
      </c>
      <c r="O59" s="18">
        <v>10</v>
      </c>
      <c r="P59" s="18">
        <v>10</v>
      </c>
      <c r="Q59" s="18">
        <v>10</v>
      </c>
      <c r="R59" s="18">
        <v>0</v>
      </c>
      <c r="S59" s="18">
        <v>10</v>
      </c>
      <c r="T59" s="18">
        <v>10</v>
      </c>
      <c r="U59" s="18">
        <v>10</v>
      </c>
      <c r="V59" s="19">
        <v>10</v>
      </c>
      <c r="W59" s="250">
        <v>80</v>
      </c>
      <c r="X59" s="11">
        <v>10</v>
      </c>
      <c r="Y59" s="18">
        <v>10</v>
      </c>
      <c r="Z59" s="18">
        <v>0</v>
      </c>
      <c r="AA59" s="18">
        <v>0</v>
      </c>
      <c r="AB59" s="18">
        <v>10</v>
      </c>
      <c r="AC59" s="18">
        <v>10</v>
      </c>
      <c r="AD59" s="18">
        <v>10</v>
      </c>
      <c r="AE59" s="18">
        <v>10</v>
      </c>
      <c r="AF59" s="19">
        <v>10</v>
      </c>
      <c r="AG59" s="248">
        <v>70</v>
      </c>
      <c r="AH59" s="11">
        <v>0</v>
      </c>
      <c r="AI59" s="18">
        <v>10</v>
      </c>
      <c r="AJ59" s="18">
        <v>6</v>
      </c>
      <c r="AK59" s="18">
        <v>10</v>
      </c>
      <c r="AL59" s="18">
        <v>10</v>
      </c>
      <c r="AM59" s="18">
        <v>10</v>
      </c>
      <c r="AN59" s="18">
        <v>10</v>
      </c>
      <c r="AO59" s="18">
        <v>10</v>
      </c>
      <c r="AP59" s="18">
        <v>10</v>
      </c>
      <c r="AQ59" s="18">
        <v>6</v>
      </c>
      <c r="AR59" s="18">
        <v>8</v>
      </c>
      <c r="AS59" s="18">
        <v>10</v>
      </c>
      <c r="AT59" s="19">
        <v>10</v>
      </c>
      <c r="AU59" s="240">
        <v>110</v>
      </c>
      <c r="AV59" s="18">
        <v>310</v>
      </c>
    </row>
    <row r="60" spans="1:48">
      <c r="A60" s="234">
        <v>76</v>
      </c>
      <c r="B60" s="257" t="s">
        <v>430</v>
      </c>
      <c r="C60" s="11">
        <v>6</v>
      </c>
      <c r="D60" s="18">
        <v>10</v>
      </c>
      <c r="E60" s="18">
        <v>10</v>
      </c>
      <c r="F60" s="239">
        <v>8</v>
      </c>
      <c r="G60" s="18">
        <v>10</v>
      </c>
      <c r="H60" s="18">
        <v>4</v>
      </c>
      <c r="I60" s="18">
        <v>0</v>
      </c>
      <c r="J60" s="18">
        <v>10</v>
      </c>
      <c r="K60" s="239">
        <v>10</v>
      </c>
      <c r="L60" s="19">
        <v>10</v>
      </c>
      <c r="M60" s="251">
        <v>78</v>
      </c>
      <c r="N60" s="11">
        <v>10</v>
      </c>
      <c r="O60" s="18">
        <v>0</v>
      </c>
      <c r="P60" s="18">
        <v>0</v>
      </c>
      <c r="Q60" s="18">
        <v>5</v>
      </c>
      <c r="R60" s="18">
        <v>6</v>
      </c>
      <c r="S60" s="18">
        <v>0</v>
      </c>
      <c r="T60" s="18">
        <v>10</v>
      </c>
      <c r="U60" s="18">
        <v>0</v>
      </c>
      <c r="V60" s="19">
        <v>10</v>
      </c>
      <c r="W60" s="250">
        <v>41</v>
      </c>
      <c r="X60" s="11">
        <v>0</v>
      </c>
      <c r="Y60" s="18">
        <v>0</v>
      </c>
      <c r="Z60" s="18">
        <v>0</v>
      </c>
      <c r="AA60" s="18">
        <v>10</v>
      </c>
      <c r="AB60" s="18">
        <v>0</v>
      </c>
      <c r="AC60" s="18">
        <v>0</v>
      </c>
      <c r="AD60" s="18">
        <v>10</v>
      </c>
      <c r="AE60" s="18">
        <v>10</v>
      </c>
      <c r="AF60" s="19">
        <v>10</v>
      </c>
      <c r="AG60" s="248">
        <v>40</v>
      </c>
      <c r="AH60" s="11">
        <v>10</v>
      </c>
      <c r="AI60" s="18">
        <v>10</v>
      </c>
      <c r="AJ60" s="18">
        <v>6</v>
      </c>
      <c r="AK60" s="18">
        <v>0</v>
      </c>
      <c r="AL60" s="18">
        <v>0</v>
      </c>
      <c r="AM60" s="18">
        <v>10</v>
      </c>
      <c r="AN60" s="18">
        <v>0</v>
      </c>
      <c r="AO60" s="18">
        <v>10</v>
      </c>
      <c r="AP60" s="18">
        <v>10</v>
      </c>
      <c r="AQ60" s="18">
        <v>0</v>
      </c>
      <c r="AR60" s="18">
        <v>10</v>
      </c>
      <c r="AS60" s="18">
        <v>10</v>
      </c>
      <c r="AT60" s="19">
        <v>2</v>
      </c>
      <c r="AU60" s="240">
        <v>78</v>
      </c>
      <c r="AV60" s="18">
        <v>237</v>
      </c>
    </row>
    <row r="61" spans="1:48">
      <c r="A61" s="234"/>
      <c r="B61" s="245" t="s">
        <v>391</v>
      </c>
      <c r="C61" s="276">
        <v>352</v>
      </c>
      <c r="D61" s="276">
        <v>450</v>
      </c>
      <c r="E61" s="276">
        <v>390</v>
      </c>
      <c r="F61" s="276">
        <v>213</v>
      </c>
      <c r="G61" s="276">
        <v>442</v>
      </c>
      <c r="H61" s="276">
        <v>406</v>
      </c>
      <c r="I61" s="276">
        <v>320</v>
      </c>
      <c r="J61" s="276">
        <v>234</v>
      </c>
      <c r="K61" s="276">
        <v>428</v>
      </c>
      <c r="L61" s="276">
        <v>460</v>
      </c>
      <c r="M61" s="276">
        <v>3695</v>
      </c>
      <c r="N61" s="276">
        <v>480</v>
      </c>
      <c r="O61" s="276">
        <v>420</v>
      </c>
      <c r="P61" s="276">
        <v>250</v>
      </c>
      <c r="Q61" s="276">
        <v>395</v>
      </c>
      <c r="R61" s="276">
        <v>318</v>
      </c>
      <c r="S61" s="276">
        <v>352</v>
      </c>
      <c r="T61" s="276">
        <v>494</v>
      </c>
      <c r="U61" s="276">
        <v>370</v>
      </c>
      <c r="V61" s="276">
        <v>444</v>
      </c>
      <c r="W61" s="276">
        <v>3523</v>
      </c>
      <c r="X61" s="276">
        <v>180</v>
      </c>
      <c r="Y61" s="276">
        <v>240</v>
      </c>
      <c r="Z61" s="276">
        <v>136</v>
      </c>
      <c r="AA61" s="276">
        <v>340</v>
      </c>
      <c r="AB61" s="276">
        <v>420</v>
      </c>
      <c r="AC61" s="276">
        <v>410</v>
      </c>
      <c r="AD61" s="276">
        <v>450</v>
      </c>
      <c r="AE61" s="276">
        <v>480</v>
      </c>
      <c r="AF61" s="276">
        <v>416</v>
      </c>
      <c r="AG61" s="276">
        <v>3072</v>
      </c>
      <c r="AH61" s="276">
        <v>260</v>
      </c>
      <c r="AI61" s="276">
        <v>270</v>
      </c>
      <c r="AJ61" s="276">
        <v>236</v>
      </c>
      <c r="AK61" s="276">
        <v>300</v>
      </c>
      <c r="AL61" s="276">
        <v>340</v>
      </c>
      <c r="AM61" s="276">
        <v>330</v>
      </c>
      <c r="AN61" s="276">
        <v>330</v>
      </c>
      <c r="AO61" s="276">
        <v>344</v>
      </c>
      <c r="AP61" s="276">
        <v>410</v>
      </c>
      <c r="AQ61" s="276">
        <v>118</v>
      </c>
      <c r="AR61" s="276">
        <v>296</v>
      </c>
      <c r="AS61" s="276">
        <v>420</v>
      </c>
      <c r="AT61" s="276">
        <v>182</v>
      </c>
      <c r="AU61" s="276">
        <v>3836</v>
      </c>
      <c r="AV61" s="4"/>
    </row>
    <row r="62" spans="1:48">
      <c r="A62" s="234"/>
      <c r="B62" s="34"/>
      <c r="C62" s="422">
        <v>6.2857142857142856</v>
      </c>
      <c r="D62" s="422">
        <v>8.0357142857142865</v>
      </c>
      <c r="E62" s="422">
        <v>6.9642857142857144</v>
      </c>
      <c r="F62" s="422">
        <v>3.8035714285714284</v>
      </c>
      <c r="G62" s="422">
        <v>7.8928571428571432</v>
      </c>
      <c r="H62" s="422">
        <v>7.25</v>
      </c>
      <c r="I62" s="422">
        <v>5.7142857142857144</v>
      </c>
      <c r="J62" s="422">
        <v>4.1785714285714288</v>
      </c>
      <c r="K62" s="422">
        <v>7.6428571428571432</v>
      </c>
      <c r="L62" s="422">
        <v>8.2142857142857135</v>
      </c>
      <c r="M62" s="423">
        <v>50</v>
      </c>
      <c r="N62" s="422">
        <v>8.5714285714285712</v>
      </c>
      <c r="O62" s="422">
        <v>7.5</v>
      </c>
      <c r="P62" s="422">
        <v>4.4642857142857144</v>
      </c>
      <c r="Q62" s="422">
        <v>7.0535714285714288</v>
      </c>
      <c r="R62" s="422">
        <v>5.6785714285714288</v>
      </c>
      <c r="S62" s="422">
        <v>6.2857142857142856</v>
      </c>
      <c r="T62" s="422">
        <v>8.8214285714285712</v>
      </c>
      <c r="U62" s="422">
        <v>6.6071428571428568</v>
      </c>
      <c r="V62" s="422">
        <v>7.9285714285714288</v>
      </c>
      <c r="W62" s="423">
        <v>50</v>
      </c>
      <c r="X62" s="422">
        <v>3.2142857142857144</v>
      </c>
      <c r="Y62" s="422">
        <v>4.2857142857142856</v>
      </c>
      <c r="Z62" s="422">
        <v>2.4285714285714284</v>
      </c>
      <c r="AA62" s="422">
        <v>6.0714285714285712</v>
      </c>
      <c r="AB62" s="422">
        <v>7.5</v>
      </c>
      <c r="AC62" s="422">
        <v>7.3214285714285712</v>
      </c>
      <c r="AD62" s="422">
        <v>8.0357142857142865</v>
      </c>
      <c r="AE62" s="422">
        <v>8.5714285714285712</v>
      </c>
      <c r="AF62" s="422">
        <v>7.4285714285714288</v>
      </c>
      <c r="AG62" s="423">
        <v>48</v>
      </c>
      <c r="AH62" s="422">
        <v>4.6428571428571432</v>
      </c>
      <c r="AI62" s="422">
        <v>4.8214285714285712</v>
      </c>
      <c r="AJ62" s="422">
        <v>4.2142857142857144</v>
      </c>
      <c r="AK62" s="422">
        <v>5.3571428571428568</v>
      </c>
      <c r="AL62" s="422">
        <v>6.0714285714285712</v>
      </c>
      <c r="AM62" s="422">
        <v>5.8928571428571432</v>
      </c>
      <c r="AN62" s="422">
        <v>5.8928571428571432</v>
      </c>
      <c r="AO62" s="422">
        <v>6.1428571428571432</v>
      </c>
      <c r="AP62" s="422">
        <v>7.3214285714285712</v>
      </c>
      <c r="AQ62" s="422">
        <v>2.1071428571428572</v>
      </c>
      <c r="AR62" s="422">
        <v>5.2857142857142856</v>
      </c>
      <c r="AS62" s="422">
        <v>7.5</v>
      </c>
      <c r="AT62" s="422">
        <v>3.25</v>
      </c>
      <c r="AU62" s="423">
        <v>47</v>
      </c>
    </row>
    <row r="63" spans="1:48">
      <c r="A63" s="234"/>
      <c r="B63" s="108">
        <v>56</v>
      </c>
      <c r="C63" s="62">
        <v>1</v>
      </c>
      <c r="D63" s="344" t="s">
        <v>413</v>
      </c>
      <c r="F63" s="34"/>
      <c r="L63" s="435"/>
      <c r="M63" s="109"/>
      <c r="N63" s="62">
        <v>18</v>
      </c>
      <c r="O63" s="344" t="s">
        <v>168</v>
      </c>
      <c r="P63" s="62"/>
      <c r="V63" s="435"/>
      <c r="W63" s="109"/>
      <c r="X63" s="62">
        <v>32</v>
      </c>
      <c r="Y63" s="344" t="s">
        <v>420</v>
      </c>
      <c r="Z63" s="62"/>
      <c r="AF63" s="435"/>
      <c r="AG63" s="109"/>
      <c r="AH63" s="62">
        <v>46</v>
      </c>
      <c r="AI63" s="344" t="s">
        <v>277</v>
      </c>
      <c r="AT63" s="435"/>
      <c r="AU63" s="49"/>
    </row>
    <row r="64" spans="1:48">
      <c r="A64" s="234"/>
      <c r="B64" s="108">
        <v>6.2857142857142856</v>
      </c>
      <c r="C64" s="62">
        <v>2</v>
      </c>
      <c r="D64" s="344" t="s">
        <v>167</v>
      </c>
      <c r="F64" s="34"/>
      <c r="L64" s="435"/>
      <c r="M64" s="109"/>
      <c r="N64" s="62">
        <v>19</v>
      </c>
      <c r="O64" s="344" t="s">
        <v>363</v>
      </c>
      <c r="P64" s="62"/>
      <c r="V64" s="435"/>
      <c r="W64" s="109"/>
      <c r="X64" s="62">
        <v>33</v>
      </c>
      <c r="Y64" s="344" t="s">
        <v>295</v>
      </c>
      <c r="Z64" s="62"/>
      <c r="AF64" s="435"/>
      <c r="AG64" s="109"/>
      <c r="AH64" s="62">
        <v>47</v>
      </c>
      <c r="AI64" s="344" t="s">
        <v>460</v>
      </c>
      <c r="AT64" s="435"/>
      <c r="AU64" s="49"/>
    </row>
    <row r="65" spans="1:47">
      <c r="A65" s="234"/>
      <c r="B65" s="108"/>
      <c r="C65" s="62">
        <v>3</v>
      </c>
      <c r="D65" s="344" t="s">
        <v>362</v>
      </c>
      <c r="F65" s="34"/>
      <c r="L65" s="435"/>
      <c r="M65" s="109"/>
      <c r="N65" s="62">
        <v>20</v>
      </c>
      <c r="O65" s="344" t="s">
        <v>415</v>
      </c>
      <c r="P65" s="62"/>
      <c r="V65" s="435"/>
      <c r="W65" s="109"/>
      <c r="X65" s="62">
        <v>34</v>
      </c>
      <c r="Y65" s="344" t="s">
        <v>188</v>
      </c>
      <c r="Z65" s="62"/>
      <c r="AF65" s="435"/>
      <c r="AG65" s="109"/>
      <c r="AH65" s="62">
        <v>48</v>
      </c>
      <c r="AI65" s="344" t="s">
        <v>445</v>
      </c>
      <c r="AT65" s="435"/>
      <c r="AU65" s="49"/>
    </row>
    <row r="66" spans="1:47">
      <c r="A66" s="234"/>
      <c r="B66" s="108"/>
      <c r="C66" s="62">
        <v>4</v>
      </c>
      <c r="D66" s="344" t="s">
        <v>253</v>
      </c>
      <c r="F66" s="34"/>
      <c r="L66" s="435"/>
      <c r="M66" s="109"/>
      <c r="N66" s="62">
        <v>21</v>
      </c>
      <c r="O66" s="344" t="s">
        <v>446</v>
      </c>
      <c r="P66" s="62"/>
      <c r="V66" s="435"/>
      <c r="W66" s="109"/>
      <c r="X66" s="62">
        <v>35</v>
      </c>
      <c r="Y66" s="344" t="s">
        <v>447</v>
      </c>
      <c r="Z66" s="62"/>
      <c r="AF66" s="435"/>
      <c r="AG66" s="109"/>
      <c r="AH66" s="62">
        <v>49</v>
      </c>
      <c r="AI66" s="344" t="s">
        <v>422</v>
      </c>
      <c r="AT66" s="435"/>
      <c r="AU66" s="49"/>
    </row>
    <row r="67" spans="1:47">
      <c r="A67" s="234"/>
      <c r="B67" s="108"/>
      <c r="C67" s="62">
        <v>8</v>
      </c>
      <c r="D67" s="344" t="s">
        <v>186</v>
      </c>
      <c r="F67" s="34"/>
      <c r="L67" s="435"/>
      <c r="M67" s="109"/>
      <c r="N67" s="62">
        <v>24</v>
      </c>
      <c r="O67" s="344" t="s">
        <v>448</v>
      </c>
      <c r="P67" s="62"/>
      <c r="V67" s="435"/>
      <c r="W67" s="109"/>
      <c r="X67" s="62">
        <v>36</v>
      </c>
      <c r="Y67" s="344" t="s">
        <v>116</v>
      </c>
      <c r="AF67" s="435"/>
      <c r="AG67" s="109"/>
      <c r="AH67" s="62">
        <v>50</v>
      </c>
      <c r="AI67" s="344" t="s">
        <v>117</v>
      </c>
      <c r="AT67" s="435"/>
      <c r="AU67" s="49"/>
    </row>
    <row r="68" spans="1:47">
      <c r="A68" s="234"/>
      <c r="B68" s="108"/>
      <c r="C68" s="62">
        <v>12</v>
      </c>
      <c r="D68" s="344" t="s">
        <v>449</v>
      </c>
      <c r="L68" s="435"/>
      <c r="M68" s="109"/>
      <c r="N68" s="62">
        <v>26</v>
      </c>
      <c r="O68" s="344" t="s">
        <v>421</v>
      </c>
      <c r="P68" s="62"/>
      <c r="V68" s="435"/>
      <c r="W68" s="109"/>
      <c r="X68" s="62">
        <v>37</v>
      </c>
      <c r="Y68" s="344" t="s">
        <v>206</v>
      </c>
      <c r="AF68" s="435"/>
      <c r="AG68" s="109"/>
      <c r="AH68" s="62">
        <v>51</v>
      </c>
      <c r="AI68" s="344" t="s">
        <v>207</v>
      </c>
      <c r="AT68" s="435"/>
      <c r="AU68" s="49"/>
    </row>
    <row r="69" spans="1:47">
      <c r="A69" s="234"/>
      <c r="B69" s="108"/>
      <c r="C69" s="62">
        <v>13</v>
      </c>
      <c r="D69" s="344" t="s">
        <v>335</v>
      </c>
      <c r="L69" s="435"/>
      <c r="M69" s="109"/>
      <c r="N69" s="62">
        <v>28</v>
      </c>
      <c r="O69" s="344" t="s">
        <v>424</v>
      </c>
      <c r="P69" s="62"/>
      <c r="V69" s="435"/>
      <c r="W69" s="109"/>
      <c r="X69" s="62">
        <v>38</v>
      </c>
      <c r="Y69" s="344" t="s">
        <v>133</v>
      </c>
      <c r="AF69" s="435"/>
      <c r="AG69" s="109"/>
      <c r="AH69" s="62">
        <v>52</v>
      </c>
      <c r="AI69" s="344" t="s">
        <v>334</v>
      </c>
      <c r="AT69" s="435"/>
      <c r="AU69" s="49"/>
    </row>
    <row r="70" spans="1:47">
      <c r="A70" s="234"/>
      <c r="B70" s="108"/>
      <c r="C70" s="62">
        <v>14</v>
      </c>
      <c r="D70" s="344" t="s">
        <v>425</v>
      </c>
      <c r="L70" s="435"/>
      <c r="M70" s="109"/>
      <c r="N70" s="62">
        <v>30</v>
      </c>
      <c r="O70" s="344" t="s">
        <v>454</v>
      </c>
      <c r="V70" s="435"/>
      <c r="W70" s="109"/>
      <c r="X70" s="62">
        <v>39</v>
      </c>
      <c r="Y70" s="344" t="s">
        <v>246</v>
      </c>
      <c r="AF70" s="435"/>
      <c r="AG70" s="109"/>
      <c r="AH70" s="62">
        <v>53</v>
      </c>
      <c r="AI70" s="344" t="s">
        <v>247</v>
      </c>
      <c r="AT70" s="435"/>
      <c r="AU70" s="49"/>
    </row>
    <row r="71" spans="1:47">
      <c r="A71" s="234"/>
      <c r="B71" s="108"/>
      <c r="C71" s="62">
        <v>15</v>
      </c>
      <c r="D71" s="344" t="s">
        <v>151</v>
      </c>
      <c r="L71" s="435"/>
      <c r="M71" s="109"/>
      <c r="N71" s="62">
        <v>31</v>
      </c>
      <c r="O71" s="344" t="s">
        <v>455</v>
      </c>
      <c r="V71" s="435"/>
      <c r="W71" s="109"/>
      <c r="X71" s="62">
        <v>40</v>
      </c>
      <c r="Y71" s="344" t="s">
        <v>153</v>
      </c>
      <c r="AF71" s="435"/>
      <c r="AG71" s="109"/>
      <c r="AH71" s="62">
        <v>55</v>
      </c>
      <c r="AI71" s="344" t="s">
        <v>252</v>
      </c>
      <c r="AT71" s="435"/>
      <c r="AU71" s="49"/>
    </row>
    <row r="72" spans="1:47">
      <c r="A72" s="234"/>
      <c r="B72" s="108"/>
      <c r="C72" s="62">
        <v>17</v>
      </c>
      <c r="D72" s="344" t="s">
        <v>155</v>
      </c>
      <c r="L72" s="435"/>
      <c r="M72" s="109"/>
      <c r="N72" s="62"/>
      <c r="O72" s="344"/>
      <c r="V72" s="435"/>
      <c r="W72" s="109"/>
      <c r="X72" s="62"/>
      <c r="Y72" s="344"/>
      <c r="AF72" s="435"/>
      <c r="AG72" s="109"/>
      <c r="AH72" s="62">
        <v>58</v>
      </c>
      <c r="AI72" s="344" t="s">
        <v>51</v>
      </c>
      <c r="AT72" s="435"/>
      <c r="AU72" s="49"/>
    </row>
    <row r="73" spans="1:47">
      <c r="A73" s="234"/>
      <c r="B73" s="108"/>
      <c r="C73" s="62"/>
      <c r="D73" s="345"/>
      <c r="L73" s="435"/>
      <c r="M73" s="109"/>
      <c r="V73" s="435"/>
      <c r="W73" s="109"/>
      <c r="X73" s="62"/>
      <c r="Y73" s="344"/>
      <c r="AF73" s="435"/>
      <c r="AG73" s="109"/>
      <c r="AH73" s="62">
        <v>60</v>
      </c>
      <c r="AI73" s="344" t="s">
        <v>400</v>
      </c>
      <c r="AT73" s="435"/>
      <c r="AU73" s="49"/>
    </row>
    <row r="74" spans="1:47">
      <c r="A74" s="234"/>
      <c r="B74" s="108"/>
      <c r="C74" s="62"/>
      <c r="D74" s="345"/>
      <c r="L74" s="435"/>
      <c r="M74" s="109"/>
      <c r="V74" s="435"/>
      <c r="W74" s="109"/>
      <c r="X74" s="62"/>
      <c r="Y74" s="344"/>
      <c r="AF74" s="435"/>
      <c r="AG74" s="109"/>
      <c r="AH74" s="62">
        <v>61</v>
      </c>
      <c r="AI74" s="344" t="s">
        <v>164</v>
      </c>
      <c r="AT74" s="435"/>
      <c r="AU74" s="49"/>
    </row>
    <row r="75" spans="1:47">
      <c r="A75" s="234"/>
      <c r="B75" s="34"/>
      <c r="C75" s="63"/>
      <c r="D75" s="49"/>
      <c r="E75" s="64"/>
      <c r="L75" s="435"/>
      <c r="M75" s="49"/>
      <c r="V75" s="435"/>
      <c r="W75" s="109"/>
      <c r="X75" s="62"/>
      <c r="Y75" s="344"/>
      <c r="AF75" s="435"/>
      <c r="AG75" s="109"/>
      <c r="AH75" s="62">
        <v>62</v>
      </c>
      <c r="AI75" s="344" t="s">
        <v>165</v>
      </c>
      <c r="AT75" s="435"/>
      <c r="AU75" s="49"/>
    </row>
    <row r="76" spans="1:47">
      <c r="A76" s="234"/>
      <c r="B76" s="34"/>
      <c r="C76" s="49"/>
      <c r="D76" s="49"/>
      <c r="E76" s="49"/>
      <c r="L76" s="435"/>
      <c r="M76" s="49"/>
      <c r="V76" s="435"/>
      <c r="W76" s="109"/>
      <c r="X76" s="62"/>
      <c r="Y76" s="344"/>
      <c r="AF76" s="435"/>
      <c r="AG76" s="109"/>
      <c r="AH76" s="62"/>
      <c r="AI76" s="344"/>
      <c r="AT76" s="435"/>
      <c r="AU76" s="49"/>
    </row>
    <row r="77" spans="1:47">
      <c r="A77" s="234"/>
      <c r="B77" s="34"/>
      <c r="C77" s="49"/>
      <c r="D77" s="49"/>
      <c r="E77" s="49"/>
      <c r="L77" s="435"/>
      <c r="M77" s="49"/>
      <c r="V77" s="435"/>
      <c r="W77" s="49"/>
      <c r="X77" s="62"/>
      <c r="Y77" s="346"/>
      <c r="AF77" s="435"/>
      <c r="AG77" s="109"/>
      <c r="AH77" s="62"/>
      <c r="AI77" s="344"/>
      <c r="AT77" s="435"/>
      <c r="AU77" s="49"/>
    </row>
    <row r="78" spans="1:47">
      <c r="A78" s="234"/>
      <c r="B78" s="34"/>
      <c r="C78" s="49"/>
      <c r="D78" s="49"/>
      <c r="E78" s="49"/>
      <c r="L78" s="435"/>
      <c r="M78" s="49"/>
      <c r="V78" s="435"/>
      <c r="W78" s="49"/>
      <c r="X78" s="62"/>
      <c r="Y78" s="346"/>
      <c r="AF78" s="435"/>
      <c r="AG78" s="109"/>
      <c r="AH78" s="62"/>
      <c r="AI78" s="344"/>
      <c r="AT78" s="435"/>
      <c r="AU78" s="49"/>
    </row>
    <row r="79" spans="1:47">
      <c r="A79" s="234"/>
      <c r="B79" s="34"/>
      <c r="C79" s="49"/>
      <c r="D79" s="49"/>
      <c r="E79" s="49"/>
      <c r="L79" s="435"/>
      <c r="M79" s="49"/>
      <c r="V79" s="435"/>
      <c r="W79" s="49"/>
      <c r="X79" s="62"/>
      <c r="Y79" s="346"/>
      <c r="AF79" s="435"/>
      <c r="AG79" s="109"/>
      <c r="AH79" s="62"/>
      <c r="AI79" s="344"/>
      <c r="AT79" s="435"/>
      <c r="AU79" s="49"/>
    </row>
    <row r="80" spans="1:47">
      <c r="A80" s="234"/>
      <c r="B80" s="34"/>
      <c r="C80" s="49"/>
      <c r="M80" s="62"/>
      <c r="N80" s="346"/>
      <c r="V80" s="109"/>
      <c r="W80" s="62"/>
      <c r="X80" s="344"/>
      <c r="AF80" s="435"/>
      <c r="AJ80" s="49"/>
      <c r="AT80" s="435"/>
    </row>
    <row r="81" spans="1:46">
      <c r="A81" s="234"/>
      <c r="B81" s="258" t="s">
        <v>318</v>
      </c>
      <c r="C81" s="498" t="s">
        <v>276</v>
      </c>
      <c r="D81" s="352" t="s">
        <v>391</v>
      </c>
      <c r="E81" s="161" t="s">
        <v>130</v>
      </c>
      <c r="F81" s="161" t="s">
        <v>131</v>
      </c>
      <c r="G81" s="161" t="s">
        <v>5</v>
      </c>
      <c r="H81" s="291" t="s">
        <v>6</v>
      </c>
      <c r="W81" s="62"/>
      <c r="X81" s="344"/>
      <c r="AF81" s="435"/>
      <c r="AJ81" s="49"/>
      <c r="AT81" s="435"/>
    </row>
    <row r="82" spans="1:46">
      <c r="A82" s="234"/>
      <c r="B82" s="361" t="s">
        <v>456</v>
      </c>
      <c r="C82" s="495">
        <v>57</v>
      </c>
      <c r="D82" s="495">
        <v>4.3658536585365857</v>
      </c>
      <c r="E82" s="362">
        <v>4.5999999999999996</v>
      </c>
      <c r="F82" s="362">
        <v>4.5555555555555554</v>
      </c>
      <c r="G82" s="362">
        <v>5.1111111111111107</v>
      </c>
      <c r="H82" s="21">
        <v>3.5384615384615383</v>
      </c>
      <c r="AF82" s="435"/>
      <c r="AJ82" s="49"/>
      <c r="AT82" s="435"/>
    </row>
    <row r="83" spans="1:46">
      <c r="A83" s="234"/>
      <c r="B83" s="355" t="s">
        <v>0</v>
      </c>
      <c r="C83" s="496">
        <v>101</v>
      </c>
      <c r="D83" s="497">
        <v>4.5853658536585362</v>
      </c>
      <c r="E83" s="34">
        <v>7.4</v>
      </c>
      <c r="F83" s="34">
        <v>4</v>
      </c>
      <c r="G83" s="34">
        <v>2</v>
      </c>
      <c r="H83" s="349">
        <v>4.615384615384615</v>
      </c>
      <c r="AF83" s="435"/>
      <c r="AJ83" s="49"/>
      <c r="AT83" s="435"/>
    </row>
    <row r="84" spans="1:46">
      <c r="A84" s="234"/>
      <c r="B84" s="355" t="s">
        <v>350</v>
      </c>
      <c r="C84" s="50">
        <v>33</v>
      </c>
      <c r="D84" s="50">
        <v>7.0731707317073171</v>
      </c>
      <c r="E84" s="34">
        <v>7.7</v>
      </c>
      <c r="F84" s="34">
        <v>9.4444444444444446</v>
      </c>
      <c r="G84" s="34">
        <v>7.333333333333333</v>
      </c>
      <c r="H84" s="349">
        <v>4.7692307692307692</v>
      </c>
      <c r="AF84" s="435"/>
      <c r="AJ84" s="49"/>
      <c r="AT84" s="435"/>
    </row>
    <row r="85" spans="1:46">
      <c r="A85" s="234"/>
      <c r="B85" s="355" t="s">
        <v>412</v>
      </c>
      <c r="C85" s="50">
        <v>22</v>
      </c>
      <c r="D85" s="50">
        <v>6.1219512195121952</v>
      </c>
      <c r="E85" s="34">
        <v>7.4</v>
      </c>
      <c r="F85" s="34">
        <v>7.4444444444444446</v>
      </c>
      <c r="G85" s="34">
        <v>7.333333333333333</v>
      </c>
      <c r="H85" s="349">
        <v>3.3846153846153846</v>
      </c>
      <c r="AF85" s="435"/>
      <c r="AJ85" s="49"/>
      <c r="AT85" s="435"/>
    </row>
    <row r="86" spans="1:46">
      <c r="A86" s="234"/>
      <c r="B86" s="355" t="s">
        <v>356</v>
      </c>
      <c r="C86" s="50">
        <v>82</v>
      </c>
      <c r="D86" s="50">
        <v>6.9512195121951219</v>
      </c>
      <c r="E86" s="34">
        <v>8.5</v>
      </c>
      <c r="F86" s="34">
        <v>8.8888888888888893</v>
      </c>
      <c r="G86" s="34">
        <v>4.2222222222222223</v>
      </c>
      <c r="H86" s="349">
        <v>6.3076923076923075</v>
      </c>
      <c r="AF86" s="435"/>
      <c r="AJ86" s="49"/>
      <c r="AT86" s="435"/>
    </row>
    <row r="87" spans="1:46">
      <c r="A87" s="234"/>
      <c r="B87" s="355" t="s">
        <v>34</v>
      </c>
      <c r="C87" s="50">
        <v>8</v>
      </c>
      <c r="D87" s="50">
        <v>7.5121951219512191</v>
      </c>
      <c r="E87" s="34">
        <v>10</v>
      </c>
      <c r="F87" s="34">
        <v>8</v>
      </c>
      <c r="G87" s="34">
        <v>6.666666666666667</v>
      </c>
      <c r="H87" s="349">
        <v>5.8461538461538458</v>
      </c>
      <c r="AF87" s="435"/>
      <c r="AJ87" s="49"/>
      <c r="AT87" s="435"/>
    </row>
    <row r="88" spans="1:46">
      <c r="A88" s="234"/>
      <c r="B88" s="355" t="s">
        <v>1</v>
      </c>
      <c r="C88" s="496">
        <v>102</v>
      </c>
      <c r="D88" s="497">
        <v>5.7317073170731705</v>
      </c>
      <c r="E88" s="34">
        <v>8.5</v>
      </c>
      <c r="F88" s="34">
        <v>7.333333333333333</v>
      </c>
      <c r="G88" s="34">
        <v>5.1111111111111107</v>
      </c>
      <c r="H88" s="349">
        <v>2.9230769230769229</v>
      </c>
      <c r="AF88" s="435"/>
      <c r="AJ88" s="49"/>
      <c r="AT88" s="435"/>
    </row>
    <row r="89" spans="1:46">
      <c r="B89" s="355" t="s">
        <v>35</v>
      </c>
      <c r="C89" s="34">
        <v>103</v>
      </c>
      <c r="D89" s="34">
        <v>5.2439024390243905</v>
      </c>
      <c r="E89" s="34">
        <v>8.8000000000000007</v>
      </c>
      <c r="F89" s="34">
        <v>6.1111111111111107</v>
      </c>
      <c r="G89" s="34">
        <v>8</v>
      </c>
      <c r="H89" s="349">
        <v>0</v>
      </c>
      <c r="K89" s="49"/>
      <c r="L89" s="435"/>
      <c r="U89" s="49"/>
      <c r="V89" s="435"/>
      <c r="AF89" s="435"/>
      <c r="AI89" s="49"/>
      <c r="AT89" s="435"/>
    </row>
    <row r="90" spans="1:46">
      <c r="B90" s="355" t="s">
        <v>2</v>
      </c>
      <c r="C90" s="34">
        <v>104</v>
      </c>
      <c r="D90" s="34">
        <v>5.2926829268292686</v>
      </c>
      <c r="E90" s="34">
        <v>5.2</v>
      </c>
      <c r="F90" s="34">
        <v>4.5555555555555554</v>
      </c>
      <c r="G90" s="34">
        <v>6.8888888888888893</v>
      </c>
      <c r="H90" s="349">
        <v>4.7692307692307692</v>
      </c>
      <c r="K90" s="49"/>
      <c r="L90" s="435"/>
      <c r="U90" s="49"/>
      <c r="V90" s="435"/>
      <c r="AF90" s="435"/>
      <c r="AI90" s="49"/>
      <c r="AT90" s="435"/>
    </row>
    <row r="91" spans="1:46">
      <c r="B91" s="355" t="s">
        <v>3</v>
      </c>
      <c r="C91" s="34">
        <v>3</v>
      </c>
      <c r="D91" s="34">
        <v>5.3414634146341466</v>
      </c>
      <c r="E91" s="34">
        <v>8.6</v>
      </c>
      <c r="F91" s="34">
        <v>8.2222222222222214</v>
      </c>
      <c r="G91" s="34">
        <v>6.5555555555555554</v>
      </c>
      <c r="H91" s="349">
        <v>0</v>
      </c>
      <c r="K91" s="49"/>
      <c r="L91" s="435"/>
      <c r="U91" s="49"/>
      <c r="V91" s="435"/>
      <c r="AF91" s="435"/>
      <c r="AI91" s="49"/>
      <c r="AT91" s="435"/>
    </row>
    <row r="92" spans="1:46">
      <c r="B92" s="355" t="s">
        <v>83</v>
      </c>
      <c r="C92" s="34">
        <v>21</v>
      </c>
      <c r="D92" s="34">
        <v>6.3414634146341466</v>
      </c>
      <c r="E92" s="34">
        <v>6.9</v>
      </c>
      <c r="F92" s="34">
        <v>7.8888888888888893</v>
      </c>
      <c r="G92" s="34">
        <v>2.8888888888888888</v>
      </c>
      <c r="H92" s="349">
        <v>7.2307692307692308</v>
      </c>
      <c r="K92" s="49"/>
      <c r="L92" s="435"/>
      <c r="U92" s="49"/>
      <c r="V92" s="435"/>
      <c r="AF92" s="435"/>
      <c r="AI92" s="49"/>
      <c r="AT92" s="435"/>
    </row>
    <row r="93" spans="1:46">
      <c r="B93" s="355" t="s">
        <v>156</v>
      </c>
      <c r="C93" s="34">
        <v>7</v>
      </c>
      <c r="D93" s="34">
        <v>1.9512195121951219</v>
      </c>
      <c r="E93" s="34">
        <v>1</v>
      </c>
      <c r="F93" s="34">
        <v>3.8888888888888888</v>
      </c>
      <c r="G93" s="34">
        <v>3.6666666666666665</v>
      </c>
      <c r="H93" s="349">
        <v>0.15384615384615385</v>
      </c>
      <c r="K93" s="49"/>
      <c r="L93" s="435"/>
      <c r="U93" s="49"/>
      <c r="V93" s="435"/>
      <c r="AF93" s="435"/>
      <c r="AI93" s="49"/>
      <c r="AT93" s="435"/>
    </row>
    <row r="94" spans="1:46">
      <c r="B94" s="355" t="s">
        <v>158</v>
      </c>
      <c r="C94" s="34">
        <v>302</v>
      </c>
      <c r="D94" s="34">
        <v>5.3170731707317076</v>
      </c>
      <c r="E94" s="34">
        <v>5.6</v>
      </c>
      <c r="F94" s="34">
        <v>8.4444444444444446</v>
      </c>
      <c r="G94" s="34">
        <v>5.5555555555555554</v>
      </c>
      <c r="H94" s="349">
        <v>2.7692307692307692</v>
      </c>
      <c r="K94" s="49"/>
      <c r="L94" s="435"/>
      <c r="U94" s="49"/>
      <c r="V94" s="435"/>
      <c r="AF94" s="435"/>
      <c r="AI94" s="49"/>
      <c r="AT94" s="435"/>
    </row>
    <row r="95" spans="1:46">
      <c r="B95" s="355" t="s">
        <v>159</v>
      </c>
      <c r="C95" s="34">
        <v>300</v>
      </c>
      <c r="D95" s="34">
        <v>2.6097560975609757</v>
      </c>
      <c r="E95" s="34">
        <v>1.8</v>
      </c>
      <c r="F95" s="34">
        <v>2.6666666666666665</v>
      </c>
      <c r="G95" s="34">
        <v>3.6666666666666665</v>
      </c>
      <c r="H95" s="349">
        <v>2.4615384615384617</v>
      </c>
      <c r="K95" s="49"/>
      <c r="L95" s="435"/>
      <c r="U95" s="49"/>
      <c r="V95" s="435"/>
      <c r="AF95" s="435"/>
      <c r="AI95" s="49"/>
      <c r="AT95" s="435"/>
    </row>
    <row r="96" spans="1:46">
      <c r="B96" s="355" t="s">
        <v>352</v>
      </c>
      <c r="C96" s="34">
        <v>52</v>
      </c>
      <c r="D96" s="34">
        <v>7.8048780487804876</v>
      </c>
      <c r="E96" s="34">
        <v>6.5</v>
      </c>
      <c r="F96" s="34">
        <v>5.4444444444444446</v>
      </c>
      <c r="G96" s="34">
        <v>9.1111111111111107</v>
      </c>
      <c r="H96" s="349">
        <v>9.5384615384615383</v>
      </c>
      <c r="K96" s="49"/>
      <c r="L96" s="435"/>
      <c r="U96" s="49"/>
      <c r="V96" s="435"/>
      <c r="AF96" s="435"/>
      <c r="AI96" s="49"/>
      <c r="AT96" s="435"/>
    </row>
    <row r="97" spans="2:46">
      <c r="B97" s="355" t="s">
        <v>408</v>
      </c>
      <c r="C97" s="34">
        <v>105</v>
      </c>
      <c r="D97" s="34">
        <v>9.4146341463414629</v>
      </c>
      <c r="E97" s="34">
        <v>9.6</v>
      </c>
      <c r="F97" s="34">
        <v>9.5555555555555554</v>
      </c>
      <c r="G97" s="34">
        <v>9.5555555555555554</v>
      </c>
      <c r="H97" s="349">
        <v>9.0769230769230766</v>
      </c>
      <c r="K97" s="49"/>
      <c r="L97" s="435"/>
      <c r="U97" s="49"/>
      <c r="V97" s="435"/>
      <c r="AF97" s="435"/>
      <c r="AI97" s="49"/>
      <c r="AT97" s="435"/>
    </row>
    <row r="98" spans="2:46">
      <c r="B98" s="355" t="s">
        <v>84</v>
      </c>
      <c r="C98" s="34">
        <v>200</v>
      </c>
      <c r="D98" s="34">
        <v>0.34146341463414637</v>
      </c>
      <c r="E98" s="34">
        <v>0</v>
      </c>
      <c r="F98" s="34">
        <v>1.1111111111111112</v>
      </c>
      <c r="G98" s="34">
        <v>0.22222222222222221</v>
      </c>
      <c r="H98" s="349">
        <v>0.15384615384615385</v>
      </c>
      <c r="K98" s="49"/>
      <c r="L98" s="435"/>
      <c r="U98" s="49"/>
      <c r="V98" s="435"/>
      <c r="AF98" s="435"/>
      <c r="AI98" s="49"/>
      <c r="AT98" s="435"/>
    </row>
    <row r="99" spans="2:46">
      <c r="B99" s="355" t="s">
        <v>409</v>
      </c>
      <c r="C99" s="34">
        <v>106</v>
      </c>
      <c r="D99" s="34">
        <v>9.4146341463414629</v>
      </c>
      <c r="E99" s="34">
        <v>9.6</v>
      </c>
      <c r="F99" s="34">
        <v>9.5555555555555554</v>
      </c>
      <c r="G99" s="34">
        <v>9.5555555555555554</v>
      </c>
      <c r="H99" s="349">
        <v>9.0769230769230766</v>
      </c>
      <c r="K99" s="49"/>
      <c r="L99" s="435"/>
      <c r="U99" s="49"/>
      <c r="V99" s="435"/>
      <c r="AF99" s="435"/>
      <c r="AI99" s="49"/>
      <c r="AT99" s="435"/>
    </row>
    <row r="100" spans="2:46">
      <c r="B100" s="355" t="s">
        <v>410</v>
      </c>
      <c r="C100" s="34">
        <v>107</v>
      </c>
      <c r="D100" s="34">
        <v>0.34146341463414637</v>
      </c>
      <c r="E100" s="34">
        <v>0</v>
      </c>
      <c r="F100" s="34">
        <v>1.1111111111111112</v>
      </c>
      <c r="G100" s="34">
        <v>0.22222222222222221</v>
      </c>
      <c r="H100" s="349">
        <v>0.15384615384615385</v>
      </c>
      <c r="K100" s="49"/>
      <c r="L100" s="435"/>
      <c r="U100" s="49"/>
      <c r="V100" s="435"/>
      <c r="AF100" s="435"/>
      <c r="AI100" s="49"/>
      <c r="AT100" s="435"/>
    </row>
    <row r="101" spans="2:46">
      <c r="B101" s="355" t="s">
        <v>411</v>
      </c>
      <c r="C101" s="34">
        <v>108</v>
      </c>
      <c r="D101" s="34">
        <v>0.34146341463414637</v>
      </c>
      <c r="E101" s="34">
        <v>0</v>
      </c>
      <c r="F101" s="34">
        <v>1.1111111111111112</v>
      </c>
      <c r="G101" s="34">
        <v>0.22222222222222221</v>
      </c>
      <c r="H101" s="349">
        <v>0.15384615384615385</v>
      </c>
      <c r="K101" s="49"/>
      <c r="L101" s="435"/>
      <c r="U101" s="49"/>
      <c r="V101" s="435"/>
      <c r="AF101" s="435"/>
      <c r="AI101" s="49"/>
      <c r="AT101" s="435"/>
    </row>
    <row r="102" spans="2:46">
      <c r="B102" s="355" t="s">
        <v>337</v>
      </c>
      <c r="C102" s="34">
        <v>109</v>
      </c>
      <c r="D102" s="34">
        <v>7.7804878048780486</v>
      </c>
      <c r="E102" s="34">
        <v>7.5</v>
      </c>
      <c r="F102" s="34">
        <v>9.5555555555555554</v>
      </c>
      <c r="G102" s="34">
        <v>6.666666666666667</v>
      </c>
      <c r="H102" s="349">
        <v>7.5384615384615383</v>
      </c>
      <c r="K102" s="49"/>
      <c r="L102" s="435"/>
      <c r="U102" s="49"/>
      <c r="V102" s="435"/>
      <c r="AF102" s="435"/>
      <c r="AI102" s="49"/>
      <c r="AT102" s="435"/>
    </row>
    <row r="103" spans="2:46">
      <c r="B103" s="355" t="s">
        <v>338</v>
      </c>
      <c r="C103" s="34">
        <v>71</v>
      </c>
      <c r="D103" s="34">
        <v>7.4146341463414638</v>
      </c>
      <c r="E103" s="34">
        <v>7.7</v>
      </c>
      <c r="F103" s="34">
        <v>8.2222222222222214</v>
      </c>
      <c r="G103" s="34">
        <v>6.5555555555555554</v>
      </c>
      <c r="H103" s="349">
        <v>7.2307692307692308</v>
      </c>
      <c r="K103" s="49"/>
      <c r="L103" s="435"/>
      <c r="U103" s="49"/>
      <c r="V103" s="435"/>
      <c r="AF103" s="435"/>
      <c r="AI103" s="49"/>
      <c r="AT103" s="435"/>
    </row>
    <row r="104" spans="2:46">
      <c r="B104" s="355" t="s">
        <v>339</v>
      </c>
      <c r="C104" s="34">
        <v>11</v>
      </c>
      <c r="D104" s="34">
        <v>7.8780487804878048</v>
      </c>
      <c r="E104" s="34">
        <v>8.3000000000000007</v>
      </c>
      <c r="F104" s="34">
        <v>8.5555555555555554</v>
      </c>
      <c r="G104" s="34">
        <v>7.2222222222222223</v>
      </c>
      <c r="H104" s="349">
        <v>7.5384615384615383</v>
      </c>
      <c r="K104" s="49"/>
      <c r="L104" s="435"/>
      <c r="U104" s="49"/>
      <c r="V104" s="435"/>
      <c r="AF104" s="435"/>
      <c r="AI104" s="49"/>
      <c r="AT104" s="435"/>
    </row>
    <row r="105" spans="2:46">
      <c r="B105" s="355" t="s">
        <v>82</v>
      </c>
      <c r="C105" s="34">
        <v>703</v>
      </c>
      <c r="D105" s="34">
        <v>7.6341463414634143</v>
      </c>
      <c r="E105" s="34">
        <v>8.1</v>
      </c>
      <c r="F105" s="34">
        <v>9.1111111111111107</v>
      </c>
      <c r="G105" s="34">
        <v>6.666666666666667</v>
      </c>
      <c r="H105" s="349">
        <v>6.9230769230769234</v>
      </c>
      <c r="K105" s="49"/>
      <c r="L105" s="435"/>
      <c r="U105" s="49"/>
      <c r="V105" s="435"/>
      <c r="AF105" s="435"/>
      <c r="AI105" s="49"/>
      <c r="AT105" s="435"/>
    </row>
    <row r="106" spans="2:46">
      <c r="B106" s="355" t="s">
        <v>169</v>
      </c>
      <c r="C106" s="34">
        <v>707</v>
      </c>
      <c r="D106" s="34">
        <v>7.2195121951219514</v>
      </c>
      <c r="E106" s="34">
        <v>6.6</v>
      </c>
      <c r="F106" s="34">
        <v>8.4444444444444446</v>
      </c>
      <c r="G106" s="34">
        <v>7.333333333333333</v>
      </c>
      <c r="H106" s="349">
        <v>6.7692307692307692</v>
      </c>
      <c r="K106" s="49"/>
      <c r="L106" s="435"/>
      <c r="U106" s="49"/>
      <c r="V106" s="435"/>
      <c r="AF106" s="435"/>
      <c r="AI106" s="49"/>
      <c r="AT106" s="435"/>
    </row>
    <row r="107" spans="2:46">
      <c r="B107" s="355" t="s">
        <v>170</v>
      </c>
      <c r="C107" s="34">
        <v>705</v>
      </c>
      <c r="D107" s="34">
        <v>6.4146341463414638</v>
      </c>
      <c r="E107" s="34">
        <v>5.4</v>
      </c>
      <c r="F107" s="34">
        <v>7.8888888888888893</v>
      </c>
      <c r="G107" s="34">
        <v>7.333333333333333</v>
      </c>
      <c r="H107" s="349">
        <v>5.5384615384615383</v>
      </c>
      <c r="K107" s="49"/>
      <c r="L107" s="435"/>
      <c r="U107" s="49"/>
      <c r="V107" s="435"/>
      <c r="AF107" s="435"/>
      <c r="AI107" s="49"/>
      <c r="AT107" s="435"/>
    </row>
    <row r="108" spans="2:46">
      <c r="B108" s="355" t="s">
        <v>416</v>
      </c>
      <c r="C108" s="34">
        <v>711</v>
      </c>
      <c r="D108" s="34">
        <v>4.8536585365853657</v>
      </c>
      <c r="E108" s="34">
        <v>4.8</v>
      </c>
      <c r="F108" s="34">
        <v>7.8888888888888893</v>
      </c>
      <c r="G108" s="34">
        <v>2.8888888888888888</v>
      </c>
      <c r="H108" s="349">
        <v>4.1538461538461542</v>
      </c>
      <c r="K108" s="49"/>
      <c r="L108" s="435"/>
      <c r="U108" s="49"/>
      <c r="V108" s="435"/>
      <c r="AF108" s="435"/>
      <c r="AI108" s="49"/>
      <c r="AT108" s="435"/>
    </row>
    <row r="109" spans="2:46">
      <c r="B109" s="355" t="s">
        <v>171</v>
      </c>
      <c r="C109" s="34">
        <v>710</v>
      </c>
      <c r="D109" s="34">
        <v>8.7317073170731714</v>
      </c>
      <c r="E109" s="34">
        <v>9</v>
      </c>
      <c r="F109" s="34">
        <v>8</v>
      </c>
      <c r="G109" s="34">
        <v>9.5555555555555554</v>
      </c>
      <c r="H109" s="349">
        <v>8.4615384615384617</v>
      </c>
      <c r="K109" s="49"/>
      <c r="L109" s="435"/>
      <c r="U109" s="49"/>
      <c r="V109" s="435"/>
      <c r="AF109" s="435"/>
      <c r="AI109" s="49"/>
      <c r="AT109" s="435"/>
    </row>
    <row r="110" spans="2:46">
      <c r="B110" s="355" t="s">
        <v>431</v>
      </c>
      <c r="C110" s="34">
        <v>75</v>
      </c>
      <c r="D110" s="34">
        <v>6.5365853658536581</v>
      </c>
      <c r="E110" s="34">
        <v>6.7</v>
      </c>
      <c r="F110" s="34">
        <v>8.8888888888888893</v>
      </c>
      <c r="G110" s="34">
        <v>5.4444444444444446</v>
      </c>
      <c r="H110" s="349">
        <v>5.5384615384615383</v>
      </c>
      <c r="K110" s="49"/>
      <c r="L110" s="435"/>
      <c r="U110" s="49"/>
      <c r="V110" s="435"/>
      <c r="AF110" s="435"/>
      <c r="AI110" s="49"/>
      <c r="AT110" s="435"/>
    </row>
    <row r="111" spans="2:46">
      <c r="B111" s="355" t="s">
        <v>353</v>
      </c>
      <c r="C111" s="34">
        <v>17</v>
      </c>
      <c r="D111" s="34">
        <v>8.6097560975609753</v>
      </c>
      <c r="E111" s="34">
        <v>8.9</v>
      </c>
      <c r="F111" s="34">
        <v>9.1111111111111107</v>
      </c>
      <c r="G111" s="34">
        <v>8</v>
      </c>
      <c r="H111" s="349">
        <v>8.4615384615384617</v>
      </c>
      <c r="K111" s="49"/>
      <c r="L111" s="435"/>
      <c r="U111" s="49"/>
      <c r="V111" s="435"/>
      <c r="AF111" s="435"/>
      <c r="AI111" s="49"/>
      <c r="AT111" s="435"/>
    </row>
    <row r="112" spans="2:46">
      <c r="B112" s="355" t="s">
        <v>22</v>
      </c>
      <c r="C112" s="34">
        <v>1</v>
      </c>
      <c r="D112" s="34">
        <v>9</v>
      </c>
      <c r="E112" s="34">
        <v>9.1999999999999993</v>
      </c>
      <c r="F112" s="34">
        <v>8.5555555555555554</v>
      </c>
      <c r="G112" s="34">
        <v>8.6666666666666661</v>
      </c>
      <c r="H112" s="349">
        <v>9.384615384615385</v>
      </c>
      <c r="K112" s="49"/>
      <c r="L112" s="435"/>
      <c r="U112" s="49"/>
      <c r="V112" s="435"/>
      <c r="AF112" s="435"/>
      <c r="AI112" s="49"/>
      <c r="AT112" s="435"/>
    </row>
    <row r="113" spans="2:46">
      <c r="B113" s="355" t="s">
        <v>249</v>
      </c>
      <c r="C113" s="34">
        <v>111</v>
      </c>
      <c r="D113" s="34">
        <v>7.3658536585365857</v>
      </c>
      <c r="E113" s="34">
        <v>7.7</v>
      </c>
      <c r="F113" s="34">
        <v>8.5555555555555554</v>
      </c>
      <c r="G113" s="34">
        <v>9.1111111111111107</v>
      </c>
      <c r="H113" s="349">
        <v>5.0769230769230766</v>
      </c>
      <c r="K113" s="49"/>
      <c r="L113" s="435"/>
      <c r="U113" s="49"/>
      <c r="V113" s="435"/>
      <c r="AF113" s="435"/>
      <c r="AI113" s="49"/>
      <c r="AT113" s="435"/>
    </row>
    <row r="114" spans="2:46">
      <c r="B114" s="355" t="s">
        <v>250</v>
      </c>
      <c r="C114" s="34">
        <v>112</v>
      </c>
      <c r="D114" s="34">
        <v>6.2682926829268295</v>
      </c>
      <c r="E114" s="34">
        <v>7.5</v>
      </c>
      <c r="F114" s="34">
        <v>8.6666666666666661</v>
      </c>
      <c r="G114" s="34">
        <v>7.7777777777777777</v>
      </c>
      <c r="H114" s="349">
        <v>2.6153846153846154</v>
      </c>
      <c r="K114" s="49"/>
      <c r="L114" s="435"/>
      <c r="U114" s="49"/>
      <c r="V114" s="435"/>
      <c r="AF114" s="435"/>
      <c r="AI114" s="49"/>
      <c r="AT114" s="435"/>
    </row>
    <row r="115" spans="2:46">
      <c r="B115" s="355" t="s">
        <v>86</v>
      </c>
      <c r="C115" s="34">
        <v>20</v>
      </c>
      <c r="D115" s="34">
        <v>7.4390243902439028</v>
      </c>
      <c r="E115" s="34">
        <v>9.3000000000000007</v>
      </c>
      <c r="F115" s="34">
        <v>7.7777777777777777</v>
      </c>
      <c r="G115" s="34">
        <v>6.2222222222222223</v>
      </c>
      <c r="H115" s="349">
        <v>6.615384615384615</v>
      </c>
      <c r="K115" s="49"/>
      <c r="L115" s="435"/>
      <c r="U115" s="49"/>
      <c r="V115" s="435"/>
      <c r="AF115" s="435"/>
      <c r="AI115" s="49"/>
      <c r="AT115" s="435"/>
    </row>
    <row r="116" spans="2:46">
      <c r="B116" s="355" t="s">
        <v>426</v>
      </c>
      <c r="C116" s="34">
        <v>37</v>
      </c>
      <c r="D116" s="34">
        <v>8.2926829268292686</v>
      </c>
      <c r="E116" s="34">
        <v>6.2</v>
      </c>
      <c r="F116" s="34">
        <v>8.4444444444444446</v>
      </c>
      <c r="G116" s="34">
        <v>8.4444444444444446</v>
      </c>
      <c r="H116" s="349">
        <v>9.6923076923076916</v>
      </c>
      <c r="K116" s="49"/>
      <c r="L116" s="435"/>
      <c r="U116" s="49"/>
      <c r="V116" s="435"/>
      <c r="AF116" s="435"/>
      <c r="AI116" s="49"/>
      <c r="AT116" s="435"/>
    </row>
    <row r="117" spans="2:46">
      <c r="B117" s="355" t="s">
        <v>342</v>
      </c>
      <c r="C117" s="34">
        <v>113</v>
      </c>
      <c r="D117" s="34">
        <v>8.2682926829268286</v>
      </c>
      <c r="E117" s="34">
        <v>7.1</v>
      </c>
      <c r="F117" s="34">
        <v>9.1111111111111107</v>
      </c>
      <c r="G117" s="34">
        <v>9.1111111111111107</v>
      </c>
      <c r="H117" s="349">
        <v>8</v>
      </c>
      <c r="K117" s="49"/>
      <c r="L117" s="435"/>
      <c r="U117" s="49"/>
      <c r="V117" s="435"/>
      <c r="AF117" s="435"/>
      <c r="AI117" s="49"/>
      <c r="AT117" s="435"/>
    </row>
    <row r="118" spans="2:46">
      <c r="B118" s="355" t="s">
        <v>343</v>
      </c>
      <c r="C118" s="34">
        <v>114</v>
      </c>
      <c r="D118" s="34">
        <v>5.8536585365853657</v>
      </c>
      <c r="E118" s="34">
        <v>5.6</v>
      </c>
      <c r="F118" s="34">
        <v>9.5555555555555554</v>
      </c>
      <c r="G118" s="34">
        <v>6.2222222222222223</v>
      </c>
      <c r="H118" s="349">
        <v>3.2307692307692308</v>
      </c>
      <c r="K118" s="49"/>
      <c r="L118" s="435"/>
      <c r="U118" s="49"/>
      <c r="V118" s="435"/>
      <c r="AF118" s="435"/>
      <c r="AI118" s="49"/>
      <c r="AT118" s="435"/>
    </row>
    <row r="119" spans="2:46">
      <c r="B119" s="355" t="s">
        <v>344</v>
      </c>
      <c r="C119" s="34">
        <v>115</v>
      </c>
      <c r="D119" s="34">
        <v>6.1951219512195124</v>
      </c>
      <c r="E119" s="34">
        <v>6.2</v>
      </c>
      <c r="F119" s="34">
        <v>9.5555555555555554</v>
      </c>
      <c r="G119" s="34">
        <v>6.666666666666667</v>
      </c>
      <c r="H119" s="349">
        <v>3.5384615384615383</v>
      </c>
      <c r="K119" s="49"/>
      <c r="L119" s="435"/>
      <c r="U119" s="49"/>
      <c r="V119" s="435"/>
      <c r="AF119" s="435"/>
      <c r="AI119" s="49"/>
      <c r="AT119" s="435"/>
    </row>
    <row r="120" spans="2:46">
      <c r="B120" s="355" t="s">
        <v>172</v>
      </c>
      <c r="C120" s="34">
        <v>116</v>
      </c>
      <c r="D120" s="34">
        <v>1.3658536585365855</v>
      </c>
      <c r="E120" s="34">
        <v>5.6</v>
      </c>
      <c r="F120" s="34">
        <v>0</v>
      </c>
      <c r="G120" s="34">
        <v>0</v>
      </c>
      <c r="H120" s="349">
        <v>0</v>
      </c>
      <c r="K120" s="49"/>
      <c r="L120" s="435"/>
      <c r="U120" s="49"/>
      <c r="V120" s="435"/>
      <c r="AF120" s="435"/>
      <c r="AI120" s="49"/>
      <c r="AT120" s="435"/>
    </row>
    <row r="121" spans="2:46">
      <c r="B121" s="355" t="s">
        <v>328</v>
      </c>
      <c r="C121" s="34">
        <v>68</v>
      </c>
      <c r="D121" s="34">
        <v>5.3170731707317076</v>
      </c>
      <c r="E121" s="34">
        <v>6.7</v>
      </c>
      <c r="F121" s="34">
        <v>4.333333333333333</v>
      </c>
      <c r="G121" s="34">
        <v>6.666666666666667</v>
      </c>
      <c r="H121" s="349">
        <v>4</v>
      </c>
      <c r="K121" s="49"/>
      <c r="L121" s="435"/>
      <c r="U121" s="49"/>
      <c r="V121" s="435"/>
      <c r="AF121" s="435"/>
      <c r="AI121" s="49"/>
      <c r="AT121" s="435"/>
    </row>
    <row r="122" spans="2:46">
      <c r="B122" s="355" t="s">
        <v>351</v>
      </c>
      <c r="C122" s="34">
        <v>62</v>
      </c>
      <c r="D122" s="34">
        <v>7.1463414634146343</v>
      </c>
      <c r="E122" s="34">
        <v>7.1</v>
      </c>
      <c r="F122" s="34">
        <v>7.333333333333333</v>
      </c>
      <c r="G122" s="34">
        <v>8.8888888888888893</v>
      </c>
      <c r="H122" s="349">
        <v>5.8461538461538458</v>
      </c>
      <c r="K122" s="49"/>
      <c r="L122" s="435"/>
      <c r="U122" s="49"/>
      <c r="V122" s="435"/>
      <c r="AF122" s="435"/>
      <c r="AI122" s="49"/>
      <c r="AT122" s="435"/>
    </row>
    <row r="123" spans="2:46">
      <c r="B123" s="355" t="s">
        <v>403</v>
      </c>
      <c r="C123" s="34">
        <v>45</v>
      </c>
      <c r="D123" s="34">
        <v>6.5609756097560972</v>
      </c>
      <c r="E123" s="34">
        <v>6.8</v>
      </c>
      <c r="F123" s="34">
        <v>5.666666666666667</v>
      </c>
      <c r="G123" s="34">
        <v>6.2222222222222223</v>
      </c>
      <c r="H123" s="349">
        <v>7.2307692307692308</v>
      </c>
      <c r="K123" s="49"/>
      <c r="L123" s="435"/>
      <c r="U123" s="49"/>
      <c r="V123" s="435"/>
      <c r="AF123" s="435"/>
      <c r="AI123" s="49"/>
      <c r="AT123" s="435"/>
    </row>
    <row r="124" spans="2:46">
      <c r="B124" s="355" t="s">
        <v>85</v>
      </c>
      <c r="C124" s="34">
        <v>201</v>
      </c>
      <c r="D124" s="34">
        <v>4.5121951219512191</v>
      </c>
      <c r="E124" s="34">
        <v>5.8</v>
      </c>
      <c r="F124" s="34">
        <v>3.6666666666666665</v>
      </c>
      <c r="G124" s="34">
        <v>4.4444444444444446</v>
      </c>
      <c r="H124" s="349">
        <v>4.1538461538461542</v>
      </c>
      <c r="K124" s="49"/>
      <c r="L124" s="435"/>
      <c r="U124" s="49"/>
      <c r="V124" s="435"/>
      <c r="AF124" s="435"/>
      <c r="AI124" s="49"/>
      <c r="AT124" s="435"/>
    </row>
    <row r="125" spans="2:46">
      <c r="B125" s="355" t="s">
        <v>354</v>
      </c>
      <c r="C125" s="34">
        <v>46</v>
      </c>
      <c r="D125" s="34">
        <v>7.9024390243902438</v>
      </c>
      <c r="E125" s="34">
        <v>6.9</v>
      </c>
      <c r="F125" s="34">
        <v>7.333333333333333</v>
      </c>
      <c r="G125" s="34">
        <v>8.1111111111111107</v>
      </c>
      <c r="H125" s="349">
        <v>8.9230769230769234</v>
      </c>
      <c r="K125" s="49"/>
      <c r="L125" s="435"/>
      <c r="U125" s="49"/>
      <c r="V125" s="435"/>
      <c r="AF125" s="435"/>
      <c r="AI125" s="49"/>
      <c r="AT125" s="435"/>
    </row>
    <row r="126" spans="2:46">
      <c r="B126" s="355" t="s">
        <v>163</v>
      </c>
      <c r="C126" s="34">
        <v>118</v>
      </c>
      <c r="D126" s="34">
        <v>2.024390243902439</v>
      </c>
      <c r="E126" s="34">
        <v>0.8</v>
      </c>
      <c r="F126" s="34">
        <v>3</v>
      </c>
      <c r="G126" s="34">
        <v>4.4444444444444446</v>
      </c>
      <c r="H126" s="349">
        <v>0.61538461538461542</v>
      </c>
      <c r="K126" s="49"/>
      <c r="L126" s="435"/>
      <c r="U126" s="49"/>
      <c r="V126" s="435"/>
      <c r="AF126" s="435"/>
      <c r="AI126" s="49"/>
      <c r="AT126" s="435"/>
    </row>
    <row r="127" spans="2:46">
      <c r="B127" s="355" t="s">
        <v>450</v>
      </c>
      <c r="C127" s="34">
        <v>60</v>
      </c>
      <c r="D127" s="34">
        <v>5.2195121951219514</v>
      </c>
      <c r="E127" s="34">
        <v>8.8000000000000007</v>
      </c>
      <c r="F127" s="34">
        <v>6.8888888888888893</v>
      </c>
      <c r="G127" s="34">
        <v>5.5555555555555554</v>
      </c>
      <c r="H127" s="349">
        <v>1.0769230769230769</v>
      </c>
      <c r="K127" s="49"/>
      <c r="L127" s="435"/>
      <c r="U127" s="49"/>
      <c r="V127" s="435"/>
      <c r="AF127" s="435"/>
      <c r="AI127" s="49"/>
      <c r="AT127" s="435"/>
    </row>
    <row r="128" spans="2:46">
      <c r="B128" s="355" t="s">
        <v>341</v>
      </c>
      <c r="C128" s="34">
        <v>48</v>
      </c>
      <c r="D128" s="34">
        <v>7.9024390243902438</v>
      </c>
      <c r="E128" s="34">
        <v>9</v>
      </c>
      <c r="F128" s="34">
        <v>9.3333333333333339</v>
      </c>
      <c r="G128" s="34">
        <v>7.333333333333333</v>
      </c>
      <c r="H128" s="349">
        <v>6.4615384615384617</v>
      </c>
      <c r="K128" s="49"/>
      <c r="L128" s="435"/>
      <c r="U128" s="49"/>
      <c r="V128" s="435"/>
      <c r="AF128" s="435"/>
      <c r="AI128" s="49"/>
      <c r="AT128" s="435"/>
    </row>
    <row r="129" spans="2:46">
      <c r="B129" s="355" t="s">
        <v>373</v>
      </c>
      <c r="C129" s="34">
        <v>50</v>
      </c>
      <c r="D129" s="34">
        <v>8.6341463414634152</v>
      </c>
      <c r="E129" s="34">
        <v>7.7</v>
      </c>
      <c r="F129" s="34">
        <v>10</v>
      </c>
      <c r="G129" s="34">
        <v>9.2222222222222214</v>
      </c>
      <c r="H129" s="349">
        <v>8</v>
      </c>
      <c r="K129" s="49"/>
      <c r="L129" s="435"/>
      <c r="U129" s="49"/>
      <c r="V129" s="435"/>
      <c r="AF129" s="435"/>
      <c r="AI129" s="49"/>
      <c r="AT129" s="435"/>
    </row>
    <row r="130" spans="2:46">
      <c r="B130" s="355" t="s">
        <v>329</v>
      </c>
      <c r="C130" s="34">
        <v>36</v>
      </c>
      <c r="D130" s="34">
        <v>8.1707317073170724</v>
      </c>
      <c r="E130" s="34">
        <v>8.1</v>
      </c>
      <c r="F130" s="34">
        <v>8.4444444444444446</v>
      </c>
      <c r="G130" s="34">
        <v>7.5555555555555554</v>
      </c>
      <c r="H130" s="349">
        <v>8.4615384615384617</v>
      </c>
      <c r="K130" s="49"/>
      <c r="L130" s="435"/>
      <c r="U130" s="49"/>
      <c r="V130" s="435"/>
      <c r="AF130" s="435"/>
      <c r="AI130" s="49"/>
      <c r="AT130" s="435"/>
    </row>
    <row r="131" spans="2:46">
      <c r="B131" s="355" t="s">
        <v>265</v>
      </c>
      <c r="C131" s="34">
        <v>119</v>
      </c>
      <c r="D131" s="34">
        <v>4.7804878048780486</v>
      </c>
      <c r="E131" s="34">
        <v>4.4000000000000004</v>
      </c>
      <c r="F131" s="34">
        <v>8</v>
      </c>
      <c r="G131" s="34">
        <v>4.2222222222222223</v>
      </c>
      <c r="H131" s="349">
        <v>3.2307692307692308</v>
      </c>
      <c r="K131" s="49"/>
      <c r="L131" s="435"/>
      <c r="U131" s="49"/>
      <c r="V131" s="435"/>
      <c r="AF131" s="435"/>
      <c r="AI131" s="49"/>
      <c r="AT131" s="435"/>
    </row>
    <row r="132" spans="2:46">
      <c r="B132" s="355" t="s">
        <v>309</v>
      </c>
      <c r="C132" s="34">
        <v>77</v>
      </c>
      <c r="D132" s="34">
        <v>5.8536585365853657</v>
      </c>
      <c r="E132" s="34">
        <v>6.9</v>
      </c>
      <c r="F132" s="34">
        <v>6.7777777777777777</v>
      </c>
      <c r="G132" s="34">
        <v>0</v>
      </c>
      <c r="H132" s="349">
        <v>8.4615384615384617</v>
      </c>
      <c r="K132" s="49"/>
      <c r="L132" s="435"/>
      <c r="U132" s="49"/>
      <c r="V132" s="435"/>
      <c r="AF132" s="435"/>
      <c r="AI132" s="49"/>
      <c r="AT132" s="435"/>
    </row>
    <row r="133" spans="2:46">
      <c r="B133" s="355" t="s">
        <v>267</v>
      </c>
      <c r="C133" s="34">
        <v>120</v>
      </c>
      <c r="D133" s="34">
        <v>5.4390243902439028</v>
      </c>
      <c r="E133" s="34">
        <v>7.2</v>
      </c>
      <c r="F133" s="34">
        <v>5.2222222222222223</v>
      </c>
      <c r="G133" s="34">
        <v>5.5555555555555554</v>
      </c>
      <c r="H133" s="349">
        <v>4.1538461538461542</v>
      </c>
      <c r="K133" s="49"/>
      <c r="L133" s="435"/>
      <c r="U133" s="49"/>
      <c r="V133" s="435"/>
      <c r="AF133" s="435"/>
      <c r="AI133" s="49"/>
      <c r="AT133" s="435"/>
    </row>
    <row r="134" spans="2:46">
      <c r="B134" s="355" t="s">
        <v>166</v>
      </c>
      <c r="C134" s="34">
        <v>121</v>
      </c>
      <c r="D134" s="34">
        <v>8.0243902439024382</v>
      </c>
      <c r="E134" s="34">
        <v>8.4</v>
      </c>
      <c r="F134" s="34">
        <v>7.4444444444444446</v>
      </c>
      <c r="G134" s="34">
        <v>8.4444444444444446</v>
      </c>
      <c r="H134" s="349">
        <v>7.8461538461538458</v>
      </c>
      <c r="K134" s="49"/>
      <c r="L134" s="435"/>
      <c r="U134" s="49"/>
      <c r="V134" s="435"/>
      <c r="AF134" s="435"/>
      <c r="AI134" s="49"/>
      <c r="AT134" s="435"/>
    </row>
    <row r="135" spans="2:46">
      <c r="B135" s="355" t="s">
        <v>451</v>
      </c>
      <c r="C135" s="34">
        <v>34</v>
      </c>
      <c r="D135" s="34">
        <v>8.4878048780487809</v>
      </c>
      <c r="E135" s="34">
        <v>7</v>
      </c>
      <c r="F135" s="34">
        <v>9.3333333333333339</v>
      </c>
      <c r="G135" s="34">
        <v>8.6666666666666661</v>
      </c>
      <c r="H135" s="349">
        <v>8.9230769230769234</v>
      </c>
      <c r="K135" s="49"/>
      <c r="L135" s="435"/>
      <c r="U135" s="49"/>
      <c r="V135" s="435"/>
      <c r="AF135" s="435"/>
      <c r="AI135" s="49"/>
      <c r="AT135" s="435"/>
    </row>
    <row r="136" spans="2:46">
      <c r="B136" s="355" t="s">
        <v>433</v>
      </c>
      <c r="C136" s="34">
        <v>14</v>
      </c>
      <c r="D136" s="34">
        <v>7.5609756097560972</v>
      </c>
      <c r="E136" s="34">
        <v>5</v>
      </c>
      <c r="F136" s="34">
        <v>8.8888888888888893</v>
      </c>
      <c r="G136" s="34">
        <v>7.7777777777777777</v>
      </c>
      <c r="H136" s="349">
        <v>8.4615384615384617</v>
      </c>
      <c r="K136" s="49"/>
      <c r="L136" s="435"/>
      <c r="U136" s="49"/>
      <c r="V136" s="435"/>
      <c r="AF136" s="435"/>
      <c r="AI136" s="49"/>
      <c r="AT136" s="435"/>
    </row>
    <row r="137" spans="2:46">
      <c r="B137" s="356" t="s">
        <v>430</v>
      </c>
      <c r="C137" s="350">
        <v>64</v>
      </c>
      <c r="D137" s="350">
        <v>5.7804878048780486</v>
      </c>
      <c r="E137" s="350">
        <v>7.8</v>
      </c>
      <c r="F137" s="350">
        <v>4.5555555555555554</v>
      </c>
      <c r="G137" s="350">
        <v>4.4444444444444446</v>
      </c>
      <c r="H137" s="351">
        <v>6</v>
      </c>
      <c r="K137" s="49"/>
      <c r="L137" s="435"/>
      <c r="U137" s="49"/>
      <c r="V137" s="435"/>
      <c r="AF137" s="435"/>
      <c r="AI137" s="49"/>
      <c r="AT137" s="435"/>
    </row>
    <row r="138" spans="2:46">
      <c r="B138" s="435" t="s">
        <v>275</v>
      </c>
      <c r="D138" s="435">
        <v>9729.0548780487843</v>
      </c>
      <c r="E138" s="435">
        <v>7856.7222222222226</v>
      </c>
      <c r="F138" s="435">
        <v>6.5982142857142847</v>
      </c>
      <c r="J138" s="435">
        <v>7098.4102564102504</v>
      </c>
      <c r="K138" s="435">
        <v>5.2692307692307683</v>
      </c>
      <c r="L138" s="435"/>
      <c r="O138" s="49"/>
      <c r="V138" s="435"/>
      <c r="Y138" s="49"/>
      <c r="AF138" s="435"/>
      <c r="AM138" s="49"/>
      <c r="AT138" s="435"/>
    </row>
    <row r="139" spans="2:46">
      <c r="E139" s="435">
        <v>0</v>
      </c>
      <c r="G139" s="435" t="s">
        <v>38</v>
      </c>
      <c r="H139" s="435">
        <v>0</v>
      </c>
      <c r="I139" s="435">
        <v>0</v>
      </c>
      <c r="K139" s="435" t="s">
        <v>38</v>
      </c>
      <c r="L139" s="435">
        <v>0</v>
      </c>
      <c r="Q139" s="49"/>
      <c r="V139" s="435"/>
      <c r="AA139" s="49"/>
      <c r="AF139" s="435"/>
      <c r="AO139" s="49"/>
      <c r="AT139" s="435"/>
    </row>
    <row r="140" spans="2:46">
      <c r="E140" s="435">
        <v>10</v>
      </c>
      <c r="G140" s="435" t="s">
        <v>39</v>
      </c>
      <c r="H140" s="435">
        <v>10</v>
      </c>
      <c r="I140" s="435">
        <v>9.5555555555555554</v>
      </c>
      <c r="K140" s="435" t="s">
        <v>39</v>
      </c>
      <c r="L140" s="435">
        <v>9.6923076923076916</v>
      </c>
      <c r="Q140" s="49"/>
      <c r="V140" s="435"/>
      <c r="AA140" s="49"/>
      <c r="AF140" s="435"/>
      <c r="AO140" s="49"/>
      <c r="AT140" s="435"/>
    </row>
    <row r="141" spans="2:46">
      <c r="L141" s="435"/>
      <c r="Q141" s="49"/>
      <c r="V141" s="435"/>
      <c r="AA141" s="49"/>
      <c r="AF141" s="435"/>
      <c r="AO141" s="49"/>
      <c r="AT141" s="435"/>
    </row>
    <row r="142" spans="2:46">
      <c r="I142" s="49"/>
      <c r="L142" s="435"/>
      <c r="S142" s="49"/>
      <c r="V142" s="435"/>
      <c r="AC142" s="49"/>
      <c r="AF142" s="435"/>
      <c r="AQ142" s="49"/>
      <c r="AT142" s="435"/>
    </row>
    <row r="143" spans="2:46">
      <c r="I143" s="49"/>
      <c r="L143" s="435"/>
      <c r="S143" s="49"/>
      <c r="V143" s="435"/>
      <c r="AC143" s="49"/>
      <c r="AF143" s="435"/>
      <c r="AQ143" s="49"/>
      <c r="AT143" s="435"/>
    </row>
  </sheetData>
  <mergeCells count="4">
    <mergeCell ref="C2:L2"/>
    <mergeCell ref="N2:V2"/>
    <mergeCell ref="X2:AF2"/>
    <mergeCell ref="AH2:AT2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 enableFormatConditionsCalculation="0"/>
  <dimension ref="A1:AW133"/>
  <sheetViews>
    <sheetView workbookViewId="0">
      <selection activeCell="C52" sqref="C52"/>
    </sheetView>
  </sheetViews>
  <sheetFormatPr baseColWidth="10" defaultRowHeight="12" x14ac:dyDescent="0"/>
  <cols>
    <col min="1" max="1" width="6" customWidth="1"/>
    <col min="2" max="2" width="47.5" customWidth="1"/>
    <col min="3" max="12" width="5.6640625" customWidth="1"/>
    <col min="13" max="13" width="8.6640625" customWidth="1"/>
    <col min="14" max="22" width="5.6640625" customWidth="1"/>
    <col min="23" max="23" width="8.6640625" customWidth="1"/>
    <col min="24" max="32" width="5.6640625" customWidth="1"/>
    <col min="33" max="33" width="8.6640625" customWidth="1"/>
    <col min="34" max="46" width="5.6640625" customWidth="1"/>
    <col min="47" max="47" width="8.6640625" customWidth="1"/>
  </cols>
  <sheetData>
    <row r="1" spans="1:49">
      <c r="A1" s="233"/>
      <c r="B1" s="34"/>
      <c r="C1" s="435"/>
      <c r="D1" s="435"/>
      <c r="E1" s="435"/>
      <c r="F1" s="435"/>
      <c r="G1" s="435"/>
      <c r="H1" s="435"/>
      <c r="I1" s="435"/>
      <c r="J1" s="435"/>
      <c r="K1" s="435"/>
      <c r="L1" s="435"/>
      <c r="M1" s="49"/>
      <c r="N1" s="435"/>
      <c r="O1" s="435"/>
      <c r="P1" s="435"/>
      <c r="Q1" s="435"/>
      <c r="R1" s="435"/>
      <c r="S1" s="435"/>
      <c r="T1" s="435"/>
      <c r="U1" s="435"/>
      <c r="V1" s="435"/>
      <c r="W1" s="49"/>
      <c r="X1" s="435"/>
      <c r="Y1" s="435"/>
      <c r="Z1" s="435"/>
      <c r="AA1" s="435"/>
      <c r="AB1" s="435"/>
      <c r="AC1" s="435"/>
      <c r="AD1" s="435"/>
      <c r="AE1" s="435"/>
      <c r="AF1" s="435"/>
      <c r="AG1" s="49"/>
      <c r="AH1" s="435"/>
      <c r="AI1" s="435"/>
      <c r="AJ1" s="435"/>
      <c r="AK1" s="435"/>
      <c r="AL1" s="435"/>
      <c r="AM1" s="435"/>
      <c r="AN1" s="435"/>
      <c r="AO1" s="435"/>
      <c r="AP1" s="435"/>
      <c r="AQ1" s="435"/>
      <c r="AR1" s="435"/>
      <c r="AS1" s="435"/>
      <c r="AT1" s="435"/>
      <c r="AU1" s="49"/>
      <c r="AV1" s="435"/>
      <c r="AW1" s="435"/>
    </row>
    <row r="2" spans="1:49" ht="21">
      <c r="A2" s="233"/>
      <c r="B2" s="523">
        <v>2009</v>
      </c>
      <c r="C2" s="603" t="s">
        <v>432</v>
      </c>
      <c r="D2" s="600"/>
      <c r="E2" s="600"/>
      <c r="F2" s="600"/>
      <c r="G2" s="600"/>
      <c r="H2" s="600"/>
      <c r="I2" s="600"/>
      <c r="J2" s="600"/>
      <c r="K2" s="600"/>
      <c r="L2" s="600"/>
      <c r="M2" s="604"/>
      <c r="N2" s="603" t="s">
        <v>470</v>
      </c>
      <c r="O2" s="600"/>
      <c r="P2" s="600"/>
      <c r="Q2" s="600"/>
      <c r="R2" s="600"/>
      <c r="S2" s="600"/>
      <c r="T2" s="600"/>
      <c r="U2" s="600"/>
      <c r="V2" s="600"/>
      <c r="W2" s="604"/>
      <c r="X2" s="603" t="s">
        <v>471</v>
      </c>
      <c r="Y2" s="600"/>
      <c r="Z2" s="600"/>
      <c r="AA2" s="600"/>
      <c r="AB2" s="600"/>
      <c r="AC2" s="600"/>
      <c r="AD2" s="600"/>
      <c r="AE2" s="600"/>
      <c r="AF2" s="600"/>
      <c r="AG2" s="604"/>
      <c r="AH2" s="603" t="s">
        <v>472</v>
      </c>
      <c r="AI2" s="600"/>
      <c r="AJ2" s="600"/>
      <c r="AK2" s="600"/>
      <c r="AL2" s="600"/>
      <c r="AM2" s="600"/>
      <c r="AN2" s="600"/>
      <c r="AO2" s="600"/>
      <c r="AP2" s="600"/>
      <c r="AQ2" s="600"/>
      <c r="AR2" s="600"/>
      <c r="AS2" s="600"/>
      <c r="AT2" s="600"/>
      <c r="AU2" s="604"/>
      <c r="AV2" s="435"/>
      <c r="AW2" s="435"/>
    </row>
    <row r="3" spans="1:49">
      <c r="A3" s="235"/>
      <c r="B3" s="236">
        <v>1</v>
      </c>
      <c r="C3" s="252">
        <v>5</v>
      </c>
      <c r="D3" s="252">
        <v>7</v>
      </c>
      <c r="E3" s="252">
        <v>9</v>
      </c>
      <c r="F3" s="253">
        <v>11</v>
      </c>
      <c r="G3" s="253">
        <v>19</v>
      </c>
      <c r="H3" s="252">
        <v>27</v>
      </c>
      <c r="I3" s="252">
        <v>29</v>
      </c>
      <c r="J3" s="252">
        <v>31</v>
      </c>
      <c r="K3" s="253">
        <v>33</v>
      </c>
      <c r="L3" s="252">
        <v>37</v>
      </c>
      <c r="M3" s="254">
        <v>10</v>
      </c>
      <c r="N3" s="246">
        <v>40</v>
      </c>
      <c r="O3" s="241">
        <v>42</v>
      </c>
      <c r="P3" s="241">
        <v>44</v>
      </c>
      <c r="Q3" s="242">
        <v>46</v>
      </c>
      <c r="R3" s="242">
        <v>52</v>
      </c>
      <c r="S3" s="242">
        <v>56</v>
      </c>
      <c r="T3" s="242">
        <v>60</v>
      </c>
      <c r="U3" s="241">
        <v>64</v>
      </c>
      <c r="V3" s="241">
        <v>66</v>
      </c>
      <c r="W3" s="242">
        <v>9</v>
      </c>
      <c r="X3" s="246">
        <v>69</v>
      </c>
      <c r="Y3" s="241">
        <v>71</v>
      </c>
      <c r="Z3" s="241">
        <v>73</v>
      </c>
      <c r="AA3" s="241">
        <v>75</v>
      </c>
      <c r="AB3" s="241">
        <v>77</v>
      </c>
      <c r="AC3" s="241">
        <v>79</v>
      </c>
      <c r="AD3" s="241">
        <v>81</v>
      </c>
      <c r="AE3" s="241">
        <v>83</v>
      </c>
      <c r="AF3" s="242">
        <v>85</v>
      </c>
      <c r="AG3" s="249">
        <v>9</v>
      </c>
      <c r="AH3" s="246">
        <v>98</v>
      </c>
      <c r="AI3" s="241">
        <v>100</v>
      </c>
      <c r="AJ3" s="241">
        <v>102</v>
      </c>
      <c r="AK3" s="241">
        <v>104</v>
      </c>
      <c r="AL3" s="241">
        <v>106</v>
      </c>
      <c r="AM3" s="241">
        <v>108</v>
      </c>
      <c r="AN3" s="241">
        <v>110</v>
      </c>
      <c r="AO3" s="242">
        <v>112</v>
      </c>
      <c r="AP3" s="242">
        <v>116</v>
      </c>
      <c r="AQ3" s="242">
        <v>122</v>
      </c>
      <c r="AR3" s="241">
        <v>126</v>
      </c>
      <c r="AS3" s="241">
        <v>128</v>
      </c>
      <c r="AT3" s="242">
        <v>130</v>
      </c>
      <c r="AU3" s="243">
        <v>13</v>
      </c>
      <c r="AV3" s="237"/>
      <c r="AW3" s="238"/>
    </row>
    <row r="4" spans="1:49" ht="20">
      <c r="A4" s="234">
        <v>15</v>
      </c>
      <c r="B4" s="258" t="s">
        <v>217</v>
      </c>
      <c r="C4" s="428" t="s">
        <v>23</v>
      </c>
      <c r="D4" s="428" t="s">
        <v>24</v>
      </c>
      <c r="E4" s="428" t="s">
        <v>25</v>
      </c>
      <c r="F4" s="428" t="s">
        <v>26</v>
      </c>
      <c r="G4" s="428" t="s">
        <v>27</v>
      </c>
      <c r="H4" s="428" t="s">
        <v>28</v>
      </c>
      <c r="I4" s="428" t="s">
        <v>29</v>
      </c>
      <c r="J4" s="428" t="s">
        <v>30</v>
      </c>
      <c r="K4" s="428" t="s">
        <v>32</v>
      </c>
      <c r="L4" s="428" t="s">
        <v>101</v>
      </c>
      <c r="M4" s="429" t="s">
        <v>392</v>
      </c>
      <c r="N4" s="430" t="s">
        <v>102</v>
      </c>
      <c r="O4" s="428" t="s">
        <v>103</v>
      </c>
      <c r="P4" s="428" t="s">
        <v>104</v>
      </c>
      <c r="Q4" s="428" t="s">
        <v>105</v>
      </c>
      <c r="R4" s="428" t="s">
        <v>106</v>
      </c>
      <c r="S4" s="428" t="s">
        <v>107</v>
      </c>
      <c r="T4" s="428" t="s">
        <v>108</v>
      </c>
      <c r="U4" s="428" t="s">
        <v>109</v>
      </c>
      <c r="V4" s="428" t="s">
        <v>110</v>
      </c>
      <c r="W4" s="431" t="s">
        <v>392</v>
      </c>
      <c r="X4" s="430" t="s">
        <v>111</v>
      </c>
      <c r="Y4" s="428" t="s">
        <v>112</v>
      </c>
      <c r="Z4" s="428" t="s">
        <v>113</v>
      </c>
      <c r="AA4" s="428" t="s">
        <v>114</v>
      </c>
      <c r="AB4" s="428" t="s">
        <v>115</v>
      </c>
      <c r="AC4" s="428" t="s">
        <v>54</v>
      </c>
      <c r="AD4" s="428" t="s">
        <v>55</v>
      </c>
      <c r="AE4" s="428" t="s">
        <v>56</v>
      </c>
      <c r="AF4" s="428" t="s">
        <v>57</v>
      </c>
      <c r="AG4" s="432" t="s">
        <v>392</v>
      </c>
      <c r="AH4" s="430" t="s">
        <v>58</v>
      </c>
      <c r="AI4" s="428" t="s">
        <v>59</v>
      </c>
      <c r="AJ4" s="428" t="s">
        <v>60</v>
      </c>
      <c r="AK4" s="428" t="s">
        <v>61</v>
      </c>
      <c r="AL4" s="428" t="s">
        <v>62</v>
      </c>
      <c r="AM4" s="428" t="s">
        <v>63</v>
      </c>
      <c r="AN4" s="428" t="s">
        <v>64</v>
      </c>
      <c r="AO4" s="428" t="s">
        <v>65</v>
      </c>
      <c r="AP4" s="428" t="s">
        <v>66</v>
      </c>
      <c r="AQ4" s="428" t="s">
        <v>67</v>
      </c>
      <c r="AR4" s="428" t="s">
        <v>68</v>
      </c>
      <c r="AS4" s="428" t="s">
        <v>69</v>
      </c>
      <c r="AT4" s="428" t="s">
        <v>70</v>
      </c>
      <c r="AU4" s="433" t="s">
        <v>392</v>
      </c>
      <c r="AV4" s="61" t="s">
        <v>435</v>
      </c>
      <c r="AW4" s="60"/>
    </row>
    <row r="5" spans="1:49">
      <c r="A5" s="234">
        <v>21</v>
      </c>
      <c r="B5" s="256" t="s">
        <v>457</v>
      </c>
      <c r="C5" s="15">
        <v>8</v>
      </c>
      <c r="D5" s="17">
        <v>10</v>
      </c>
      <c r="E5" s="17">
        <v>10</v>
      </c>
      <c r="F5" s="255">
        <v>8</v>
      </c>
      <c r="G5" s="17">
        <v>10</v>
      </c>
      <c r="H5" s="17">
        <v>0</v>
      </c>
      <c r="I5" s="17">
        <v>10</v>
      </c>
      <c r="J5" s="17">
        <v>0</v>
      </c>
      <c r="K5" s="255">
        <v>0</v>
      </c>
      <c r="L5" s="126">
        <v>10</v>
      </c>
      <c r="M5" s="293">
        <v>66</v>
      </c>
      <c r="N5" s="15">
        <v>10</v>
      </c>
      <c r="O5" s="17">
        <v>10</v>
      </c>
      <c r="P5" s="17">
        <v>0</v>
      </c>
      <c r="Q5" s="17">
        <v>5</v>
      </c>
      <c r="R5" s="17">
        <v>10</v>
      </c>
      <c r="S5" s="17">
        <v>0</v>
      </c>
      <c r="T5" s="17">
        <v>6</v>
      </c>
      <c r="U5" s="17">
        <v>0</v>
      </c>
      <c r="V5" s="126">
        <v>10</v>
      </c>
      <c r="W5" s="294">
        <v>51</v>
      </c>
      <c r="X5" s="15">
        <v>0</v>
      </c>
      <c r="Y5" s="17">
        <v>10</v>
      </c>
      <c r="Z5" s="17">
        <v>0</v>
      </c>
      <c r="AA5" s="17">
        <v>10</v>
      </c>
      <c r="AB5" s="17">
        <v>10</v>
      </c>
      <c r="AC5" s="17">
        <v>10</v>
      </c>
      <c r="AD5" s="17">
        <v>10</v>
      </c>
      <c r="AE5" s="17">
        <v>10</v>
      </c>
      <c r="AF5" s="126">
        <v>10</v>
      </c>
      <c r="AG5" s="295">
        <v>70</v>
      </c>
      <c r="AH5" s="15">
        <v>0</v>
      </c>
      <c r="AI5" s="17">
        <v>0</v>
      </c>
      <c r="AJ5" s="17">
        <v>0</v>
      </c>
      <c r="AK5" s="17">
        <v>0</v>
      </c>
      <c r="AL5" s="17">
        <v>0</v>
      </c>
      <c r="AM5" s="17">
        <v>0</v>
      </c>
      <c r="AN5" s="17">
        <v>10</v>
      </c>
      <c r="AO5" s="17">
        <v>6</v>
      </c>
      <c r="AP5" s="17">
        <v>6</v>
      </c>
      <c r="AQ5" s="17">
        <v>8</v>
      </c>
      <c r="AR5" s="17">
        <v>10</v>
      </c>
      <c r="AS5" s="17">
        <v>0</v>
      </c>
      <c r="AT5" s="126">
        <v>2</v>
      </c>
      <c r="AU5" s="296">
        <v>42</v>
      </c>
      <c r="AV5" s="4">
        <v>229</v>
      </c>
      <c r="AW5" s="435"/>
    </row>
    <row r="6" spans="1:49">
      <c r="A6" s="234">
        <v>22</v>
      </c>
      <c r="B6" s="257" t="s">
        <v>0</v>
      </c>
      <c r="C6" s="11">
        <v>6</v>
      </c>
      <c r="D6" s="18">
        <v>10</v>
      </c>
      <c r="E6" s="18">
        <v>10</v>
      </c>
      <c r="F6" s="239">
        <v>8</v>
      </c>
      <c r="G6" s="18">
        <v>10</v>
      </c>
      <c r="H6" s="18">
        <v>6</v>
      </c>
      <c r="I6" s="18">
        <v>10</v>
      </c>
      <c r="J6" s="18">
        <v>10</v>
      </c>
      <c r="K6" s="239">
        <v>10</v>
      </c>
      <c r="L6" s="19">
        <v>10</v>
      </c>
      <c r="M6" s="251">
        <v>90</v>
      </c>
      <c r="N6" s="11">
        <v>10</v>
      </c>
      <c r="O6" s="18">
        <v>10</v>
      </c>
      <c r="P6" s="18">
        <v>10</v>
      </c>
      <c r="Q6" s="18">
        <v>5</v>
      </c>
      <c r="R6" s="18">
        <v>0</v>
      </c>
      <c r="S6" s="18">
        <v>10</v>
      </c>
      <c r="T6" s="18">
        <v>10</v>
      </c>
      <c r="U6" s="18">
        <v>0</v>
      </c>
      <c r="V6" s="19">
        <v>10</v>
      </c>
      <c r="W6" s="250">
        <v>65</v>
      </c>
      <c r="X6" s="11">
        <v>0</v>
      </c>
      <c r="Y6" s="18">
        <v>6</v>
      </c>
      <c r="Z6" s="18">
        <v>0</v>
      </c>
      <c r="AA6" s="18">
        <v>0</v>
      </c>
      <c r="AB6" s="18">
        <v>0</v>
      </c>
      <c r="AC6" s="18">
        <v>0</v>
      </c>
      <c r="AD6" s="18">
        <v>0</v>
      </c>
      <c r="AE6" s="18">
        <v>10</v>
      </c>
      <c r="AF6" s="19">
        <v>3</v>
      </c>
      <c r="AG6" s="248">
        <v>19</v>
      </c>
      <c r="AH6" s="11">
        <v>0</v>
      </c>
      <c r="AI6" s="18">
        <v>0</v>
      </c>
      <c r="AJ6" s="18">
        <v>6</v>
      </c>
      <c r="AK6" s="18">
        <v>0</v>
      </c>
      <c r="AL6" s="18">
        <v>0</v>
      </c>
      <c r="AM6" s="18">
        <v>10</v>
      </c>
      <c r="AN6" s="18">
        <v>10</v>
      </c>
      <c r="AO6" s="18">
        <v>4</v>
      </c>
      <c r="AP6" s="18">
        <v>10</v>
      </c>
      <c r="AQ6" s="18">
        <v>8</v>
      </c>
      <c r="AR6" s="18">
        <v>8</v>
      </c>
      <c r="AS6" s="18">
        <v>10</v>
      </c>
      <c r="AT6" s="19">
        <v>2</v>
      </c>
      <c r="AU6" s="240">
        <v>68</v>
      </c>
      <c r="AV6" s="4">
        <v>242</v>
      </c>
      <c r="AW6" s="435"/>
    </row>
    <row r="7" spans="1:49">
      <c r="A7" s="234">
        <v>23</v>
      </c>
      <c r="B7" s="257" t="s">
        <v>350</v>
      </c>
      <c r="C7" s="11">
        <v>6</v>
      </c>
      <c r="D7" s="18">
        <v>10</v>
      </c>
      <c r="E7" s="18">
        <v>10</v>
      </c>
      <c r="F7" s="239">
        <v>5</v>
      </c>
      <c r="G7" s="18">
        <v>10</v>
      </c>
      <c r="H7" s="18">
        <v>10</v>
      </c>
      <c r="I7" s="18">
        <v>10</v>
      </c>
      <c r="J7" s="18">
        <v>6</v>
      </c>
      <c r="K7" s="239">
        <v>10</v>
      </c>
      <c r="L7" s="19">
        <v>10</v>
      </c>
      <c r="M7" s="251">
        <v>87</v>
      </c>
      <c r="N7" s="11">
        <v>10</v>
      </c>
      <c r="O7" s="18">
        <v>10</v>
      </c>
      <c r="P7" s="18">
        <v>10</v>
      </c>
      <c r="Q7" s="18">
        <v>5</v>
      </c>
      <c r="R7" s="18">
        <v>10</v>
      </c>
      <c r="S7" s="18">
        <v>10</v>
      </c>
      <c r="T7" s="18">
        <v>10</v>
      </c>
      <c r="U7" s="18">
        <v>10</v>
      </c>
      <c r="V7" s="19">
        <v>10</v>
      </c>
      <c r="W7" s="250">
        <v>85</v>
      </c>
      <c r="X7" s="11">
        <v>0</v>
      </c>
      <c r="Y7" s="18">
        <v>6</v>
      </c>
      <c r="Z7" s="18">
        <v>0</v>
      </c>
      <c r="AA7" s="18">
        <v>10</v>
      </c>
      <c r="AB7" s="18">
        <v>10</v>
      </c>
      <c r="AC7" s="18">
        <v>10</v>
      </c>
      <c r="AD7" s="18">
        <v>10</v>
      </c>
      <c r="AE7" s="18">
        <v>10</v>
      </c>
      <c r="AF7" s="19">
        <v>10</v>
      </c>
      <c r="AG7" s="248">
        <v>66</v>
      </c>
      <c r="AH7" s="11">
        <v>0</v>
      </c>
      <c r="AI7" s="18">
        <v>0</v>
      </c>
      <c r="AJ7" s="18">
        <v>0</v>
      </c>
      <c r="AK7" s="18">
        <v>10</v>
      </c>
      <c r="AL7" s="18">
        <v>10</v>
      </c>
      <c r="AM7" s="18">
        <v>0</v>
      </c>
      <c r="AN7" s="18">
        <v>0</v>
      </c>
      <c r="AO7" s="18">
        <v>6</v>
      </c>
      <c r="AP7" s="18">
        <v>10</v>
      </c>
      <c r="AQ7" s="18">
        <v>0</v>
      </c>
      <c r="AR7" s="18">
        <v>8</v>
      </c>
      <c r="AS7" s="18">
        <v>0</v>
      </c>
      <c r="AT7" s="19">
        <v>2</v>
      </c>
      <c r="AU7" s="240">
        <v>46</v>
      </c>
      <c r="AV7" s="4">
        <v>284</v>
      </c>
      <c r="AW7" s="435"/>
    </row>
    <row r="8" spans="1:49">
      <c r="A8" s="234">
        <v>24</v>
      </c>
      <c r="B8" s="257" t="s">
        <v>477</v>
      </c>
      <c r="C8" s="11">
        <v>6</v>
      </c>
      <c r="D8" s="18">
        <v>10</v>
      </c>
      <c r="E8" s="18">
        <v>10</v>
      </c>
      <c r="F8" s="239">
        <v>3</v>
      </c>
      <c r="G8" s="18">
        <v>10</v>
      </c>
      <c r="H8" s="18">
        <v>10</v>
      </c>
      <c r="I8" s="18">
        <v>0</v>
      </c>
      <c r="J8" s="18">
        <v>10</v>
      </c>
      <c r="K8" s="239">
        <v>10</v>
      </c>
      <c r="L8" s="19">
        <v>10</v>
      </c>
      <c r="M8" s="251">
        <v>79</v>
      </c>
      <c r="N8" s="11">
        <v>10</v>
      </c>
      <c r="O8" s="18">
        <v>10</v>
      </c>
      <c r="P8" s="18">
        <v>10</v>
      </c>
      <c r="Q8" s="18">
        <v>10</v>
      </c>
      <c r="R8" s="18">
        <v>6</v>
      </c>
      <c r="S8" s="18">
        <v>10</v>
      </c>
      <c r="T8" s="18">
        <v>10</v>
      </c>
      <c r="U8" s="18">
        <v>10</v>
      </c>
      <c r="V8" s="19">
        <v>6</v>
      </c>
      <c r="W8" s="250">
        <v>82</v>
      </c>
      <c r="X8" s="11">
        <v>0</v>
      </c>
      <c r="Y8" s="18">
        <v>0</v>
      </c>
      <c r="Z8" s="18">
        <v>0</v>
      </c>
      <c r="AA8" s="18">
        <v>10</v>
      </c>
      <c r="AB8" s="18">
        <v>10</v>
      </c>
      <c r="AC8" s="18">
        <v>10</v>
      </c>
      <c r="AD8" s="18">
        <v>10</v>
      </c>
      <c r="AE8" s="18">
        <v>10</v>
      </c>
      <c r="AF8" s="19">
        <v>10</v>
      </c>
      <c r="AG8" s="248">
        <v>60</v>
      </c>
      <c r="AH8" s="11">
        <v>10</v>
      </c>
      <c r="AI8" s="18">
        <v>10</v>
      </c>
      <c r="AJ8" s="18">
        <v>6</v>
      </c>
      <c r="AK8" s="18">
        <v>10</v>
      </c>
      <c r="AL8" s="18">
        <v>10</v>
      </c>
      <c r="AM8" s="18">
        <v>10</v>
      </c>
      <c r="AN8" s="18">
        <v>10</v>
      </c>
      <c r="AO8" s="18">
        <v>6</v>
      </c>
      <c r="AP8" s="18">
        <v>6</v>
      </c>
      <c r="AQ8" s="18">
        <v>0</v>
      </c>
      <c r="AR8" s="18">
        <v>6</v>
      </c>
      <c r="AS8" s="18">
        <v>10</v>
      </c>
      <c r="AT8" s="19">
        <v>2</v>
      </c>
      <c r="AU8" s="240">
        <v>96</v>
      </c>
      <c r="AV8" s="4">
        <v>317</v>
      </c>
      <c r="AW8" s="435"/>
    </row>
    <row r="9" spans="1:49">
      <c r="A9" s="234">
        <v>25</v>
      </c>
      <c r="B9" s="257" t="s">
        <v>356</v>
      </c>
      <c r="C9" s="11">
        <v>8</v>
      </c>
      <c r="D9" s="18">
        <v>10</v>
      </c>
      <c r="E9" s="18">
        <v>10</v>
      </c>
      <c r="F9" s="239">
        <v>3</v>
      </c>
      <c r="G9" s="18">
        <v>4</v>
      </c>
      <c r="H9" s="18">
        <v>10</v>
      </c>
      <c r="I9" s="18">
        <v>10</v>
      </c>
      <c r="J9" s="18">
        <v>10</v>
      </c>
      <c r="K9" s="239">
        <v>10</v>
      </c>
      <c r="L9" s="19">
        <v>10</v>
      </c>
      <c r="M9" s="251">
        <v>85</v>
      </c>
      <c r="N9" s="11">
        <v>10</v>
      </c>
      <c r="O9" s="18">
        <v>10</v>
      </c>
      <c r="P9" s="18">
        <v>0</v>
      </c>
      <c r="Q9" s="18">
        <v>10</v>
      </c>
      <c r="R9" s="18">
        <v>10</v>
      </c>
      <c r="S9" s="18">
        <v>10</v>
      </c>
      <c r="T9" s="18">
        <v>10</v>
      </c>
      <c r="U9" s="18">
        <v>10</v>
      </c>
      <c r="V9" s="19">
        <v>10</v>
      </c>
      <c r="W9" s="250">
        <v>80</v>
      </c>
      <c r="X9" s="11">
        <v>0</v>
      </c>
      <c r="Y9" s="18">
        <v>6</v>
      </c>
      <c r="Z9" s="18">
        <v>0</v>
      </c>
      <c r="AA9" s="18">
        <v>10</v>
      </c>
      <c r="AB9" s="18">
        <v>0</v>
      </c>
      <c r="AC9" s="18">
        <v>0</v>
      </c>
      <c r="AD9" s="18">
        <v>0</v>
      </c>
      <c r="AE9" s="18">
        <v>10</v>
      </c>
      <c r="AF9" s="19">
        <v>2</v>
      </c>
      <c r="AG9" s="248">
        <v>28</v>
      </c>
      <c r="AH9" s="11">
        <v>10</v>
      </c>
      <c r="AI9" s="18">
        <v>10</v>
      </c>
      <c r="AJ9" s="18">
        <v>6</v>
      </c>
      <c r="AK9" s="18">
        <v>10</v>
      </c>
      <c r="AL9" s="18">
        <v>10</v>
      </c>
      <c r="AM9" s="18">
        <v>0</v>
      </c>
      <c r="AN9" s="18">
        <v>10</v>
      </c>
      <c r="AO9" s="18">
        <v>0</v>
      </c>
      <c r="AP9" s="18">
        <v>0</v>
      </c>
      <c r="AQ9" s="18">
        <v>8</v>
      </c>
      <c r="AR9" s="18">
        <v>6</v>
      </c>
      <c r="AS9" s="18">
        <v>10</v>
      </c>
      <c r="AT9" s="19">
        <v>2</v>
      </c>
      <c r="AU9" s="240">
        <v>82</v>
      </c>
      <c r="AV9" s="4">
        <v>275</v>
      </c>
      <c r="AW9" s="435"/>
    </row>
    <row r="10" spans="1:49">
      <c r="A10" s="234">
        <v>26</v>
      </c>
      <c r="B10" s="257" t="s">
        <v>478</v>
      </c>
      <c r="C10" s="11">
        <v>10</v>
      </c>
      <c r="D10" s="18">
        <v>10</v>
      </c>
      <c r="E10" s="18">
        <v>10</v>
      </c>
      <c r="F10" s="239">
        <v>10</v>
      </c>
      <c r="G10" s="18">
        <v>10</v>
      </c>
      <c r="H10" s="18">
        <v>10</v>
      </c>
      <c r="I10" s="18">
        <v>10</v>
      </c>
      <c r="J10" s="18">
        <v>10</v>
      </c>
      <c r="K10" s="239">
        <v>10</v>
      </c>
      <c r="L10" s="19">
        <v>10</v>
      </c>
      <c r="M10" s="251">
        <v>100</v>
      </c>
      <c r="N10" s="11">
        <v>10</v>
      </c>
      <c r="O10" s="18">
        <v>10</v>
      </c>
      <c r="P10" s="18">
        <v>10</v>
      </c>
      <c r="Q10" s="18">
        <v>10</v>
      </c>
      <c r="R10" s="18">
        <v>0</v>
      </c>
      <c r="S10" s="18">
        <v>6</v>
      </c>
      <c r="T10" s="18">
        <v>10</v>
      </c>
      <c r="U10" s="18">
        <v>10</v>
      </c>
      <c r="V10" s="19">
        <v>10</v>
      </c>
      <c r="W10" s="250">
        <v>76</v>
      </c>
      <c r="X10" s="11">
        <v>0</v>
      </c>
      <c r="Y10" s="18">
        <v>0</v>
      </c>
      <c r="Z10" s="18">
        <v>0</v>
      </c>
      <c r="AA10" s="18">
        <v>10</v>
      </c>
      <c r="AB10" s="18">
        <v>10</v>
      </c>
      <c r="AC10" s="18">
        <v>10</v>
      </c>
      <c r="AD10" s="18">
        <v>10</v>
      </c>
      <c r="AE10" s="18">
        <v>10</v>
      </c>
      <c r="AF10" s="19">
        <v>10</v>
      </c>
      <c r="AG10" s="248">
        <v>60</v>
      </c>
      <c r="AH10" s="11">
        <v>0</v>
      </c>
      <c r="AI10" s="18">
        <v>0</v>
      </c>
      <c r="AJ10" s="18">
        <v>0</v>
      </c>
      <c r="AK10" s="18">
        <v>10</v>
      </c>
      <c r="AL10" s="18">
        <v>10</v>
      </c>
      <c r="AM10" s="18">
        <v>0</v>
      </c>
      <c r="AN10" s="18">
        <v>10</v>
      </c>
      <c r="AO10" s="18">
        <v>10</v>
      </c>
      <c r="AP10" s="18">
        <v>10</v>
      </c>
      <c r="AQ10" s="18">
        <v>0</v>
      </c>
      <c r="AR10" s="18">
        <v>0</v>
      </c>
      <c r="AS10" s="18">
        <v>10</v>
      </c>
      <c r="AT10" s="19">
        <v>2</v>
      </c>
      <c r="AU10" s="240">
        <v>62</v>
      </c>
      <c r="AV10" s="4">
        <v>298</v>
      </c>
      <c r="AW10" s="435"/>
    </row>
    <row r="11" spans="1:49">
      <c r="A11" s="234">
        <v>27</v>
      </c>
      <c r="B11" s="257" t="s">
        <v>1</v>
      </c>
      <c r="C11" s="11">
        <v>8</v>
      </c>
      <c r="D11" s="18">
        <v>10</v>
      </c>
      <c r="E11" s="18">
        <v>10</v>
      </c>
      <c r="F11" s="239">
        <v>3</v>
      </c>
      <c r="G11" s="18">
        <v>10</v>
      </c>
      <c r="H11" s="18">
        <v>8</v>
      </c>
      <c r="I11" s="18">
        <v>10</v>
      </c>
      <c r="J11" s="18">
        <v>0</v>
      </c>
      <c r="K11" s="239">
        <v>6</v>
      </c>
      <c r="L11" s="19">
        <v>10</v>
      </c>
      <c r="M11" s="251">
        <v>75</v>
      </c>
      <c r="N11" s="11">
        <v>10</v>
      </c>
      <c r="O11" s="18">
        <v>0</v>
      </c>
      <c r="P11" s="18">
        <v>0</v>
      </c>
      <c r="Q11" s="18">
        <v>10</v>
      </c>
      <c r="R11" s="18">
        <v>6</v>
      </c>
      <c r="S11" s="18">
        <v>10</v>
      </c>
      <c r="T11" s="18">
        <v>10</v>
      </c>
      <c r="U11" s="18">
        <v>10</v>
      </c>
      <c r="V11" s="19">
        <v>10</v>
      </c>
      <c r="W11" s="250">
        <v>66</v>
      </c>
      <c r="X11" s="11">
        <v>0</v>
      </c>
      <c r="Y11" s="18">
        <v>6</v>
      </c>
      <c r="Z11" s="18">
        <v>0</v>
      </c>
      <c r="AA11" s="18">
        <v>0</v>
      </c>
      <c r="AB11" s="18">
        <v>10</v>
      </c>
      <c r="AC11" s="18">
        <v>10</v>
      </c>
      <c r="AD11" s="18">
        <v>10</v>
      </c>
      <c r="AE11" s="18">
        <v>10</v>
      </c>
      <c r="AF11" s="19">
        <v>10</v>
      </c>
      <c r="AG11" s="248">
        <v>56</v>
      </c>
      <c r="AH11" s="11">
        <v>0</v>
      </c>
      <c r="AI11" s="18">
        <v>0</v>
      </c>
      <c r="AJ11" s="18">
        <v>0</v>
      </c>
      <c r="AK11" s="18">
        <v>10</v>
      </c>
      <c r="AL11" s="18">
        <v>10</v>
      </c>
      <c r="AM11" s="18">
        <v>0</v>
      </c>
      <c r="AN11" s="18">
        <v>0</v>
      </c>
      <c r="AO11" s="18">
        <v>0</v>
      </c>
      <c r="AP11" s="18">
        <v>6</v>
      </c>
      <c r="AQ11" s="18">
        <v>0</v>
      </c>
      <c r="AR11" s="18">
        <v>0</v>
      </c>
      <c r="AS11" s="18">
        <v>10</v>
      </c>
      <c r="AT11" s="19">
        <v>2</v>
      </c>
      <c r="AU11" s="240">
        <v>38</v>
      </c>
      <c r="AV11" s="4">
        <v>235</v>
      </c>
      <c r="AW11" s="435"/>
    </row>
    <row r="12" spans="1:49">
      <c r="A12" s="234">
        <v>28</v>
      </c>
      <c r="B12" s="257" t="s">
        <v>35</v>
      </c>
      <c r="C12" s="11">
        <v>6</v>
      </c>
      <c r="D12" s="18">
        <v>10</v>
      </c>
      <c r="E12" s="18">
        <v>10</v>
      </c>
      <c r="F12" s="239">
        <v>5</v>
      </c>
      <c r="G12" s="18">
        <v>4</v>
      </c>
      <c r="H12" s="18">
        <v>8</v>
      </c>
      <c r="I12" s="18">
        <v>0</v>
      </c>
      <c r="J12" s="18">
        <v>0</v>
      </c>
      <c r="K12" s="239">
        <v>6</v>
      </c>
      <c r="L12" s="19">
        <v>10</v>
      </c>
      <c r="M12" s="251">
        <v>59</v>
      </c>
      <c r="N12" s="11">
        <v>10</v>
      </c>
      <c r="O12" s="18">
        <v>10</v>
      </c>
      <c r="P12" s="18">
        <v>0</v>
      </c>
      <c r="Q12" s="18">
        <v>10</v>
      </c>
      <c r="R12" s="18">
        <v>10</v>
      </c>
      <c r="S12" s="18">
        <v>10</v>
      </c>
      <c r="T12" s="18">
        <v>10</v>
      </c>
      <c r="U12" s="18">
        <v>10</v>
      </c>
      <c r="V12" s="19">
        <v>10</v>
      </c>
      <c r="W12" s="250">
        <v>80</v>
      </c>
      <c r="X12" s="11">
        <v>0</v>
      </c>
      <c r="Y12" s="18">
        <v>10</v>
      </c>
      <c r="Z12" s="18">
        <v>0</v>
      </c>
      <c r="AA12" s="18">
        <v>10</v>
      </c>
      <c r="AB12" s="18">
        <v>10</v>
      </c>
      <c r="AC12" s="18">
        <v>10</v>
      </c>
      <c r="AD12" s="18">
        <v>10</v>
      </c>
      <c r="AE12" s="18">
        <v>10</v>
      </c>
      <c r="AF12" s="19">
        <v>3</v>
      </c>
      <c r="AG12" s="248">
        <v>63</v>
      </c>
      <c r="AH12" s="11">
        <v>0</v>
      </c>
      <c r="AI12" s="18">
        <v>0</v>
      </c>
      <c r="AJ12" s="18">
        <v>0</v>
      </c>
      <c r="AK12" s="18">
        <v>10</v>
      </c>
      <c r="AL12" s="18">
        <v>0</v>
      </c>
      <c r="AM12" s="18">
        <v>0</v>
      </c>
      <c r="AN12" s="18">
        <v>0</v>
      </c>
      <c r="AO12" s="18">
        <v>0</v>
      </c>
      <c r="AP12" s="18">
        <v>0</v>
      </c>
      <c r="AQ12" s="18">
        <v>4</v>
      </c>
      <c r="AR12" s="18">
        <v>10</v>
      </c>
      <c r="AS12" s="18">
        <v>10</v>
      </c>
      <c r="AT12" s="19">
        <v>8</v>
      </c>
      <c r="AU12" s="240">
        <v>42</v>
      </c>
      <c r="AV12" s="4">
        <v>244</v>
      </c>
      <c r="AW12" s="435"/>
    </row>
    <row r="13" spans="1:49">
      <c r="A13" s="234">
        <v>29</v>
      </c>
      <c r="B13" s="257" t="s">
        <v>499</v>
      </c>
      <c r="C13" s="11">
        <v>8</v>
      </c>
      <c r="D13" s="18">
        <v>10</v>
      </c>
      <c r="E13" s="18">
        <v>10</v>
      </c>
      <c r="F13" s="239">
        <v>10</v>
      </c>
      <c r="G13" s="18">
        <v>10</v>
      </c>
      <c r="H13" s="18">
        <v>8</v>
      </c>
      <c r="I13" s="18">
        <v>10</v>
      </c>
      <c r="J13" s="18">
        <v>0</v>
      </c>
      <c r="K13" s="239">
        <v>10</v>
      </c>
      <c r="L13" s="19">
        <v>10</v>
      </c>
      <c r="M13" s="251">
        <v>86</v>
      </c>
      <c r="N13" s="11">
        <v>10</v>
      </c>
      <c r="O13" s="18">
        <v>10</v>
      </c>
      <c r="P13" s="18">
        <v>0</v>
      </c>
      <c r="Q13" s="18">
        <v>10</v>
      </c>
      <c r="R13" s="18">
        <v>10</v>
      </c>
      <c r="S13" s="18">
        <v>10</v>
      </c>
      <c r="T13" s="18">
        <v>10</v>
      </c>
      <c r="U13" s="18">
        <v>10</v>
      </c>
      <c r="V13" s="19">
        <v>6</v>
      </c>
      <c r="W13" s="250">
        <v>76</v>
      </c>
      <c r="X13" s="11">
        <v>0</v>
      </c>
      <c r="Y13" s="18">
        <v>6</v>
      </c>
      <c r="Z13" s="18">
        <v>0</v>
      </c>
      <c r="AA13" s="18">
        <v>10</v>
      </c>
      <c r="AB13" s="18">
        <v>10</v>
      </c>
      <c r="AC13" s="18">
        <v>10</v>
      </c>
      <c r="AD13" s="18">
        <v>10</v>
      </c>
      <c r="AE13" s="18">
        <v>10</v>
      </c>
      <c r="AF13" s="19">
        <v>10</v>
      </c>
      <c r="AG13" s="248">
        <v>66</v>
      </c>
      <c r="AH13" s="11">
        <v>0</v>
      </c>
      <c r="AI13" s="18">
        <v>10</v>
      </c>
      <c r="AJ13" s="18">
        <v>6</v>
      </c>
      <c r="AK13" s="18">
        <v>10</v>
      </c>
      <c r="AL13" s="18">
        <v>10</v>
      </c>
      <c r="AM13" s="18">
        <v>10</v>
      </c>
      <c r="AN13" s="18">
        <v>10</v>
      </c>
      <c r="AO13" s="18">
        <v>6</v>
      </c>
      <c r="AP13" s="18">
        <v>6</v>
      </c>
      <c r="AQ13" s="18">
        <v>0</v>
      </c>
      <c r="AR13" s="18">
        <v>6</v>
      </c>
      <c r="AS13" s="18">
        <v>10</v>
      </c>
      <c r="AT13" s="19">
        <v>2</v>
      </c>
      <c r="AU13" s="240">
        <v>86</v>
      </c>
      <c r="AV13" s="4">
        <v>314</v>
      </c>
      <c r="AW13" s="435"/>
    </row>
    <row r="14" spans="1:49">
      <c r="A14" s="234">
        <v>30</v>
      </c>
      <c r="B14" s="257" t="s">
        <v>479</v>
      </c>
      <c r="C14" s="11">
        <v>0</v>
      </c>
      <c r="D14" s="18">
        <v>0</v>
      </c>
      <c r="E14" s="18">
        <v>10</v>
      </c>
      <c r="F14" s="239">
        <v>0</v>
      </c>
      <c r="G14" s="18">
        <v>0</v>
      </c>
      <c r="H14" s="18">
        <v>0</v>
      </c>
      <c r="I14" s="18">
        <v>0</v>
      </c>
      <c r="J14" s="18">
        <v>0</v>
      </c>
      <c r="K14" s="239">
        <v>0</v>
      </c>
      <c r="L14" s="19">
        <v>0</v>
      </c>
      <c r="M14" s="251">
        <v>10</v>
      </c>
      <c r="N14" s="11">
        <v>0</v>
      </c>
      <c r="O14" s="18">
        <v>0</v>
      </c>
      <c r="P14" s="18">
        <v>0</v>
      </c>
      <c r="Q14" s="18">
        <v>5</v>
      </c>
      <c r="R14" s="18">
        <v>10</v>
      </c>
      <c r="S14" s="18">
        <v>0</v>
      </c>
      <c r="T14" s="18">
        <v>10</v>
      </c>
      <c r="U14" s="18">
        <v>0</v>
      </c>
      <c r="V14" s="19">
        <v>10</v>
      </c>
      <c r="W14" s="250">
        <v>35</v>
      </c>
      <c r="X14" s="11">
        <v>0</v>
      </c>
      <c r="Y14" s="18">
        <v>0</v>
      </c>
      <c r="Z14" s="18">
        <v>0</v>
      </c>
      <c r="AA14" s="18">
        <v>10</v>
      </c>
      <c r="AB14" s="18">
        <v>10</v>
      </c>
      <c r="AC14" s="18">
        <v>10</v>
      </c>
      <c r="AD14" s="18">
        <v>0</v>
      </c>
      <c r="AE14" s="18">
        <v>0</v>
      </c>
      <c r="AF14" s="19">
        <v>3</v>
      </c>
      <c r="AG14" s="248">
        <v>33</v>
      </c>
      <c r="AH14" s="11">
        <v>0</v>
      </c>
      <c r="AI14" s="18">
        <v>0</v>
      </c>
      <c r="AJ14" s="18">
        <v>0</v>
      </c>
      <c r="AK14" s="18">
        <v>0</v>
      </c>
      <c r="AL14" s="18">
        <v>0</v>
      </c>
      <c r="AM14" s="18">
        <v>0</v>
      </c>
      <c r="AN14" s="18">
        <v>0</v>
      </c>
      <c r="AO14" s="18">
        <v>0</v>
      </c>
      <c r="AP14" s="18">
        <v>0</v>
      </c>
      <c r="AQ14" s="18">
        <v>0</v>
      </c>
      <c r="AR14" s="18">
        <v>0</v>
      </c>
      <c r="AS14" s="18">
        <v>0</v>
      </c>
      <c r="AT14" s="19">
        <v>2</v>
      </c>
      <c r="AU14" s="240">
        <v>2</v>
      </c>
      <c r="AV14" s="4">
        <v>80</v>
      </c>
      <c r="AW14" s="435"/>
    </row>
    <row r="15" spans="1:49">
      <c r="A15" s="234">
        <v>31</v>
      </c>
      <c r="B15" s="257" t="s">
        <v>480</v>
      </c>
      <c r="C15" s="11">
        <v>8</v>
      </c>
      <c r="D15" s="18">
        <v>10</v>
      </c>
      <c r="E15" s="18">
        <v>10</v>
      </c>
      <c r="F15" s="239">
        <v>3</v>
      </c>
      <c r="G15" s="18">
        <v>4</v>
      </c>
      <c r="H15" s="18">
        <v>10</v>
      </c>
      <c r="I15" s="18">
        <v>10</v>
      </c>
      <c r="J15" s="18">
        <v>10</v>
      </c>
      <c r="K15" s="239">
        <v>10</v>
      </c>
      <c r="L15" s="19">
        <v>10</v>
      </c>
      <c r="M15" s="251">
        <v>85</v>
      </c>
      <c r="N15" s="11">
        <v>10</v>
      </c>
      <c r="O15" s="18">
        <v>10</v>
      </c>
      <c r="P15" s="18">
        <v>10</v>
      </c>
      <c r="Q15" s="18">
        <v>5</v>
      </c>
      <c r="R15" s="18">
        <v>4</v>
      </c>
      <c r="S15" s="18">
        <v>0</v>
      </c>
      <c r="T15" s="18">
        <v>10</v>
      </c>
      <c r="U15" s="18">
        <v>0</v>
      </c>
      <c r="V15" s="19">
        <v>10</v>
      </c>
      <c r="W15" s="250">
        <v>59</v>
      </c>
      <c r="X15" s="11">
        <v>10</v>
      </c>
      <c r="Y15" s="18">
        <v>6</v>
      </c>
      <c r="Z15" s="18">
        <v>6</v>
      </c>
      <c r="AA15" s="18">
        <v>10</v>
      </c>
      <c r="AB15" s="18">
        <v>10</v>
      </c>
      <c r="AC15" s="18">
        <v>10</v>
      </c>
      <c r="AD15" s="18">
        <v>10</v>
      </c>
      <c r="AE15" s="18">
        <v>10</v>
      </c>
      <c r="AF15" s="19">
        <v>10</v>
      </c>
      <c r="AG15" s="248">
        <v>82</v>
      </c>
      <c r="AH15" s="11">
        <v>10</v>
      </c>
      <c r="AI15" s="18">
        <v>10</v>
      </c>
      <c r="AJ15" s="18">
        <v>10</v>
      </c>
      <c r="AK15" s="18">
        <v>10</v>
      </c>
      <c r="AL15" s="18">
        <v>10</v>
      </c>
      <c r="AM15" s="18">
        <v>10</v>
      </c>
      <c r="AN15" s="18">
        <v>10</v>
      </c>
      <c r="AO15" s="18">
        <v>10</v>
      </c>
      <c r="AP15" s="18">
        <v>10</v>
      </c>
      <c r="AQ15" s="18">
        <v>8</v>
      </c>
      <c r="AR15" s="18">
        <v>8</v>
      </c>
      <c r="AS15" s="18">
        <v>10</v>
      </c>
      <c r="AT15" s="19">
        <v>10</v>
      </c>
      <c r="AU15" s="240">
        <v>126</v>
      </c>
      <c r="AV15" s="4">
        <v>352</v>
      </c>
      <c r="AW15" s="435"/>
    </row>
    <row r="16" spans="1:49">
      <c r="A16" s="234">
        <v>32</v>
      </c>
      <c r="B16" s="257" t="s">
        <v>408</v>
      </c>
      <c r="C16" s="11">
        <v>8</v>
      </c>
      <c r="D16" s="18">
        <v>10</v>
      </c>
      <c r="E16" s="18">
        <v>10</v>
      </c>
      <c r="F16" s="239">
        <v>10</v>
      </c>
      <c r="G16" s="18">
        <v>10</v>
      </c>
      <c r="H16" s="18">
        <v>10</v>
      </c>
      <c r="I16" s="18">
        <v>10</v>
      </c>
      <c r="J16" s="18">
        <v>10</v>
      </c>
      <c r="K16" s="239">
        <v>10</v>
      </c>
      <c r="L16" s="19">
        <v>10</v>
      </c>
      <c r="M16" s="251">
        <v>98</v>
      </c>
      <c r="N16" s="11">
        <v>10</v>
      </c>
      <c r="O16" s="18">
        <v>10</v>
      </c>
      <c r="P16" s="18">
        <v>10</v>
      </c>
      <c r="Q16" s="18">
        <v>10</v>
      </c>
      <c r="R16" s="18">
        <v>10</v>
      </c>
      <c r="S16" s="18">
        <v>10</v>
      </c>
      <c r="T16" s="18">
        <v>10</v>
      </c>
      <c r="U16" s="18">
        <v>10</v>
      </c>
      <c r="V16" s="19">
        <v>10</v>
      </c>
      <c r="W16" s="250">
        <v>90</v>
      </c>
      <c r="X16" s="11">
        <v>10</v>
      </c>
      <c r="Y16" s="18">
        <v>10</v>
      </c>
      <c r="Z16" s="18">
        <v>6</v>
      </c>
      <c r="AA16" s="18">
        <v>10</v>
      </c>
      <c r="AB16" s="18">
        <v>10</v>
      </c>
      <c r="AC16" s="18">
        <v>10</v>
      </c>
      <c r="AD16" s="18">
        <v>10</v>
      </c>
      <c r="AE16" s="18">
        <v>10</v>
      </c>
      <c r="AF16" s="19">
        <v>10</v>
      </c>
      <c r="AG16" s="248">
        <v>86</v>
      </c>
      <c r="AH16" s="11">
        <v>10</v>
      </c>
      <c r="AI16" s="18">
        <v>10</v>
      </c>
      <c r="AJ16" s="18">
        <v>10</v>
      </c>
      <c r="AK16" s="18">
        <v>10</v>
      </c>
      <c r="AL16" s="18">
        <v>10</v>
      </c>
      <c r="AM16" s="18">
        <v>10</v>
      </c>
      <c r="AN16" s="18">
        <v>10</v>
      </c>
      <c r="AO16" s="18">
        <v>10</v>
      </c>
      <c r="AP16" s="18">
        <v>10</v>
      </c>
      <c r="AQ16" s="18">
        <v>6</v>
      </c>
      <c r="AR16" s="18">
        <v>6</v>
      </c>
      <c r="AS16" s="18">
        <v>10</v>
      </c>
      <c r="AT16" s="19">
        <v>2</v>
      </c>
      <c r="AU16" s="240">
        <v>114</v>
      </c>
      <c r="AV16" s="4">
        <v>388</v>
      </c>
      <c r="AW16" s="435"/>
    </row>
    <row r="17" spans="1:49">
      <c r="A17" s="234">
        <v>33</v>
      </c>
      <c r="B17" s="257" t="s">
        <v>337</v>
      </c>
      <c r="C17" s="11">
        <v>6</v>
      </c>
      <c r="D17" s="18">
        <v>10</v>
      </c>
      <c r="E17" s="18">
        <v>10</v>
      </c>
      <c r="F17" s="239">
        <v>3</v>
      </c>
      <c r="G17" s="18">
        <v>10</v>
      </c>
      <c r="H17" s="18">
        <v>10</v>
      </c>
      <c r="I17" s="18">
        <v>10</v>
      </c>
      <c r="J17" s="18">
        <v>0</v>
      </c>
      <c r="K17" s="239">
        <v>10</v>
      </c>
      <c r="L17" s="19">
        <v>10</v>
      </c>
      <c r="M17" s="251">
        <v>79</v>
      </c>
      <c r="N17" s="11">
        <v>10</v>
      </c>
      <c r="O17" s="18">
        <v>10</v>
      </c>
      <c r="P17" s="18">
        <v>10</v>
      </c>
      <c r="Q17" s="18">
        <v>10</v>
      </c>
      <c r="R17" s="18">
        <v>6</v>
      </c>
      <c r="S17" s="18">
        <v>10</v>
      </c>
      <c r="T17" s="18">
        <v>10</v>
      </c>
      <c r="U17" s="18">
        <v>10</v>
      </c>
      <c r="V17" s="19">
        <v>10</v>
      </c>
      <c r="W17" s="250">
        <v>86</v>
      </c>
      <c r="X17" s="11">
        <v>10</v>
      </c>
      <c r="Y17" s="18">
        <v>6</v>
      </c>
      <c r="Z17" s="18">
        <v>10</v>
      </c>
      <c r="AA17" s="18">
        <v>10</v>
      </c>
      <c r="AB17" s="18">
        <v>10</v>
      </c>
      <c r="AC17" s="18">
        <v>10</v>
      </c>
      <c r="AD17" s="18">
        <v>10</v>
      </c>
      <c r="AE17" s="18">
        <v>10</v>
      </c>
      <c r="AF17" s="19">
        <v>10</v>
      </c>
      <c r="AG17" s="248">
        <v>86</v>
      </c>
      <c r="AH17" s="11">
        <v>10</v>
      </c>
      <c r="AI17" s="18">
        <v>10</v>
      </c>
      <c r="AJ17" s="18">
        <v>10</v>
      </c>
      <c r="AK17" s="18">
        <v>10</v>
      </c>
      <c r="AL17" s="18">
        <v>10</v>
      </c>
      <c r="AM17" s="18">
        <v>10</v>
      </c>
      <c r="AN17" s="18">
        <v>10</v>
      </c>
      <c r="AO17" s="18">
        <v>10</v>
      </c>
      <c r="AP17" s="18">
        <v>10</v>
      </c>
      <c r="AQ17" s="18">
        <v>0</v>
      </c>
      <c r="AR17" s="18">
        <v>10</v>
      </c>
      <c r="AS17" s="18">
        <v>10</v>
      </c>
      <c r="AT17" s="19">
        <v>2</v>
      </c>
      <c r="AU17" s="240">
        <v>112</v>
      </c>
      <c r="AV17" s="4">
        <v>363</v>
      </c>
      <c r="AW17" s="435"/>
    </row>
    <row r="18" spans="1:49">
      <c r="A18" s="234">
        <v>34</v>
      </c>
      <c r="B18" s="257" t="s">
        <v>338</v>
      </c>
      <c r="C18" s="11">
        <v>8</v>
      </c>
      <c r="D18" s="18">
        <v>10</v>
      </c>
      <c r="E18" s="18">
        <v>10</v>
      </c>
      <c r="F18" s="239">
        <v>5</v>
      </c>
      <c r="G18" s="18">
        <v>10</v>
      </c>
      <c r="H18" s="18">
        <v>6</v>
      </c>
      <c r="I18" s="18">
        <v>10</v>
      </c>
      <c r="J18" s="18">
        <v>0</v>
      </c>
      <c r="K18" s="239">
        <v>10</v>
      </c>
      <c r="L18" s="19">
        <v>10</v>
      </c>
      <c r="M18" s="251">
        <v>79</v>
      </c>
      <c r="N18" s="11">
        <v>10</v>
      </c>
      <c r="O18" s="18">
        <v>10</v>
      </c>
      <c r="P18" s="18">
        <v>10</v>
      </c>
      <c r="Q18" s="18">
        <v>10</v>
      </c>
      <c r="R18" s="18">
        <v>6</v>
      </c>
      <c r="S18" s="18">
        <v>10</v>
      </c>
      <c r="T18" s="18">
        <v>10</v>
      </c>
      <c r="U18" s="18">
        <v>10</v>
      </c>
      <c r="V18" s="19">
        <v>0</v>
      </c>
      <c r="W18" s="250">
        <v>76</v>
      </c>
      <c r="X18" s="11">
        <v>0</v>
      </c>
      <c r="Y18" s="18">
        <v>6</v>
      </c>
      <c r="Z18" s="18">
        <v>0</v>
      </c>
      <c r="AA18" s="18">
        <v>10</v>
      </c>
      <c r="AB18" s="18">
        <v>10</v>
      </c>
      <c r="AC18" s="18">
        <v>10</v>
      </c>
      <c r="AD18" s="18">
        <v>10</v>
      </c>
      <c r="AE18" s="18">
        <v>10</v>
      </c>
      <c r="AF18" s="19">
        <v>10</v>
      </c>
      <c r="AG18" s="248">
        <v>66</v>
      </c>
      <c r="AH18" s="11">
        <v>0</v>
      </c>
      <c r="AI18" s="18">
        <v>0</v>
      </c>
      <c r="AJ18" s="18">
        <v>6</v>
      </c>
      <c r="AK18" s="18">
        <v>10</v>
      </c>
      <c r="AL18" s="18">
        <v>10</v>
      </c>
      <c r="AM18" s="18">
        <v>10</v>
      </c>
      <c r="AN18" s="18">
        <v>10</v>
      </c>
      <c r="AO18" s="18">
        <v>10</v>
      </c>
      <c r="AP18" s="18">
        <v>10</v>
      </c>
      <c r="AQ18" s="18">
        <v>8</v>
      </c>
      <c r="AR18" s="18">
        <v>8</v>
      </c>
      <c r="AS18" s="18">
        <v>10</v>
      </c>
      <c r="AT18" s="19">
        <v>2</v>
      </c>
      <c r="AU18" s="240">
        <v>94</v>
      </c>
      <c r="AV18" s="4">
        <v>315</v>
      </c>
      <c r="AW18" s="435"/>
    </row>
    <row r="19" spans="1:49">
      <c r="A19" s="234">
        <v>35</v>
      </c>
      <c r="B19" s="257" t="s">
        <v>481</v>
      </c>
      <c r="C19" s="11">
        <v>8</v>
      </c>
      <c r="D19" s="18">
        <v>10</v>
      </c>
      <c r="E19" s="18">
        <v>10</v>
      </c>
      <c r="F19" s="239">
        <v>10</v>
      </c>
      <c r="G19" s="18">
        <v>10</v>
      </c>
      <c r="H19" s="18">
        <v>10</v>
      </c>
      <c r="I19" s="18">
        <v>10</v>
      </c>
      <c r="J19" s="18">
        <v>10</v>
      </c>
      <c r="K19" s="239">
        <v>0</v>
      </c>
      <c r="L19" s="19">
        <v>10</v>
      </c>
      <c r="M19" s="251">
        <v>88</v>
      </c>
      <c r="N19" s="11">
        <v>10</v>
      </c>
      <c r="O19" s="18">
        <v>10</v>
      </c>
      <c r="P19" s="18">
        <v>10</v>
      </c>
      <c r="Q19" s="18">
        <v>10</v>
      </c>
      <c r="R19" s="18">
        <v>6</v>
      </c>
      <c r="S19" s="18">
        <v>10</v>
      </c>
      <c r="T19" s="18">
        <v>10</v>
      </c>
      <c r="U19" s="18">
        <v>10</v>
      </c>
      <c r="V19" s="19">
        <v>10</v>
      </c>
      <c r="W19" s="250">
        <v>86</v>
      </c>
      <c r="X19" s="11">
        <v>0</v>
      </c>
      <c r="Y19" s="18">
        <v>6</v>
      </c>
      <c r="Z19" s="18">
        <v>6</v>
      </c>
      <c r="AA19" s="18">
        <v>10</v>
      </c>
      <c r="AB19" s="18">
        <v>10</v>
      </c>
      <c r="AC19" s="18">
        <v>10</v>
      </c>
      <c r="AD19" s="18">
        <v>10</v>
      </c>
      <c r="AE19" s="18">
        <v>10</v>
      </c>
      <c r="AF19" s="19">
        <v>10</v>
      </c>
      <c r="AG19" s="248">
        <v>72</v>
      </c>
      <c r="AH19" s="11">
        <v>10</v>
      </c>
      <c r="AI19" s="18">
        <v>10</v>
      </c>
      <c r="AJ19" s="18">
        <v>6</v>
      </c>
      <c r="AK19" s="18">
        <v>10</v>
      </c>
      <c r="AL19" s="18">
        <v>10</v>
      </c>
      <c r="AM19" s="18">
        <v>0</v>
      </c>
      <c r="AN19" s="18">
        <v>10</v>
      </c>
      <c r="AO19" s="18">
        <v>6</v>
      </c>
      <c r="AP19" s="18">
        <v>6</v>
      </c>
      <c r="AQ19" s="18">
        <v>8</v>
      </c>
      <c r="AR19" s="18">
        <v>8</v>
      </c>
      <c r="AS19" s="18">
        <v>10</v>
      </c>
      <c r="AT19" s="19">
        <v>10</v>
      </c>
      <c r="AU19" s="240">
        <v>104</v>
      </c>
      <c r="AV19" s="4">
        <v>350</v>
      </c>
      <c r="AW19" s="435"/>
    </row>
    <row r="20" spans="1:49">
      <c r="A20" s="234">
        <v>36</v>
      </c>
      <c r="B20" s="257" t="s">
        <v>248</v>
      </c>
      <c r="C20" s="11">
        <v>10</v>
      </c>
      <c r="D20" s="18">
        <v>10</v>
      </c>
      <c r="E20" s="18">
        <v>10</v>
      </c>
      <c r="F20" s="239">
        <v>10</v>
      </c>
      <c r="G20" s="18">
        <v>10</v>
      </c>
      <c r="H20" s="18">
        <v>10</v>
      </c>
      <c r="I20" s="18">
        <v>10</v>
      </c>
      <c r="J20" s="18">
        <v>6</v>
      </c>
      <c r="K20" s="239">
        <v>10</v>
      </c>
      <c r="L20" s="19">
        <v>10</v>
      </c>
      <c r="M20" s="251">
        <v>96</v>
      </c>
      <c r="N20" s="11">
        <v>10</v>
      </c>
      <c r="O20" s="18">
        <v>10</v>
      </c>
      <c r="P20" s="18">
        <v>10</v>
      </c>
      <c r="Q20" s="18">
        <v>10</v>
      </c>
      <c r="R20" s="18">
        <v>10</v>
      </c>
      <c r="S20" s="18">
        <v>10</v>
      </c>
      <c r="T20" s="18">
        <v>10</v>
      </c>
      <c r="U20" s="18">
        <v>10</v>
      </c>
      <c r="V20" s="19">
        <v>10</v>
      </c>
      <c r="W20" s="250">
        <v>90</v>
      </c>
      <c r="X20" s="11">
        <v>10</v>
      </c>
      <c r="Y20" s="18">
        <v>6</v>
      </c>
      <c r="Z20" s="18">
        <v>10</v>
      </c>
      <c r="AA20" s="18">
        <v>10</v>
      </c>
      <c r="AB20" s="18">
        <v>10</v>
      </c>
      <c r="AC20" s="18">
        <v>10</v>
      </c>
      <c r="AD20" s="18">
        <v>10</v>
      </c>
      <c r="AE20" s="18">
        <v>10</v>
      </c>
      <c r="AF20" s="19">
        <v>2</v>
      </c>
      <c r="AG20" s="248">
        <v>78</v>
      </c>
      <c r="AH20" s="11">
        <v>10</v>
      </c>
      <c r="AI20" s="18">
        <v>10</v>
      </c>
      <c r="AJ20" s="18">
        <v>6</v>
      </c>
      <c r="AK20" s="18">
        <v>10</v>
      </c>
      <c r="AL20" s="18">
        <v>10</v>
      </c>
      <c r="AM20" s="18">
        <v>10</v>
      </c>
      <c r="AN20" s="18">
        <v>10</v>
      </c>
      <c r="AO20" s="18">
        <v>10</v>
      </c>
      <c r="AP20" s="18">
        <v>10</v>
      </c>
      <c r="AQ20" s="18">
        <v>0</v>
      </c>
      <c r="AR20" s="18">
        <v>8</v>
      </c>
      <c r="AS20" s="18">
        <v>10</v>
      </c>
      <c r="AT20" s="19">
        <v>8</v>
      </c>
      <c r="AU20" s="240">
        <v>112</v>
      </c>
      <c r="AV20" s="4">
        <v>376</v>
      </c>
      <c r="AW20" s="435"/>
    </row>
    <row r="21" spans="1:49">
      <c r="A21" s="234">
        <v>37</v>
      </c>
      <c r="B21" s="257" t="s">
        <v>82</v>
      </c>
      <c r="C21" s="11">
        <v>6</v>
      </c>
      <c r="D21" s="18">
        <v>10</v>
      </c>
      <c r="E21" s="18">
        <v>0</v>
      </c>
      <c r="F21" s="239">
        <v>0</v>
      </c>
      <c r="G21" s="18">
        <v>10</v>
      </c>
      <c r="H21" s="18">
        <v>6</v>
      </c>
      <c r="I21" s="18">
        <v>0</v>
      </c>
      <c r="J21" s="18">
        <v>6</v>
      </c>
      <c r="K21" s="239">
        <v>10</v>
      </c>
      <c r="L21" s="19">
        <v>10</v>
      </c>
      <c r="M21" s="251">
        <v>58</v>
      </c>
      <c r="N21" s="11">
        <v>10</v>
      </c>
      <c r="O21" s="18">
        <v>10</v>
      </c>
      <c r="P21" s="18">
        <v>10</v>
      </c>
      <c r="Q21" s="18">
        <v>5</v>
      </c>
      <c r="R21" s="18">
        <v>6</v>
      </c>
      <c r="S21" s="18">
        <v>6</v>
      </c>
      <c r="T21" s="18">
        <v>6</v>
      </c>
      <c r="U21" s="18">
        <v>0</v>
      </c>
      <c r="V21" s="19">
        <v>10</v>
      </c>
      <c r="W21" s="250">
        <v>63</v>
      </c>
      <c r="X21" s="11">
        <v>10</v>
      </c>
      <c r="Y21" s="18">
        <v>6</v>
      </c>
      <c r="Z21" s="18">
        <v>0</v>
      </c>
      <c r="AA21" s="18">
        <v>0</v>
      </c>
      <c r="AB21" s="18">
        <v>0</v>
      </c>
      <c r="AC21" s="18">
        <v>0</v>
      </c>
      <c r="AD21" s="18">
        <v>10</v>
      </c>
      <c r="AE21" s="18">
        <v>0</v>
      </c>
      <c r="AF21" s="19">
        <v>10</v>
      </c>
      <c r="AG21" s="248">
        <v>36</v>
      </c>
      <c r="AH21" s="11">
        <v>0</v>
      </c>
      <c r="AI21" s="18">
        <v>0</v>
      </c>
      <c r="AJ21" s="18">
        <v>0</v>
      </c>
      <c r="AK21" s="18">
        <v>0</v>
      </c>
      <c r="AL21" s="18">
        <v>0</v>
      </c>
      <c r="AM21" s="18">
        <v>10</v>
      </c>
      <c r="AN21" s="18">
        <v>10</v>
      </c>
      <c r="AO21" s="18">
        <v>6</v>
      </c>
      <c r="AP21" s="18">
        <v>0</v>
      </c>
      <c r="AQ21" s="18">
        <v>0</v>
      </c>
      <c r="AR21" s="18">
        <v>0</v>
      </c>
      <c r="AS21" s="18">
        <v>0</v>
      </c>
      <c r="AT21" s="19">
        <v>2</v>
      </c>
      <c r="AU21" s="240">
        <v>28</v>
      </c>
      <c r="AV21" s="4">
        <v>185</v>
      </c>
      <c r="AW21" s="435"/>
    </row>
    <row r="22" spans="1:49">
      <c r="A22" s="234">
        <v>38</v>
      </c>
      <c r="B22" s="257" t="s">
        <v>431</v>
      </c>
      <c r="C22" s="11">
        <v>6</v>
      </c>
      <c r="D22" s="18">
        <v>10</v>
      </c>
      <c r="E22" s="18">
        <v>10</v>
      </c>
      <c r="F22" s="239">
        <v>5</v>
      </c>
      <c r="G22" s="18">
        <v>10</v>
      </c>
      <c r="H22" s="18">
        <v>6</v>
      </c>
      <c r="I22" s="18">
        <v>10</v>
      </c>
      <c r="J22" s="18">
        <v>10</v>
      </c>
      <c r="K22" s="239">
        <v>6</v>
      </c>
      <c r="L22" s="19">
        <v>10</v>
      </c>
      <c r="M22" s="251">
        <v>83</v>
      </c>
      <c r="N22" s="11">
        <v>10</v>
      </c>
      <c r="O22" s="18">
        <v>10</v>
      </c>
      <c r="P22" s="18">
        <v>0</v>
      </c>
      <c r="Q22" s="18">
        <v>10</v>
      </c>
      <c r="R22" s="18">
        <v>10</v>
      </c>
      <c r="S22" s="18">
        <v>10</v>
      </c>
      <c r="T22" s="18">
        <v>10</v>
      </c>
      <c r="U22" s="18">
        <v>10</v>
      </c>
      <c r="V22" s="19">
        <v>6</v>
      </c>
      <c r="W22" s="250">
        <v>76</v>
      </c>
      <c r="X22" s="11">
        <v>10</v>
      </c>
      <c r="Y22" s="18">
        <v>6</v>
      </c>
      <c r="Z22" s="18">
        <v>6</v>
      </c>
      <c r="AA22" s="18">
        <v>10</v>
      </c>
      <c r="AB22" s="18">
        <v>10</v>
      </c>
      <c r="AC22" s="18">
        <v>10</v>
      </c>
      <c r="AD22" s="18">
        <v>10</v>
      </c>
      <c r="AE22" s="18">
        <v>10</v>
      </c>
      <c r="AF22" s="19">
        <v>3</v>
      </c>
      <c r="AG22" s="248">
        <v>75</v>
      </c>
      <c r="AH22" s="11">
        <v>0</v>
      </c>
      <c r="AI22" s="18">
        <v>10</v>
      </c>
      <c r="AJ22" s="18">
        <v>6</v>
      </c>
      <c r="AK22" s="18">
        <v>10</v>
      </c>
      <c r="AL22" s="18">
        <v>10</v>
      </c>
      <c r="AM22" s="18">
        <v>10</v>
      </c>
      <c r="AN22" s="18">
        <v>10</v>
      </c>
      <c r="AO22" s="18">
        <v>6</v>
      </c>
      <c r="AP22" s="18">
        <v>0</v>
      </c>
      <c r="AQ22" s="18">
        <v>0</v>
      </c>
      <c r="AR22" s="18">
        <v>10</v>
      </c>
      <c r="AS22" s="18">
        <v>10</v>
      </c>
      <c r="AT22" s="19">
        <v>10</v>
      </c>
      <c r="AU22" s="240">
        <v>92</v>
      </c>
      <c r="AV22" s="4">
        <v>326</v>
      </c>
      <c r="AW22" s="435"/>
    </row>
    <row r="23" spans="1:49">
      <c r="A23" s="234">
        <v>39</v>
      </c>
      <c r="B23" s="257" t="s">
        <v>353</v>
      </c>
      <c r="C23" s="11">
        <v>6</v>
      </c>
      <c r="D23" s="18">
        <v>10</v>
      </c>
      <c r="E23" s="18">
        <v>10</v>
      </c>
      <c r="F23" s="239">
        <v>5</v>
      </c>
      <c r="G23" s="18">
        <v>10</v>
      </c>
      <c r="H23" s="18">
        <v>8</v>
      </c>
      <c r="I23" s="18">
        <v>10</v>
      </c>
      <c r="J23" s="18">
        <v>0</v>
      </c>
      <c r="K23" s="239">
        <v>10</v>
      </c>
      <c r="L23" s="19">
        <v>10</v>
      </c>
      <c r="M23" s="251">
        <v>79</v>
      </c>
      <c r="N23" s="11">
        <v>10</v>
      </c>
      <c r="O23" s="18">
        <v>10</v>
      </c>
      <c r="P23" s="18">
        <v>10</v>
      </c>
      <c r="Q23" s="18">
        <v>10</v>
      </c>
      <c r="R23" s="18">
        <v>6</v>
      </c>
      <c r="S23" s="18">
        <v>10</v>
      </c>
      <c r="T23" s="18">
        <v>10</v>
      </c>
      <c r="U23" s="18">
        <v>10</v>
      </c>
      <c r="V23" s="19">
        <v>6</v>
      </c>
      <c r="W23" s="250">
        <v>82</v>
      </c>
      <c r="X23" s="11">
        <v>0</v>
      </c>
      <c r="Y23" s="18">
        <v>6</v>
      </c>
      <c r="Z23" s="18">
        <v>6</v>
      </c>
      <c r="AA23" s="18">
        <v>10</v>
      </c>
      <c r="AB23" s="18">
        <v>10</v>
      </c>
      <c r="AC23" s="18">
        <v>10</v>
      </c>
      <c r="AD23" s="18">
        <v>10</v>
      </c>
      <c r="AE23" s="18">
        <v>10</v>
      </c>
      <c r="AF23" s="19">
        <v>10</v>
      </c>
      <c r="AG23" s="248">
        <v>72</v>
      </c>
      <c r="AH23" s="11">
        <v>10</v>
      </c>
      <c r="AI23" s="18">
        <v>10</v>
      </c>
      <c r="AJ23" s="18">
        <v>10</v>
      </c>
      <c r="AK23" s="18">
        <v>10</v>
      </c>
      <c r="AL23" s="18">
        <v>10</v>
      </c>
      <c r="AM23" s="18">
        <v>10</v>
      </c>
      <c r="AN23" s="18">
        <v>10</v>
      </c>
      <c r="AO23" s="18">
        <v>10</v>
      </c>
      <c r="AP23" s="18">
        <v>10</v>
      </c>
      <c r="AQ23" s="18">
        <v>0</v>
      </c>
      <c r="AR23" s="18">
        <v>8</v>
      </c>
      <c r="AS23" s="18">
        <v>10</v>
      </c>
      <c r="AT23" s="19">
        <v>2</v>
      </c>
      <c r="AU23" s="240">
        <v>110</v>
      </c>
      <c r="AV23" s="4">
        <v>343</v>
      </c>
      <c r="AW23" s="435"/>
    </row>
    <row r="24" spans="1:49">
      <c r="A24" s="234">
        <v>40</v>
      </c>
      <c r="B24" s="257" t="s">
        <v>482</v>
      </c>
      <c r="C24" s="11">
        <v>6</v>
      </c>
      <c r="D24" s="18">
        <v>10</v>
      </c>
      <c r="E24" s="18">
        <v>10</v>
      </c>
      <c r="F24" s="239">
        <v>3</v>
      </c>
      <c r="G24" s="18">
        <v>10</v>
      </c>
      <c r="H24" s="18">
        <v>10</v>
      </c>
      <c r="I24" s="18">
        <v>10</v>
      </c>
      <c r="J24" s="18">
        <v>0</v>
      </c>
      <c r="K24" s="239">
        <v>10</v>
      </c>
      <c r="L24" s="19">
        <v>10</v>
      </c>
      <c r="M24" s="251">
        <v>79</v>
      </c>
      <c r="N24" s="11">
        <v>10</v>
      </c>
      <c r="O24" s="18">
        <v>10</v>
      </c>
      <c r="P24" s="18">
        <v>10</v>
      </c>
      <c r="Q24" s="18">
        <v>5</v>
      </c>
      <c r="R24" s="18">
        <v>6</v>
      </c>
      <c r="S24" s="18">
        <v>10</v>
      </c>
      <c r="T24" s="18">
        <v>10</v>
      </c>
      <c r="U24" s="18">
        <v>10</v>
      </c>
      <c r="V24" s="19">
        <v>10</v>
      </c>
      <c r="W24" s="250">
        <v>81</v>
      </c>
      <c r="X24" s="11">
        <v>10</v>
      </c>
      <c r="Y24" s="18">
        <v>6</v>
      </c>
      <c r="Z24" s="18">
        <v>0</v>
      </c>
      <c r="AA24" s="18">
        <v>10</v>
      </c>
      <c r="AB24" s="18">
        <v>10</v>
      </c>
      <c r="AC24" s="18">
        <v>10</v>
      </c>
      <c r="AD24" s="18">
        <v>10</v>
      </c>
      <c r="AE24" s="18">
        <v>10</v>
      </c>
      <c r="AF24" s="19">
        <v>2</v>
      </c>
      <c r="AG24" s="248">
        <v>68</v>
      </c>
      <c r="AH24" s="11">
        <v>10</v>
      </c>
      <c r="AI24" s="18">
        <v>10</v>
      </c>
      <c r="AJ24" s="18">
        <v>10</v>
      </c>
      <c r="AK24" s="18">
        <v>10</v>
      </c>
      <c r="AL24" s="18">
        <v>10</v>
      </c>
      <c r="AM24" s="18">
        <v>10</v>
      </c>
      <c r="AN24" s="18">
        <v>10</v>
      </c>
      <c r="AO24" s="18">
        <v>10</v>
      </c>
      <c r="AP24" s="18">
        <v>10</v>
      </c>
      <c r="AQ24" s="18">
        <v>6</v>
      </c>
      <c r="AR24" s="18">
        <v>6</v>
      </c>
      <c r="AS24" s="18">
        <v>10</v>
      </c>
      <c r="AT24" s="19">
        <v>2</v>
      </c>
      <c r="AU24" s="240">
        <v>114</v>
      </c>
      <c r="AV24" s="4">
        <v>342</v>
      </c>
      <c r="AW24" s="435"/>
    </row>
    <row r="25" spans="1:49">
      <c r="A25" s="234">
        <v>41</v>
      </c>
      <c r="B25" s="257" t="s">
        <v>483</v>
      </c>
      <c r="C25" s="11">
        <v>6</v>
      </c>
      <c r="D25" s="18">
        <v>10</v>
      </c>
      <c r="E25" s="18">
        <v>10</v>
      </c>
      <c r="F25" s="239">
        <v>5</v>
      </c>
      <c r="G25" s="18">
        <v>10</v>
      </c>
      <c r="H25" s="18">
        <v>10</v>
      </c>
      <c r="I25" s="18">
        <v>0</v>
      </c>
      <c r="J25" s="18">
        <v>6</v>
      </c>
      <c r="K25" s="239">
        <v>10</v>
      </c>
      <c r="L25" s="19">
        <v>10</v>
      </c>
      <c r="M25" s="251">
        <v>77</v>
      </c>
      <c r="N25" s="11">
        <v>10</v>
      </c>
      <c r="O25" s="18">
        <v>10</v>
      </c>
      <c r="P25" s="18">
        <v>10</v>
      </c>
      <c r="Q25" s="18">
        <v>10</v>
      </c>
      <c r="R25" s="18">
        <v>6</v>
      </c>
      <c r="S25" s="18">
        <v>6</v>
      </c>
      <c r="T25" s="18">
        <v>10</v>
      </c>
      <c r="U25" s="18">
        <v>10</v>
      </c>
      <c r="V25" s="19">
        <v>10</v>
      </c>
      <c r="W25" s="250">
        <v>82</v>
      </c>
      <c r="X25" s="11">
        <v>10</v>
      </c>
      <c r="Y25" s="18">
        <v>6</v>
      </c>
      <c r="Z25" s="18">
        <v>6</v>
      </c>
      <c r="AA25" s="18">
        <v>10</v>
      </c>
      <c r="AB25" s="18">
        <v>10</v>
      </c>
      <c r="AC25" s="18">
        <v>10</v>
      </c>
      <c r="AD25" s="18">
        <v>10</v>
      </c>
      <c r="AE25" s="18">
        <v>10</v>
      </c>
      <c r="AF25" s="19">
        <v>10</v>
      </c>
      <c r="AG25" s="248">
        <v>82</v>
      </c>
      <c r="AH25" s="11">
        <v>0</v>
      </c>
      <c r="AI25" s="18">
        <v>0</v>
      </c>
      <c r="AJ25" s="18">
        <v>0</v>
      </c>
      <c r="AK25" s="18">
        <v>0</v>
      </c>
      <c r="AL25" s="18">
        <v>0</v>
      </c>
      <c r="AM25" s="18">
        <v>0</v>
      </c>
      <c r="AN25" s="18">
        <v>10</v>
      </c>
      <c r="AO25" s="18">
        <v>10</v>
      </c>
      <c r="AP25" s="18">
        <v>10</v>
      </c>
      <c r="AQ25" s="18">
        <v>0</v>
      </c>
      <c r="AR25" s="18">
        <v>0</v>
      </c>
      <c r="AS25" s="18">
        <v>0</v>
      </c>
      <c r="AT25" s="19">
        <v>2</v>
      </c>
      <c r="AU25" s="240">
        <v>32</v>
      </c>
      <c r="AV25" s="4">
        <v>273</v>
      </c>
      <c r="AW25" s="435"/>
    </row>
    <row r="26" spans="1:49">
      <c r="A26" s="234">
        <v>42</v>
      </c>
      <c r="B26" s="257" t="s">
        <v>484</v>
      </c>
      <c r="C26" s="11">
        <v>8</v>
      </c>
      <c r="D26" s="18">
        <v>10</v>
      </c>
      <c r="E26" s="18">
        <v>10</v>
      </c>
      <c r="F26" s="239">
        <v>10</v>
      </c>
      <c r="G26" s="18">
        <v>10</v>
      </c>
      <c r="H26" s="18">
        <v>10</v>
      </c>
      <c r="I26" s="18">
        <v>0</v>
      </c>
      <c r="J26" s="18">
        <v>0</v>
      </c>
      <c r="K26" s="239">
        <v>0</v>
      </c>
      <c r="L26" s="19">
        <v>10</v>
      </c>
      <c r="M26" s="251">
        <v>68</v>
      </c>
      <c r="N26" s="11">
        <v>10</v>
      </c>
      <c r="O26" s="18">
        <v>10</v>
      </c>
      <c r="P26" s="18">
        <v>10</v>
      </c>
      <c r="Q26" s="18">
        <v>10</v>
      </c>
      <c r="R26" s="18">
        <v>6</v>
      </c>
      <c r="S26" s="18">
        <v>6</v>
      </c>
      <c r="T26" s="18">
        <v>10</v>
      </c>
      <c r="U26" s="18">
        <v>10</v>
      </c>
      <c r="V26" s="19">
        <v>10</v>
      </c>
      <c r="W26" s="250">
        <v>82</v>
      </c>
      <c r="X26" s="11" t="s">
        <v>191</v>
      </c>
      <c r="Y26" s="18" t="s">
        <v>191</v>
      </c>
      <c r="Z26" s="18" t="s">
        <v>191</v>
      </c>
      <c r="AA26" s="18" t="s">
        <v>191</v>
      </c>
      <c r="AB26" s="18" t="s">
        <v>191</v>
      </c>
      <c r="AC26" s="18" t="s">
        <v>191</v>
      </c>
      <c r="AD26" s="18" t="s">
        <v>191</v>
      </c>
      <c r="AE26" s="18" t="s">
        <v>191</v>
      </c>
      <c r="AF26" s="19">
        <v>0</v>
      </c>
      <c r="AG26" s="248">
        <v>0</v>
      </c>
      <c r="AH26" s="11">
        <v>10</v>
      </c>
      <c r="AI26" s="18">
        <v>10</v>
      </c>
      <c r="AJ26" s="18">
        <v>6</v>
      </c>
      <c r="AK26" s="18">
        <v>10</v>
      </c>
      <c r="AL26" s="18">
        <v>10</v>
      </c>
      <c r="AM26" s="18">
        <v>10</v>
      </c>
      <c r="AN26" s="18">
        <v>10</v>
      </c>
      <c r="AO26" s="18">
        <v>10</v>
      </c>
      <c r="AP26" s="18">
        <v>10</v>
      </c>
      <c r="AQ26" s="18">
        <v>8</v>
      </c>
      <c r="AR26" s="18">
        <v>8</v>
      </c>
      <c r="AS26" s="18">
        <v>10</v>
      </c>
      <c r="AT26" s="19">
        <v>8</v>
      </c>
      <c r="AU26" s="240">
        <v>120</v>
      </c>
      <c r="AV26" s="4">
        <v>270</v>
      </c>
      <c r="AW26" s="435"/>
    </row>
    <row r="27" spans="1:49">
      <c r="A27" s="234">
        <v>43</v>
      </c>
      <c r="B27" s="257" t="s">
        <v>485</v>
      </c>
      <c r="C27" s="11">
        <v>6</v>
      </c>
      <c r="D27" s="18">
        <v>10</v>
      </c>
      <c r="E27" s="18">
        <v>10</v>
      </c>
      <c r="F27" s="239">
        <v>10</v>
      </c>
      <c r="G27" s="18">
        <v>10</v>
      </c>
      <c r="H27" s="18">
        <v>6</v>
      </c>
      <c r="I27" s="18">
        <v>10</v>
      </c>
      <c r="J27" s="18">
        <v>10</v>
      </c>
      <c r="K27" s="239">
        <v>10</v>
      </c>
      <c r="L27" s="19">
        <v>10</v>
      </c>
      <c r="M27" s="251">
        <v>92</v>
      </c>
      <c r="N27" s="11">
        <v>10</v>
      </c>
      <c r="O27" s="18">
        <v>10</v>
      </c>
      <c r="P27" s="18">
        <v>10</v>
      </c>
      <c r="Q27" s="18">
        <v>10</v>
      </c>
      <c r="R27" s="18">
        <v>6</v>
      </c>
      <c r="S27" s="18">
        <v>10</v>
      </c>
      <c r="T27" s="18">
        <v>10</v>
      </c>
      <c r="U27" s="18">
        <v>10</v>
      </c>
      <c r="V27" s="19">
        <v>10</v>
      </c>
      <c r="W27" s="250">
        <v>86</v>
      </c>
      <c r="X27" s="11">
        <v>0</v>
      </c>
      <c r="Y27" s="18">
        <v>10</v>
      </c>
      <c r="Z27" s="18">
        <v>10</v>
      </c>
      <c r="AA27" s="18">
        <v>0</v>
      </c>
      <c r="AB27" s="18">
        <v>10</v>
      </c>
      <c r="AC27" s="18">
        <v>10</v>
      </c>
      <c r="AD27" s="18">
        <v>10</v>
      </c>
      <c r="AE27" s="18">
        <v>10</v>
      </c>
      <c r="AF27" s="19">
        <v>10</v>
      </c>
      <c r="AG27" s="248">
        <v>70</v>
      </c>
      <c r="AH27" s="11">
        <v>0</v>
      </c>
      <c r="AI27" s="18">
        <v>0</v>
      </c>
      <c r="AJ27" s="18">
        <v>0</v>
      </c>
      <c r="AK27" s="18">
        <v>0</v>
      </c>
      <c r="AL27" s="18">
        <v>0</v>
      </c>
      <c r="AM27" s="18">
        <v>0</v>
      </c>
      <c r="AN27" s="18">
        <v>10</v>
      </c>
      <c r="AO27" s="18">
        <v>10</v>
      </c>
      <c r="AP27" s="18">
        <v>10</v>
      </c>
      <c r="AQ27" s="18">
        <v>0</v>
      </c>
      <c r="AR27" s="18">
        <v>0</v>
      </c>
      <c r="AS27" s="18">
        <v>0</v>
      </c>
      <c r="AT27" s="19">
        <v>2</v>
      </c>
      <c r="AU27" s="240">
        <v>32</v>
      </c>
      <c r="AV27" s="4">
        <v>280</v>
      </c>
      <c r="AW27" s="435"/>
    </row>
    <row r="28" spans="1:49">
      <c r="A28" s="234">
        <v>44</v>
      </c>
      <c r="B28" s="257" t="s">
        <v>426</v>
      </c>
      <c r="C28" s="11">
        <v>6</v>
      </c>
      <c r="D28" s="18">
        <v>10</v>
      </c>
      <c r="E28" s="18">
        <v>0</v>
      </c>
      <c r="F28" s="239">
        <v>0</v>
      </c>
      <c r="G28" s="18">
        <v>10</v>
      </c>
      <c r="H28" s="18">
        <v>6</v>
      </c>
      <c r="I28" s="18">
        <v>0</v>
      </c>
      <c r="J28" s="18">
        <v>10</v>
      </c>
      <c r="K28" s="239">
        <v>10</v>
      </c>
      <c r="L28" s="19">
        <v>10</v>
      </c>
      <c r="M28" s="251">
        <v>62</v>
      </c>
      <c r="N28" s="11">
        <v>10</v>
      </c>
      <c r="O28" s="18">
        <v>10</v>
      </c>
      <c r="P28" s="18">
        <v>10</v>
      </c>
      <c r="Q28" s="18">
        <v>10</v>
      </c>
      <c r="R28" s="18">
        <v>6</v>
      </c>
      <c r="S28" s="18">
        <v>10</v>
      </c>
      <c r="T28" s="18">
        <v>10</v>
      </c>
      <c r="U28" s="18">
        <v>10</v>
      </c>
      <c r="V28" s="19">
        <v>6</v>
      </c>
      <c r="W28" s="250">
        <v>82</v>
      </c>
      <c r="X28" s="11">
        <v>10</v>
      </c>
      <c r="Y28" s="18">
        <v>0</v>
      </c>
      <c r="Z28" s="18">
        <v>6</v>
      </c>
      <c r="AA28" s="18">
        <v>10</v>
      </c>
      <c r="AB28" s="18">
        <v>10</v>
      </c>
      <c r="AC28" s="18">
        <v>10</v>
      </c>
      <c r="AD28" s="18">
        <v>10</v>
      </c>
      <c r="AE28" s="18">
        <v>10</v>
      </c>
      <c r="AF28" s="19">
        <v>10</v>
      </c>
      <c r="AG28" s="248">
        <v>76</v>
      </c>
      <c r="AH28" s="11">
        <v>10</v>
      </c>
      <c r="AI28" s="18">
        <v>10</v>
      </c>
      <c r="AJ28" s="18">
        <v>10</v>
      </c>
      <c r="AK28" s="18">
        <v>10</v>
      </c>
      <c r="AL28" s="18">
        <v>10</v>
      </c>
      <c r="AM28" s="18">
        <v>10</v>
      </c>
      <c r="AN28" s="18">
        <v>10</v>
      </c>
      <c r="AO28" s="18">
        <v>10</v>
      </c>
      <c r="AP28" s="18">
        <v>10</v>
      </c>
      <c r="AQ28" s="18">
        <v>6</v>
      </c>
      <c r="AR28" s="18">
        <v>10</v>
      </c>
      <c r="AS28" s="18">
        <v>10</v>
      </c>
      <c r="AT28" s="19">
        <v>10</v>
      </c>
      <c r="AU28" s="240">
        <v>126</v>
      </c>
      <c r="AV28" s="4">
        <v>346</v>
      </c>
      <c r="AW28" s="435"/>
    </row>
    <row r="29" spans="1:49">
      <c r="A29" s="234">
        <v>45</v>
      </c>
      <c r="B29" s="257" t="s">
        <v>342</v>
      </c>
      <c r="C29" s="11">
        <v>6</v>
      </c>
      <c r="D29" s="18">
        <v>10</v>
      </c>
      <c r="E29" s="18">
        <v>0</v>
      </c>
      <c r="F29" s="239">
        <v>0</v>
      </c>
      <c r="G29" s="18">
        <v>10</v>
      </c>
      <c r="H29" s="18">
        <v>10</v>
      </c>
      <c r="I29" s="18">
        <v>0</v>
      </c>
      <c r="J29" s="18">
        <v>6</v>
      </c>
      <c r="K29" s="239">
        <v>10</v>
      </c>
      <c r="L29" s="19">
        <v>10</v>
      </c>
      <c r="M29" s="251">
        <v>62</v>
      </c>
      <c r="N29" s="11">
        <v>10</v>
      </c>
      <c r="O29" s="18">
        <v>10</v>
      </c>
      <c r="P29" s="18">
        <v>10</v>
      </c>
      <c r="Q29" s="18">
        <v>10</v>
      </c>
      <c r="R29" s="18">
        <v>6</v>
      </c>
      <c r="S29" s="18">
        <v>6</v>
      </c>
      <c r="T29" s="18">
        <v>10</v>
      </c>
      <c r="U29" s="18">
        <v>10</v>
      </c>
      <c r="V29" s="19">
        <v>10</v>
      </c>
      <c r="W29" s="250">
        <v>82</v>
      </c>
      <c r="X29" s="11">
        <v>10</v>
      </c>
      <c r="Y29" s="18">
        <v>10</v>
      </c>
      <c r="Z29" s="18">
        <v>10</v>
      </c>
      <c r="AA29" s="18">
        <v>10</v>
      </c>
      <c r="AB29" s="18">
        <v>10</v>
      </c>
      <c r="AC29" s="18">
        <v>10</v>
      </c>
      <c r="AD29" s="18">
        <v>10</v>
      </c>
      <c r="AE29" s="18">
        <v>10</v>
      </c>
      <c r="AF29" s="19">
        <v>10</v>
      </c>
      <c r="AG29" s="248">
        <v>90</v>
      </c>
      <c r="AH29" s="11">
        <v>10</v>
      </c>
      <c r="AI29" s="18">
        <v>10</v>
      </c>
      <c r="AJ29" s="18">
        <v>10</v>
      </c>
      <c r="AK29" s="18">
        <v>10</v>
      </c>
      <c r="AL29" s="18">
        <v>10</v>
      </c>
      <c r="AM29" s="18">
        <v>10</v>
      </c>
      <c r="AN29" s="18">
        <v>10</v>
      </c>
      <c r="AO29" s="18">
        <v>10</v>
      </c>
      <c r="AP29" s="18">
        <v>10</v>
      </c>
      <c r="AQ29" s="18">
        <v>0</v>
      </c>
      <c r="AR29" s="18">
        <v>8</v>
      </c>
      <c r="AS29" s="18">
        <v>10</v>
      </c>
      <c r="AT29" s="19">
        <v>6</v>
      </c>
      <c r="AU29" s="240">
        <v>114</v>
      </c>
      <c r="AV29" s="4">
        <v>348</v>
      </c>
      <c r="AW29" s="435"/>
    </row>
    <row r="30" spans="1:49">
      <c r="A30" s="234">
        <v>46</v>
      </c>
      <c r="B30" s="257" t="s">
        <v>343</v>
      </c>
      <c r="C30" s="11">
        <v>8</v>
      </c>
      <c r="D30" s="18">
        <v>10</v>
      </c>
      <c r="E30" s="18">
        <v>0</v>
      </c>
      <c r="F30" s="239">
        <v>0</v>
      </c>
      <c r="G30" s="18">
        <v>10</v>
      </c>
      <c r="H30" s="18">
        <v>8</v>
      </c>
      <c r="I30" s="18">
        <v>0</v>
      </c>
      <c r="J30" s="18">
        <v>0</v>
      </c>
      <c r="K30" s="239">
        <v>10</v>
      </c>
      <c r="L30" s="19">
        <v>10</v>
      </c>
      <c r="M30" s="251">
        <v>56</v>
      </c>
      <c r="N30" s="11">
        <v>10</v>
      </c>
      <c r="O30" s="18">
        <v>10</v>
      </c>
      <c r="P30" s="18">
        <v>10</v>
      </c>
      <c r="Q30" s="18">
        <v>10</v>
      </c>
      <c r="R30" s="18">
        <v>10</v>
      </c>
      <c r="S30" s="18">
        <v>10</v>
      </c>
      <c r="T30" s="18">
        <v>10</v>
      </c>
      <c r="U30" s="18">
        <v>10</v>
      </c>
      <c r="V30" s="19">
        <v>6</v>
      </c>
      <c r="W30" s="250">
        <v>86</v>
      </c>
      <c r="X30" s="11">
        <v>0</v>
      </c>
      <c r="Y30" s="18">
        <v>6</v>
      </c>
      <c r="Z30" s="18">
        <v>0</v>
      </c>
      <c r="AA30" s="18">
        <v>0</v>
      </c>
      <c r="AB30" s="18">
        <v>10</v>
      </c>
      <c r="AC30" s="18">
        <v>10</v>
      </c>
      <c r="AD30" s="18">
        <v>10</v>
      </c>
      <c r="AE30" s="18">
        <v>10</v>
      </c>
      <c r="AF30" s="19">
        <v>10</v>
      </c>
      <c r="AG30" s="248">
        <v>56</v>
      </c>
      <c r="AH30" s="11">
        <v>10</v>
      </c>
      <c r="AI30" s="18">
        <v>0</v>
      </c>
      <c r="AJ30" s="18">
        <v>0</v>
      </c>
      <c r="AK30" s="18">
        <v>0</v>
      </c>
      <c r="AL30" s="18">
        <v>0</v>
      </c>
      <c r="AM30" s="18">
        <v>0</v>
      </c>
      <c r="AN30" s="18">
        <v>10</v>
      </c>
      <c r="AO30" s="18">
        <v>0</v>
      </c>
      <c r="AP30" s="18">
        <v>0</v>
      </c>
      <c r="AQ30" s="18">
        <v>0</v>
      </c>
      <c r="AR30" s="18">
        <v>0</v>
      </c>
      <c r="AS30" s="18">
        <v>0</v>
      </c>
      <c r="AT30" s="19">
        <v>2</v>
      </c>
      <c r="AU30" s="240">
        <v>22</v>
      </c>
      <c r="AV30" s="4">
        <v>220</v>
      </c>
      <c r="AW30" s="435"/>
    </row>
    <row r="31" spans="1:49">
      <c r="A31" s="234">
        <v>47</v>
      </c>
      <c r="B31" s="257" t="s">
        <v>344</v>
      </c>
      <c r="C31" s="11">
        <v>8</v>
      </c>
      <c r="D31" s="18">
        <v>10</v>
      </c>
      <c r="E31" s="18">
        <v>10</v>
      </c>
      <c r="F31" s="239">
        <v>3</v>
      </c>
      <c r="G31" s="18">
        <v>10</v>
      </c>
      <c r="H31" s="18">
        <v>10</v>
      </c>
      <c r="I31" s="18">
        <v>10</v>
      </c>
      <c r="J31" s="18">
        <v>10</v>
      </c>
      <c r="K31" s="239">
        <v>10</v>
      </c>
      <c r="L31" s="19">
        <v>10</v>
      </c>
      <c r="M31" s="251">
        <v>91</v>
      </c>
      <c r="N31" s="11">
        <v>10</v>
      </c>
      <c r="O31" s="18">
        <v>10</v>
      </c>
      <c r="P31" s="18">
        <v>10</v>
      </c>
      <c r="Q31" s="18">
        <v>10</v>
      </c>
      <c r="R31" s="18">
        <v>10</v>
      </c>
      <c r="S31" s="18">
        <v>10</v>
      </c>
      <c r="T31" s="18">
        <v>10</v>
      </c>
      <c r="U31" s="18">
        <v>10</v>
      </c>
      <c r="V31" s="19">
        <v>10</v>
      </c>
      <c r="W31" s="250">
        <v>90</v>
      </c>
      <c r="X31" s="11">
        <v>0</v>
      </c>
      <c r="Y31" s="18">
        <v>6</v>
      </c>
      <c r="Z31" s="18">
        <v>0</v>
      </c>
      <c r="AA31" s="18">
        <v>10</v>
      </c>
      <c r="AB31" s="18">
        <v>10</v>
      </c>
      <c r="AC31" s="18">
        <v>10</v>
      </c>
      <c r="AD31" s="18">
        <v>10</v>
      </c>
      <c r="AE31" s="18">
        <v>10</v>
      </c>
      <c r="AF31" s="19">
        <v>10</v>
      </c>
      <c r="AG31" s="248">
        <v>66</v>
      </c>
      <c r="AH31" s="11">
        <v>0</v>
      </c>
      <c r="AI31" s="18">
        <v>0</v>
      </c>
      <c r="AJ31" s="18">
        <v>6</v>
      </c>
      <c r="AK31" s="18">
        <v>10</v>
      </c>
      <c r="AL31" s="18">
        <v>10</v>
      </c>
      <c r="AM31" s="18">
        <v>10</v>
      </c>
      <c r="AN31" s="18">
        <v>10</v>
      </c>
      <c r="AO31" s="18">
        <v>10</v>
      </c>
      <c r="AP31" s="18">
        <v>10</v>
      </c>
      <c r="AQ31" s="18">
        <v>0</v>
      </c>
      <c r="AR31" s="18">
        <v>8</v>
      </c>
      <c r="AS31" s="18">
        <v>0</v>
      </c>
      <c r="AT31" s="19">
        <v>2</v>
      </c>
      <c r="AU31" s="240">
        <v>76</v>
      </c>
      <c r="AV31" s="4">
        <v>323</v>
      </c>
      <c r="AW31" s="435"/>
    </row>
    <row r="32" spans="1:49">
      <c r="A32" s="234">
        <v>48</v>
      </c>
      <c r="B32" s="257" t="s">
        <v>172</v>
      </c>
      <c r="C32" s="11">
        <v>6</v>
      </c>
      <c r="D32" s="18">
        <v>10</v>
      </c>
      <c r="E32" s="18">
        <v>0</v>
      </c>
      <c r="F32" s="239">
        <v>0</v>
      </c>
      <c r="G32" s="18">
        <v>10</v>
      </c>
      <c r="H32" s="18">
        <v>10</v>
      </c>
      <c r="I32" s="18">
        <v>10</v>
      </c>
      <c r="J32" s="18">
        <v>0</v>
      </c>
      <c r="K32" s="239">
        <v>10</v>
      </c>
      <c r="L32" s="19">
        <v>10</v>
      </c>
      <c r="M32" s="251">
        <v>66</v>
      </c>
      <c r="N32" s="11">
        <v>10</v>
      </c>
      <c r="O32" s="18">
        <v>10</v>
      </c>
      <c r="P32" s="18">
        <v>10</v>
      </c>
      <c r="Q32" s="18">
        <v>5</v>
      </c>
      <c r="R32" s="18">
        <v>10</v>
      </c>
      <c r="S32" s="18">
        <v>10</v>
      </c>
      <c r="T32" s="18">
        <v>10</v>
      </c>
      <c r="U32" s="18">
        <v>0</v>
      </c>
      <c r="V32" s="19">
        <v>10</v>
      </c>
      <c r="W32" s="250">
        <v>75</v>
      </c>
      <c r="X32" s="11">
        <v>0</v>
      </c>
      <c r="Y32" s="18">
        <v>6</v>
      </c>
      <c r="Z32" s="18">
        <v>0</v>
      </c>
      <c r="AA32" s="18">
        <v>0</v>
      </c>
      <c r="AB32" s="18">
        <v>0</v>
      </c>
      <c r="AC32" s="18">
        <v>0</v>
      </c>
      <c r="AD32" s="18">
        <v>0</v>
      </c>
      <c r="AE32" s="18">
        <v>10</v>
      </c>
      <c r="AF32" s="19">
        <v>10</v>
      </c>
      <c r="AG32" s="248">
        <v>26</v>
      </c>
      <c r="AH32" s="11">
        <v>0</v>
      </c>
      <c r="AI32" s="18">
        <v>10</v>
      </c>
      <c r="AJ32" s="18">
        <v>10</v>
      </c>
      <c r="AK32" s="18">
        <v>0</v>
      </c>
      <c r="AL32" s="18">
        <v>0</v>
      </c>
      <c r="AM32" s="18">
        <v>0</v>
      </c>
      <c r="AN32" s="18">
        <v>0</v>
      </c>
      <c r="AO32" s="18">
        <v>0</v>
      </c>
      <c r="AP32" s="18">
        <v>0</v>
      </c>
      <c r="AQ32" s="18">
        <v>0</v>
      </c>
      <c r="AR32" s="18">
        <v>8</v>
      </c>
      <c r="AS32" s="18">
        <v>10</v>
      </c>
      <c r="AT32" s="19">
        <v>8</v>
      </c>
      <c r="AU32" s="240">
        <v>46</v>
      </c>
      <c r="AV32" s="4">
        <v>213</v>
      </c>
      <c r="AW32" s="435"/>
    </row>
    <row r="33" spans="1:49">
      <c r="A33" s="234">
        <v>49</v>
      </c>
      <c r="B33" s="257" t="s">
        <v>486</v>
      </c>
      <c r="C33" s="11">
        <v>6</v>
      </c>
      <c r="D33" s="18">
        <v>0</v>
      </c>
      <c r="E33" s="18">
        <v>10</v>
      </c>
      <c r="F33" s="239">
        <v>3</v>
      </c>
      <c r="G33" s="18">
        <v>0</v>
      </c>
      <c r="H33" s="18">
        <v>6</v>
      </c>
      <c r="I33" s="18">
        <v>0</v>
      </c>
      <c r="J33" s="18">
        <v>0</v>
      </c>
      <c r="K33" s="239">
        <v>0</v>
      </c>
      <c r="L33" s="19">
        <v>0</v>
      </c>
      <c r="M33" s="251">
        <v>25</v>
      </c>
      <c r="N33" s="11">
        <v>0</v>
      </c>
      <c r="O33" s="18">
        <v>0</v>
      </c>
      <c r="P33" s="18">
        <v>0</v>
      </c>
      <c r="Q33" s="18">
        <v>5</v>
      </c>
      <c r="R33" s="18">
        <v>0</v>
      </c>
      <c r="S33" s="18">
        <v>6</v>
      </c>
      <c r="T33" s="18">
        <v>6</v>
      </c>
      <c r="U33" s="18">
        <v>0</v>
      </c>
      <c r="V33" s="19">
        <v>0</v>
      </c>
      <c r="W33" s="250">
        <v>17</v>
      </c>
      <c r="X33" s="11" t="s">
        <v>191</v>
      </c>
      <c r="Y33" s="18" t="s">
        <v>191</v>
      </c>
      <c r="Z33" s="18" t="s">
        <v>191</v>
      </c>
      <c r="AA33" s="18" t="s">
        <v>191</v>
      </c>
      <c r="AB33" s="18" t="s">
        <v>191</v>
      </c>
      <c r="AC33" s="18" t="s">
        <v>191</v>
      </c>
      <c r="AD33" s="18" t="s">
        <v>191</v>
      </c>
      <c r="AE33" s="18" t="s">
        <v>191</v>
      </c>
      <c r="AF33" s="19">
        <v>0</v>
      </c>
      <c r="AG33" s="248">
        <v>0</v>
      </c>
      <c r="AH33" s="11" t="s">
        <v>191</v>
      </c>
      <c r="AI33" s="18" t="s">
        <v>191</v>
      </c>
      <c r="AJ33" s="18" t="s">
        <v>191</v>
      </c>
      <c r="AK33" s="18" t="s">
        <v>191</v>
      </c>
      <c r="AL33" s="18" t="s">
        <v>191</v>
      </c>
      <c r="AM33" s="18" t="s">
        <v>191</v>
      </c>
      <c r="AN33" s="18" t="s">
        <v>191</v>
      </c>
      <c r="AO33" s="18">
        <v>0</v>
      </c>
      <c r="AP33" s="18">
        <v>0</v>
      </c>
      <c r="AQ33" s="18">
        <v>0</v>
      </c>
      <c r="AR33" s="18" t="s">
        <v>191</v>
      </c>
      <c r="AS33" s="18" t="s">
        <v>191</v>
      </c>
      <c r="AT33" s="19">
        <v>0</v>
      </c>
      <c r="AU33" s="240">
        <v>0</v>
      </c>
      <c r="AV33" s="4">
        <v>42</v>
      </c>
      <c r="AW33" s="435"/>
    </row>
    <row r="34" spans="1:49">
      <c r="A34" s="234">
        <v>50</v>
      </c>
      <c r="B34" s="257" t="s">
        <v>461</v>
      </c>
      <c r="C34" s="11">
        <v>8</v>
      </c>
      <c r="D34" s="18">
        <v>10</v>
      </c>
      <c r="E34" s="18">
        <v>0</v>
      </c>
      <c r="F34" s="239">
        <v>0</v>
      </c>
      <c r="G34" s="18">
        <v>4</v>
      </c>
      <c r="H34" s="18">
        <v>6</v>
      </c>
      <c r="I34" s="18">
        <v>0</v>
      </c>
      <c r="J34" s="18">
        <v>0</v>
      </c>
      <c r="K34" s="239">
        <v>10</v>
      </c>
      <c r="L34" s="19">
        <v>10</v>
      </c>
      <c r="M34" s="251">
        <v>48</v>
      </c>
      <c r="N34" s="11">
        <v>10</v>
      </c>
      <c r="O34" s="18">
        <v>10</v>
      </c>
      <c r="P34" s="18">
        <v>0</v>
      </c>
      <c r="Q34" s="18">
        <v>10</v>
      </c>
      <c r="R34" s="18">
        <v>4</v>
      </c>
      <c r="S34" s="18">
        <v>10</v>
      </c>
      <c r="T34" s="18">
        <v>10</v>
      </c>
      <c r="U34" s="18">
        <v>10</v>
      </c>
      <c r="V34" s="19">
        <v>6</v>
      </c>
      <c r="W34" s="250">
        <v>70</v>
      </c>
      <c r="X34" s="11">
        <v>0</v>
      </c>
      <c r="Y34" s="18">
        <v>6</v>
      </c>
      <c r="Z34" s="18">
        <v>6</v>
      </c>
      <c r="AA34" s="18">
        <v>0</v>
      </c>
      <c r="AB34" s="18">
        <v>10</v>
      </c>
      <c r="AC34" s="18">
        <v>10</v>
      </c>
      <c r="AD34" s="18">
        <v>10</v>
      </c>
      <c r="AE34" s="18">
        <v>10</v>
      </c>
      <c r="AF34" s="19">
        <v>6</v>
      </c>
      <c r="AG34" s="248">
        <v>58</v>
      </c>
      <c r="AH34" s="11">
        <v>0</v>
      </c>
      <c r="AI34" s="18">
        <v>0</v>
      </c>
      <c r="AJ34" s="18">
        <v>0</v>
      </c>
      <c r="AK34" s="18">
        <v>0</v>
      </c>
      <c r="AL34" s="18">
        <v>10</v>
      </c>
      <c r="AM34" s="18">
        <v>10</v>
      </c>
      <c r="AN34" s="18">
        <v>10</v>
      </c>
      <c r="AO34" s="18">
        <v>10</v>
      </c>
      <c r="AP34" s="18">
        <v>10</v>
      </c>
      <c r="AQ34" s="18">
        <v>0</v>
      </c>
      <c r="AR34" s="18">
        <v>0</v>
      </c>
      <c r="AS34" s="18">
        <v>10</v>
      </c>
      <c r="AT34" s="19">
        <v>2</v>
      </c>
      <c r="AU34" s="240">
        <v>62</v>
      </c>
      <c r="AV34" s="4">
        <v>238</v>
      </c>
      <c r="AW34" s="435"/>
    </row>
    <row r="35" spans="1:49">
      <c r="A35" s="234">
        <v>51</v>
      </c>
      <c r="B35" s="257" t="s">
        <v>487</v>
      </c>
      <c r="C35" s="11">
        <v>6</v>
      </c>
      <c r="D35" s="18">
        <v>10</v>
      </c>
      <c r="E35" s="18">
        <v>10</v>
      </c>
      <c r="F35" s="239">
        <v>5</v>
      </c>
      <c r="G35" s="18">
        <v>10</v>
      </c>
      <c r="H35" s="18">
        <v>6</v>
      </c>
      <c r="I35" s="18">
        <v>0</v>
      </c>
      <c r="J35" s="18">
        <v>0</v>
      </c>
      <c r="K35" s="239">
        <v>6</v>
      </c>
      <c r="L35" s="19">
        <v>10</v>
      </c>
      <c r="M35" s="251">
        <v>63</v>
      </c>
      <c r="N35" s="11">
        <v>10</v>
      </c>
      <c r="O35" s="18">
        <v>10</v>
      </c>
      <c r="P35" s="18">
        <v>0</v>
      </c>
      <c r="Q35" s="18">
        <v>5</v>
      </c>
      <c r="R35" s="18">
        <v>4</v>
      </c>
      <c r="S35" s="18">
        <v>10</v>
      </c>
      <c r="T35" s="18">
        <v>10</v>
      </c>
      <c r="U35" s="18">
        <v>0</v>
      </c>
      <c r="V35" s="19">
        <v>10</v>
      </c>
      <c r="W35" s="250">
        <v>59</v>
      </c>
      <c r="X35" s="11" t="s">
        <v>191</v>
      </c>
      <c r="Y35" s="18" t="s">
        <v>191</v>
      </c>
      <c r="Z35" s="18" t="s">
        <v>191</v>
      </c>
      <c r="AA35" s="18" t="s">
        <v>191</v>
      </c>
      <c r="AB35" s="18" t="s">
        <v>191</v>
      </c>
      <c r="AC35" s="18" t="s">
        <v>191</v>
      </c>
      <c r="AD35" s="18" t="s">
        <v>191</v>
      </c>
      <c r="AE35" s="18" t="s">
        <v>191</v>
      </c>
      <c r="AF35" s="19">
        <v>0</v>
      </c>
      <c r="AG35" s="248">
        <v>0</v>
      </c>
      <c r="AH35" s="11">
        <v>10</v>
      </c>
      <c r="AI35" s="18">
        <v>10</v>
      </c>
      <c r="AJ35" s="18">
        <v>6</v>
      </c>
      <c r="AK35" s="18">
        <v>10</v>
      </c>
      <c r="AL35" s="18">
        <v>0</v>
      </c>
      <c r="AM35" s="18">
        <v>0</v>
      </c>
      <c r="AN35" s="18">
        <v>10</v>
      </c>
      <c r="AO35" s="18">
        <v>10</v>
      </c>
      <c r="AP35" s="18">
        <v>10</v>
      </c>
      <c r="AQ35" s="18">
        <v>6</v>
      </c>
      <c r="AR35" s="18">
        <v>8</v>
      </c>
      <c r="AS35" s="18">
        <v>0</v>
      </c>
      <c r="AT35" s="19">
        <v>2</v>
      </c>
      <c r="AU35" s="240">
        <v>82</v>
      </c>
      <c r="AV35" s="4">
        <v>204</v>
      </c>
      <c r="AW35" s="435"/>
    </row>
    <row r="36" spans="1:49">
      <c r="A36" s="234">
        <v>52</v>
      </c>
      <c r="B36" s="257" t="s">
        <v>488</v>
      </c>
      <c r="C36" s="11">
        <v>6</v>
      </c>
      <c r="D36" s="18">
        <v>10</v>
      </c>
      <c r="E36" s="18">
        <v>10</v>
      </c>
      <c r="F36" s="239">
        <v>8</v>
      </c>
      <c r="G36" s="18">
        <v>10</v>
      </c>
      <c r="H36" s="18">
        <v>10</v>
      </c>
      <c r="I36" s="18">
        <v>10</v>
      </c>
      <c r="J36" s="18">
        <v>0</v>
      </c>
      <c r="K36" s="239">
        <v>10</v>
      </c>
      <c r="L36" s="19">
        <v>10</v>
      </c>
      <c r="M36" s="251">
        <v>84</v>
      </c>
      <c r="N36" s="11">
        <v>10</v>
      </c>
      <c r="O36" s="18">
        <v>10</v>
      </c>
      <c r="P36" s="18">
        <v>10</v>
      </c>
      <c r="Q36" s="18">
        <v>5</v>
      </c>
      <c r="R36" s="18">
        <v>6</v>
      </c>
      <c r="S36" s="18">
        <v>10</v>
      </c>
      <c r="T36" s="18">
        <v>10</v>
      </c>
      <c r="U36" s="18">
        <v>10</v>
      </c>
      <c r="V36" s="19">
        <v>10</v>
      </c>
      <c r="W36" s="250">
        <v>81</v>
      </c>
      <c r="X36" s="11">
        <v>0</v>
      </c>
      <c r="Y36" s="18">
        <v>0</v>
      </c>
      <c r="Z36" s="18">
        <v>0</v>
      </c>
      <c r="AA36" s="18">
        <v>0</v>
      </c>
      <c r="AB36" s="18">
        <v>0</v>
      </c>
      <c r="AC36" s="18">
        <v>0</v>
      </c>
      <c r="AD36" s="18">
        <v>0</v>
      </c>
      <c r="AE36" s="18">
        <v>10</v>
      </c>
      <c r="AF36" s="19">
        <v>10</v>
      </c>
      <c r="AG36" s="248">
        <v>20</v>
      </c>
      <c r="AH36" s="11">
        <v>10</v>
      </c>
      <c r="AI36" s="18">
        <v>10</v>
      </c>
      <c r="AJ36" s="18">
        <v>10</v>
      </c>
      <c r="AK36" s="18">
        <v>10</v>
      </c>
      <c r="AL36" s="18">
        <v>10</v>
      </c>
      <c r="AM36" s="18">
        <v>10</v>
      </c>
      <c r="AN36" s="18">
        <v>10</v>
      </c>
      <c r="AO36" s="18">
        <v>10</v>
      </c>
      <c r="AP36" s="18">
        <v>10</v>
      </c>
      <c r="AQ36" s="18">
        <v>0</v>
      </c>
      <c r="AR36" s="18">
        <v>8</v>
      </c>
      <c r="AS36" s="18">
        <v>0</v>
      </c>
      <c r="AT36" s="19">
        <v>2</v>
      </c>
      <c r="AU36" s="240">
        <v>100</v>
      </c>
      <c r="AV36" s="4">
        <v>285</v>
      </c>
      <c r="AW36" s="435"/>
    </row>
    <row r="37" spans="1:49">
      <c r="A37" s="234">
        <v>53</v>
      </c>
      <c r="B37" s="257" t="s">
        <v>489</v>
      </c>
      <c r="C37" s="11">
        <v>8</v>
      </c>
      <c r="D37" s="18">
        <v>0</v>
      </c>
      <c r="E37" s="18">
        <v>10</v>
      </c>
      <c r="F37" s="239">
        <v>8</v>
      </c>
      <c r="G37" s="18">
        <v>10</v>
      </c>
      <c r="H37" s="18">
        <v>10</v>
      </c>
      <c r="I37" s="18">
        <v>0</v>
      </c>
      <c r="J37" s="18">
        <v>0</v>
      </c>
      <c r="K37" s="239">
        <v>10</v>
      </c>
      <c r="L37" s="19">
        <v>0</v>
      </c>
      <c r="M37" s="251">
        <v>56</v>
      </c>
      <c r="N37" s="11">
        <v>10</v>
      </c>
      <c r="O37" s="18">
        <v>0</v>
      </c>
      <c r="P37" s="18">
        <v>0</v>
      </c>
      <c r="Q37" s="18">
        <v>10</v>
      </c>
      <c r="R37" s="18">
        <v>6</v>
      </c>
      <c r="S37" s="18">
        <v>10</v>
      </c>
      <c r="T37" s="18">
        <v>10</v>
      </c>
      <c r="U37" s="18">
        <v>10</v>
      </c>
      <c r="V37" s="19">
        <v>6</v>
      </c>
      <c r="W37" s="250">
        <v>62</v>
      </c>
      <c r="X37" s="11">
        <v>0</v>
      </c>
      <c r="Y37" s="18">
        <v>6</v>
      </c>
      <c r="Z37" s="18">
        <v>0</v>
      </c>
      <c r="AA37" s="18">
        <v>0</v>
      </c>
      <c r="AB37" s="18">
        <v>10</v>
      </c>
      <c r="AC37" s="18">
        <v>10</v>
      </c>
      <c r="AD37" s="18">
        <v>10</v>
      </c>
      <c r="AE37" s="18">
        <v>10</v>
      </c>
      <c r="AF37" s="19">
        <v>3</v>
      </c>
      <c r="AG37" s="248">
        <v>49</v>
      </c>
      <c r="AH37" s="11">
        <v>0</v>
      </c>
      <c r="AI37" s="18">
        <v>10</v>
      </c>
      <c r="AJ37" s="18">
        <v>6</v>
      </c>
      <c r="AK37" s="18">
        <v>0</v>
      </c>
      <c r="AL37" s="18">
        <v>0</v>
      </c>
      <c r="AM37" s="18">
        <v>10</v>
      </c>
      <c r="AN37" s="18">
        <v>10</v>
      </c>
      <c r="AO37" s="18">
        <v>10</v>
      </c>
      <c r="AP37" s="18">
        <v>10</v>
      </c>
      <c r="AQ37" s="18">
        <v>0</v>
      </c>
      <c r="AR37" s="18">
        <v>0</v>
      </c>
      <c r="AS37" s="18">
        <v>0</v>
      </c>
      <c r="AT37" s="19">
        <v>2</v>
      </c>
      <c r="AU37" s="240">
        <v>58</v>
      </c>
      <c r="AV37" s="4">
        <v>225</v>
      </c>
      <c r="AW37" s="435"/>
    </row>
    <row r="38" spans="1:49">
      <c r="A38" s="234">
        <v>54</v>
      </c>
      <c r="B38" s="257" t="s">
        <v>85</v>
      </c>
      <c r="C38" s="11">
        <v>8</v>
      </c>
      <c r="D38" s="18">
        <v>10</v>
      </c>
      <c r="E38" s="18">
        <v>10</v>
      </c>
      <c r="F38" s="239">
        <v>0</v>
      </c>
      <c r="G38" s="18">
        <v>2</v>
      </c>
      <c r="H38" s="18">
        <v>0</v>
      </c>
      <c r="I38" s="18">
        <v>0</v>
      </c>
      <c r="J38" s="18">
        <v>6</v>
      </c>
      <c r="K38" s="239">
        <v>6</v>
      </c>
      <c r="L38" s="19">
        <v>0</v>
      </c>
      <c r="M38" s="251">
        <v>42</v>
      </c>
      <c r="N38" s="11">
        <v>0</v>
      </c>
      <c r="O38" s="18">
        <v>0</v>
      </c>
      <c r="P38" s="18">
        <v>0</v>
      </c>
      <c r="Q38" s="18">
        <v>5</v>
      </c>
      <c r="R38" s="18">
        <v>6</v>
      </c>
      <c r="S38" s="18">
        <v>6</v>
      </c>
      <c r="T38" s="18">
        <v>6</v>
      </c>
      <c r="U38" s="18">
        <v>0</v>
      </c>
      <c r="V38" s="19">
        <v>10</v>
      </c>
      <c r="W38" s="250">
        <v>33</v>
      </c>
      <c r="X38" s="11">
        <v>0</v>
      </c>
      <c r="Y38" s="18">
        <v>0</v>
      </c>
      <c r="Z38" s="18">
        <v>0</v>
      </c>
      <c r="AA38" s="18">
        <v>10</v>
      </c>
      <c r="AB38" s="18">
        <v>10</v>
      </c>
      <c r="AC38" s="18">
        <v>10</v>
      </c>
      <c r="AD38" s="18">
        <v>0</v>
      </c>
      <c r="AE38" s="18">
        <v>10</v>
      </c>
      <c r="AF38" s="19">
        <v>10</v>
      </c>
      <c r="AG38" s="248">
        <v>50</v>
      </c>
      <c r="AH38" s="11">
        <v>0</v>
      </c>
      <c r="AI38" s="18">
        <v>0</v>
      </c>
      <c r="AJ38" s="18">
        <v>0</v>
      </c>
      <c r="AK38" s="18">
        <v>0</v>
      </c>
      <c r="AL38" s="18">
        <v>0</v>
      </c>
      <c r="AM38" s="18">
        <v>0</v>
      </c>
      <c r="AN38" s="18">
        <v>0</v>
      </c>
      <c r="AO38" s="18">
        <v>0</v>
      </c>
      <c r="AP38" s="18">
        <v>0</v>
      </c>
      <c r="AQ38" s="18">
        <v>0</v>
      </c>
      <c r="AR38" s="18">
        <v>0</v>
      </c>
      <c r="AS38" s="18">
        <v>0</v>
      </c>
      <c r="AT38" s="19">
        <v>2</v>
      </c>
      <c r="AU38" s="240">
        <v>2</v>
      </c>
      <c r="AV38" s="4">
        <v>127</v>
      </c>
      <c r="AW38" s="435"/>
    </row>
    <row r="39" spans="1:49">
      <c r="A39" s="234">
        <v>55</v>
      </c>
      <c r="B39" s="257" t="s">
        <v>490</v>
      </c>
      <c r="C39" s="11">
        <v>8</v>
      </c>
      <c r="D39" s="18">
        <v>10</v>
      </c>
      <c r="E39" s="18">
        <v>10</v>
      </c>
      <c r="F39" s="239">
        <v>3</v>
      </c>
      <c r="G39" s="18">
        <v>10</v>
      </c>
      <c r="H39" s="18">
        <v>8</v>
      </c>
      <c r="I39" s="18">
        <v>10</v>
      </c>
      <c r="J39" s="18">
        <v>0</v>
      </c>
      <c r="K39" s="239">
        <v>10</v>
      </c>
      <c r="L39" s="19">
        <v>10</v>
      </c>
      <c r="M39" s="251">
        <v>79</v>
      </c>
      <c r="N39" s="11">
        <v>10</v>
      </c>
      <c r="O39" s="18">
        <v>10</v>
      </c>
      <c r="P39" s="18">
        <v>0</v>
      </c>
      <c r="Q39" s="18">
        <v>10</v>
      </c>
      <c r="R39" s="18">
        <v>10</v>
      </c>
      <c r="S39" s="18">
        <v>10</v>
      </c>
      <c r="T39" s="18">
        <v>10</v>
      </c>
      <c r="U39" s="18">
        <v>10</v>
      </c>
      <c r="V39" s="19">
        <v>6</v>
      </c>
      <c r="W39" s="250">
        <v>76</v>
      </c>
      <c r="X39" s="11">
        <v>10</v>
      </c>
      <c r="Y39" s="18">
        <v>6</v>
      </c>
      <c r="Z39" s="18">
        <v>6</v>
      </c>
      <c r="AA39" s="18">
        <v>0</v>
      </c>
      <c r="AB39" s="18">
        <v>10</v>
      </c>
      <c r="AC39" s="18">
        <v>10</v>
      </c>
      <c r="AD39" s="18">
        <v>10</v>
      </c>
      <c r="AE39" s="18">
        <v>10</v>
      </c>
      <c r="AF39" s="19">
        <v>3</v>
      </c>
      <c r="AG39" s="248">
        <v>65</v>
      </c>
      <c r="AH39" s="11">
        <v>10</v>
      </c>
      <c r="AI39" s="18">
        <v>10</v>
      </c>
      <c r="AJ39" s="18">
        <v>6</v>
      </c>
      <c r="AK39" s="18">
        <v>10</v>
      </c>
      <c r="AL39" s="18">
        <v>10</v>
      </c>
      <c r="AM39" s="18">
        <v>10</v>
      </c>
      <c r="AN39" s="18">
        <v>10</v>
      </c>
      <c r="AO39" s="18">
        <v>4</v>
      </c>
      <c r="AP39" s="18">
        <v>10</v>
      </c>
      <c r="AQ39" s="18">
        <v>8</v>
      </c>
      <c r="AR39" s="18">
        <v>8</v>
      </c>
      <c r="AS39" s="18">
        <v>10</v>
      </c>
      <c r="AT39" s="19">
        <v>10</v>
      </c>
      <c r="AU39" s="240">
        <v>116</v>
      </c>
      <c r="AV39" s="4">
        <v>336</v>
      </c>
      <c r="AW39" s="435"/>
    </row>
    <row r="40" spans="1:49">
      <c r="A40" s="234">
        <v>56</v>
      </c>
      <c r="B40" s="257" t="s">
        <v>491</v>
      </c>
      <c r="C40" s="11">
        <v>0</v>
      </c>
      <c r="D40" s="18">
        <v>0</v>
      </c>
      <c r="E40" s="18">
        <v>0</v>
      </c>
      <c r="F40" s="239">
        <v>0</v>
      </c>
      <c r="G40" s="18">
        <v>0</v>
      </c>
      <c r="H40" s="18">
        <v>0</v>
      </c>
      <c r="I40" s="18">
        <v>0</v>
      </c>
      <c r="J40" s="18">
        <v>0</v>
      </c>
      <c r="K40" s="239">
        <v>0</v>
      </c>
      <c r="L40" s="19">
        <v>0</v>
      </c>
      <c r="M40" s="251">
        <v>0</v>
      </c>
      <c r="N40" s="11">
        <v>0</v>
      </c>
      <c r="O40" s="18">
        <v>0</v>
      </c>
      <c r="P40" s="18">
        <v>0</v>
      </c>
      <c r="Q40" s="18">
        <v>0</v>
      </c>
      <c r="R40" s="18">
        <v>0</v>
      </c>
      <c r="S40" s="18">
        <v>0</v>
      </c>
      <c r="T40" s="18">
        <v>0</v>
      </c>
      <c r="U40" s="18">
        <v>0</v>
      </c>
      <c r="V40" s="19">
        <v>10</v>
      </c>
      <c r="W40" s="250">
        <v>10</v>
      </c>
      <c r="X40" s="11">
        <v>0</v>
      </c>
      <c r="Y40" s="18">
        <v>0</v>
      </c>
      <c r="Z40" s="18">
        <v>0</v>
      </c>
      <c r="AA40" s="18">
        <v>0</v>
      </c>
      <c r="AB40" s="18">
        <v>0</v>
      </c>
      <c r="AC40" s="18">
        <v>0</v>
      </c>
      <c r="AD40" s="18">
        <v>0</v>
      </c>
      <c r="AE40" s="18">
        <v>0</v>
      </c>
      <c r="AF40" s="19">
        <v>2</v>
      </c>
      <c r="AG40" s="248">
        <v>2</v>
      </c>
      <c r="AH40" s="11">
        <v>0</v>
      </c>
      <c r="AI40" s="18">
        <v>0</v>
      </c>
      <c r="AJ40" s="18">
        <v>0</v>
      </c>
      <c r="AK40" s="18">
        <v>0</v>
      </c>
      <c r="AL40" s="18">
        <v>0</v>
      </c>
      <c r="AM40" s="18">
        <v>0</v>
      </c>
      <c r="AN40" s="18">
        <v>0</v>
      </c>
      <c r="AO40" s="18">
        <v>0</v>
      </c>
      <c r="AP40" s="18">
        <v>0</v>
      </c>
      <c r="AQ40" s="18">
        <v>0</v>
      </c>
      <c r="AR40" s="18">
        <v>0</v>
      </c>
      <c r="AS40" s="18">
        <v>0</v>
      </c>
      <c r="AT40" s="19">
        <v>2</v>
      </c>
      <c r="AU40" s="240">
        <v>2</v>
      </c>
      <c r="AV40" s="4">
        <v>14</v>
      </c>
      <c r="AW40" s="435"/>
    </row>
    <row r="41" spans="1:49">
      <c r="A41" s="234">
        <v>57</v>
      </c>
      <c r="B41" s="257" t="s">
        <v>492</v>
      </c>
      <c r="C41" s="11">
        <v>10</v>
      </c>
      <c r="D41" s="18">
        <v>0</v>
      </c>
      <c r="E41" s="18">
        <v>0</v>
      </c>
      <c r="F41" s="239">
        <v>0</v>
      </c>
      <c r="G41" s="18">
        <v>8</v>
      </c>
      <c r="H41" s="18">
        <v>10</v>
      </c>
      <c r="I41" s="18">
        <v>0</v>
      </c>
      <c r="J41" s="18">
        <v>6</v>
      </c>
      <c r="K41" s="239">
        <v>10</v>
      </c>
      <c r="L41" s="19">
        <v>10</v>
      </c>
      <c r="M41" s="251">
        <v>54</v>
      </c>
      <c r="N41" s="11">
        <v>10</v>
      </c>
      <c r="O41" s="18">
        <v>0</v>
      </c>
      <c r="P41" s="18">
        <v>0</v>
      </c>
      <c r="Q41" s="18">
        <v>10</v>
      </c>
      <c r="R41" s="18">
        <v>6</v>
      </c>
      <c r="S41" s="18">
        <v>6</v>
      </c>
      <c r="T41" s="18">
        <v>10</v>
      </c>
      <c r="U41" s="18">
        <v>10</v>
      </c>
      <c r="V41" s="19">
        <v>10</v>
      </c>
      <c r="W41" s="250">
        <v>62</v>
      </c>
      <c r="X41" s="11">
        <v>10</v>
      </c>
      <c r="Y41" s="18">
        <v>0</v>
      </c>
      <c r="Z41" s="18">
        <v>0</v>
      </c>
      <c r="AA41" s="18">
        <v>0</v>
      </c>
      <c r="AB41" s="18">
        <v>0</v>
      </c>
      <c r="AC41" s="18">
        <v>0</v>
      </c>
      <c r="AD41" s="18">
        <v>10</v>
      </c>
      <c r="AE41" s="18">
        <v>10</v>
      </c>
      <c r="AF41" s="19">
        <v>10</v>
      </c>
      <c r="AG41" s="248">
        <v>40</v>
      </c>
      <c r="AH41" s="11">
        <v>0</v>
      </c>
      <c r="AI41" s="18">
        <v>0</v>
      </c>
      <c r="AJ41" s="18">
        <v>0</v>
      </c>
      <c r="AK41" s="18">
        <v>0</v>
      </c>
      <c r="AL41" s="18">
        <v>0</v>
      </c>
      <c r="AM41" s="18">
        <v>0</v>
      </c>
      <c r="AN41" s="18">
        <v>0</v>
      </c>
      <c r="AO41" s="18">
        <v>6</v>
      </c>
      <c r="AP41" s="18">
        <v>6</v>
      </c>
      <c r="AQ41" s="18">
        <v>0</v>
      </c>
      <c r="AR41" s="18">
        <v>0</v>
      </c>
      <c r="AS41" s="18">
        <v>0</v>
      </c>
      <c r="AT41" s="19">
        <v>2</v>
      </c>
      <c r="AU41" s="240">
        <v>14</v>
      </c>
      <c r="AV41" s="4">
        <v>170</v>
      </c>
      <c r="AW41" s="435"/>
    </row>
    <row r="42" spans="1:49">
      <c r="A42" s="234">
        <v>58</v>
      </c>
      <c r="B42" s="257" t="s">
        <v>493</v>
      </c>
      <c r="C42" s="11">
        <v>6</v>
      </c>
      <c r="D42" s="18">
        <v>10</v>
      </c>
      <c r="E42" s="18">
        <v>10</v>
      </c>
      <c r="F42" s="239">
        <v>8</v>
      </c>
      <c r="G42" s="18">
        <v>10</v>
      </c>
      <c r="H42" s="18">
        <v>6</v>
      </c>
      <c r="I42" s="18">
        <v>10</v>
      </c>
      <c r="J42" s="18">
        <v>0</v>
      </c>
      <c r="K42" s="239">
        <v>10</v>
      </c>
      <c r="L42" s="19">
        <v>10</v>
      </c>
      <c r="M42" s="251">
        <v>80</v>
      </c>
      <c r="N42" s="11">
        <v>10</v>
      </c>
      <c r="O42" s="18">
        <v>10</v>
      </c>
      <c r="P42" s="18">
        <v>10</v>
      </c>
      <c r="Q42" s="18">
        <v>5</v>
      </c>
      <c r="R42" s="18">
        <v>10</v>
      </c>
      <c r="S42" s="18">
        <v>10</v>
      </c>
      <c r="T42" s="18">
        <v>10</v>
      </c>
      <c r="U42" s="18">
        <v>10</v>
      </c>
      <c r="V42" s="19">
        <v>10</v>
      </c>
      <c r="W42" s="250">
        <v>85</v>
      </c>
      <c r="X42" s="11">
        <v>10</v>
      </c>
      <c r="Y42" s="18">
        <v>6</v>
      </c>
      <c r="Z42" s="18">
        <v>6</v>
      </c>
      <c r="AA42" s="18">
        <v>10</v>
      </c>
      <c r="AB42" s="18">
        <v>10</v>
      </c>
      <c r="AC42" s="18">
        <v>10</v>
      </c>
      <c r="AD42" s="18">
        <v>10</v>
      </c>
      <c r="AE42" s="18">
        <v>10</v>
      </c>
      <c r="AF42" s="19">
        <v>10</v>
      </c>
      <c r="AG42" s="248">
        <v>82</v>
      </c>
      <c r="AH42" s="11">
        <v>10</v>
      </c>
      <c r="AI42" s="18">
        <v>10</v>
      </c>
      <c r="AJ42" s="18">
        <v>10</v>
      </c>
      <c r="AK42" s="18">
        <v>10</v>
      </c>
      <c r="AL42" s="18">
        <v>10</v>
      </c>
      <c r="AM42" s="18">
        <v>10</v>
      </c>
      <c r="AN42" s="18">
        <v>10</v>
      </c>
      <c r="AO42" s="18">
        <v>10</v>
      </c>
      <c r="AP42" s="18">
        <v>10</v>
      </c>
      <c r="AQ42" s="18">
        <v>8</v>
      </c>
      <c r="AR42" s="18">
        <v>8</v>
      </c>
      <c r="AS42" s="18">
        <v>10</v>
      </c>
      <c r="AT42" s="19">
        <v>6</v>
      </c>
      <c r="AU42" s="240">
        <v>122</v>
      </c>
      <c r="AV42" s="4">
        <v>369</v>
      </c>
      <c r="AW42" s="435"/>
    </row>
    <row r="43" spans="1:49">
      <c r="A43" s="234">
        <v>59</v>
      </c>
      <c r="B43" s="257" t="s">
        <v>494</v>
      </c>
      <c r="C43" s="11">
        <v>6</v>
      </c>
      <c r="D43" s="18">
        <v>10</v>
      </c>
      <c r="E43" s="18">
        <v>10</v>
      </c>
      <c r="F43" s="239">
        <v>5</v>
      </c>
      <c r="G43" s="18">
        <v>10</v>
      </c>
      <c r="H43" s="18">
        <v>10</v>
      </c>
      <c r="I43" s="18">
        <v>10</v>
      </c>
      <c r="J43" s="18">
        <v>0</v>
      </c>
      <c r="K43" s="239">
        <v>10</v>
      </c>
      <c r="L43" s="19">
        <v>10</v>
      </c>
      <c r="M43" s="251">
        <v>81</v>
      </c>
      <c r="N43" s="11">
        <v>10</v>
      </c>
      <c r="O43" s="18">
        <v>10</v>
      </c>
      <c r="P43" s="18">
        <v>10</v>
      </c>
      <c r="Q43" s="18">
        <v>5</v>
      </c>
      <c r="R43" s="18">
        <v>10</v>
      </c>
      <c r="S43" s="18">
        <v>10</v>
      </c>
      <c r="T43" s="18">
        <v>10</v>
      </c>
      <c r="U43" s="18">
        <v>10</v>
      </c>
      <c r="V43" s="19">
        <v>10</v>
      </c>
      <c r="W43" s="250">
        <v>85</v>
      </c>
      <c r="X43" s="11">
        <v>10</v>
      </c>
      <c r="Y43" s="18">
        <v>10</v>
      </c>
      <c r="Z43" s="18">
        <v>10</v>
      </c>
      <c r="AA43" s="18">
        <v>10</v>
      </c>
      <c r="AB43" s="18">
        <v>10</v>
      </c>
      <c r="AC43" s="18">
        <v>10</v>
      </c>
      <c r="AD43" s="18">
        <v>10</v>
      </c>
      <c r="AE43" s="18">
        <v>10</v>
      </c>
      <c r="AF43" s="19">
        <v>10</v>
      </c>
      <c r="AG43" s="248">
        <v>90</v>
      </c>
      <c r="AH43" s="11">
        <v>0</v>
      </c>
      <c r="AI43" s="18">
        <v>10</v>
      </c>
      <c r="AJ43" s="18">
        <v>0</v>
      </c>
      <c r="AK43" s="18">
        <v>10</v>
      </c>
      <c r="AL43" s="18">
        <v>10</v>
      </c>
      <c r="AM43" s="18">
        <v>10</v>
      </c>
      <c r="AN43" s="18">
        <v>10</v>
      </c>
      <c r="AO43" s="18">
        <v>10</v>
      </c>
      <c r="AP43" s="18">
        <v>10</v>
      </c>
      <c r="AQ43" s="18">
        <v>4</v>
      </c>
      <c r="AR43" s="18">
        <v>10</v>
      </c>
      <c r="AS43" s="18">
        <v>10</v>
      </c>
      <c r="AT43" s="19">
        <v>6</v>
      </c>
      <c r="AU43" s="240">
        <v>100</v>
      </c>
      <c r="AV43" s="4">
        <v>356</v>
      </c>
      <c r="AW43" s="435"/>
    </row>
    <row r="44" spans="1:49">
      <c r="A44" s="234">
        <v>60</v>
      </c>
      <c r="B44" s="257" t="s">
        <v>329</v>
      </c>
      <c r="C44" s="11">
        <v>6</v>
      </c>
      <c r="D44" s="18">
        <v>10</v>
      </c>
      <c r="E44" s="18">
        <v>0</v>
      </c>
      <c r="F44" s="239">
        <v>0</v>
      </c>
      <c r="G44" s="18">
        <v>6</v>
      </c>
      <c r="H44" s="18">
        <v>10</v>
      </c>
      <c r="I44" s="18">
        <v>10</v>
      </c>
      <c r="J44" s="18">
        <v>10</v>
      </c>
      <c r="K44" s="239">
        <v>10</v>
      </c>
      <c r="L44" s="19">
        <v>10</v>
      </c>
      <c r="M44" s="251">
        <v>72</v>
      </c>
      <c r="N44" s="11">
        <v>10</v>
      </c>
      <c r="O44" s="18">
        <v>10</v>
      </c>
      <c r="P44" s="18">
        <v>0</v>
      </c>
      <c r="Q44" s="18">
        <v>10</v>
      </c>
      <c r="R44" s="18">
        <v>6</v>
      </c>
      <c r="S44" s="18">
        <v>10</v>
      </c>
      <c r="T44" s="18">
        <v>10</v>
      </c>
      <c r="U44" s="18">
        <v>10</v>
      </c>
      <c r="V44" s="19">
        <v>10</v>
      </c>
      <c r="W44" s="250">
        <v>76</v>
      </c>
      <c r="X44" s="11">
        <v>10</v>
      </c>
      <c r="Y44" s="18">
        <v>6</v>
      </c>
      <c r="Z44" s="18">
        <v>6</v>
      </c>
      <c r="AA44" s="18">
        <v>0</v>
      </c>
      <c r="AB44" s="18">
        <v>10</v>
      </c>
      <c r="AC44" s="18">
        <v>10</v>
      </c>
      <c r="AD44" s="18">
        <v>10</v>
      </c>
      <c r="AE44" s="18">
        <v>10</v>
      </c>
      <c r="AF44" s="19">
        <v>10</v>
      </c>
      <c r="AG44" s="248">
        <v>72</v>
      </c>
      <c r="AH44" s="11">
        <v>10</v>
      </c>
      <c r="AI44" s="18">
        <v>10</v>
      </c>
      <c r="AJ44" s="18">
        <v>10</v>
      </c>
      <c r="AK44" s="18">
        <v>10</v>
      </c>
      <c r="AL44" s="18">
        <v>10</v>
      </c>
      <c r="AM44" s="18">
        <v>10</v>
      </c>
      <c r="AN44" s="18">
        <v>10</v>
      </c>
      <c r="AO44" s="18">
        <v>10</v>
      </c>
      <c r="AP44" s="18">
        <v>10</v>
      </c>
      <c r="AQ44" s="18">
        <v>0</v>
      </c>
      <c r="AR44" s="18">
        <v>10</v>
      </c>
      <c r="AS44" s="18">
        <v>10</v>
      </c>
      <c r="AT44" s="19">
        <v>2</v>
      </c>
      <c r="AU44" s="240">
        <v>112</v>
      </c>
      <c r="AV44" s="4">
        <v>332</v>
      </c>
      <c r="AW44" s="435"/>
    </row>
    <row r="45" spans="1:49">
      <c r="A45" s="234">
        <v>61</v>
      </c>
      <c r="B45" s="257" t="s">
        <v>309</v>
      </c>
      <c r="C45" s="11">
        <v>8</v>
      </c>
      <c r="D45" s="18">
        <v>10</v>
      </c>
      <c r="E45" s="18">
        <v>10</v>
      </c>
      <c r="F45" s="239">
        <v>6</v>
      </c>
      <c r="G45" s="18">
        <v>4</v>
      </c>
      <c r="H45" s="18">
        <v>10</v>
      </c>
      <c r="I45" s="18">
        <v>0</v>
      </c>
      <c r="J45" s="18">
        <v>6</v>
      </c>
      <c r="K45" s="239">
        <v>10</v>
      </c>
      <c r="L45" s="19">
        <v>10</v>
      </c>
      <c r="M45" s="251">
        <v>74</v>
      </c>
      <c r="N45" s="11">
        <v>0</v>
      </c>
      <c r="O45" s="18">
        <v>10</v>
      </c>
      <c r="P45" s="18">
        <v>0</v>
      </c>
      <c r="Q45" s="18">
        <v>10</v>
      </c>
      <c r="R45" s="18">
        <v>10</v>
      </c>
      <c r="S45" s="18">
        <v>6</v>
      </c>
      <c r="T45" s="18">
        <v>10</v>
      </c>
      <c r="U45" s="18">
        <v>10</v>
      </c>
      <c r="V45" s="19">
        <v>10</v>
      </c>
      <c r="W45" s="250">
        <v>66</v>
      </c>
      <c r="X45" s="11">
        <v>0</v>
      </c>
      <c r="Y45" s="18">
        <v>6</v>
      </c>
      <c r="Z45" s="18">
        <v>6</v>
      </c>
      <c r="AA45" s="18">
        <v>0</v>
      </c>
      <c r="AB45" s="18">
        <v>10</v>
      </c>
      <c r="AC45" s="18">
        <v>10</v>
      </c>
      <c r="AD45" s="18">
        <v>10</v>
      </c>
      <c r="AE45" s="18">
        <v>10</v>
      </c>
      <c r="AF45" s="19">
        <v>10</v>
      </c>
      <c r="AG45" s="248">
        <v>62</v>
      </c>
      <c r="AH45" s="11">
        <v>0</v>
      </c>
      <c r="AI45" s="18">
        <v>0</v>
      </c>
      <c r="AJ45" s="18">
        <v>6</v>
      </c>
      <c r="AK45" s="18">
        <v>0</v>
      </c>
      <c r="AL45" s="18">
        <v>0</v>
      </c>
      <c r="AM45" s="18">
        <v>0</v>
      </c>
      <c r="AN45" s="18">
        <v>0</v>
      </c>
      <c r="AO45" s="18">
        <v>4</v>
      </c>
      <c r="AP45" s="18">
        <v>10</v>
      </c>
      <c r="AQ45" s="18">
        <v>6</v>
      </c>
      <c r="AR45" s="18">
        <v>8</v>
      </c>
      <c r="AS45" s="18">
        <v>10</v>
      </c>
      <c r="AT45" s="19">
        <v>2</v>
      </c>
      <c r="AU45" s="240">
        <v>46</v>
      </c>
      <c r="AV45" s="4">
        <v>248</v>
      </c>
      <c r="AW45" s="435"/>
    </row>
    <row r="46" spans="1:49">
      <c r="A46" s="234">
        <v>62</v>
      </c>
      <c r="B46" s="257" t="s">
        <v>267</v>
      </c>
      <c r="C46" s="11">
        <v>8</v>
      </c>
      <c r="D46" s="18">
        <v>10</v>
      </c>
      <c r="E46" s="18">
        <v>10</v>
      </c>
      <c r="F46" s="239">
        <v>3</v>
      </c>
      <c r="G46" s="18">
        <v>10</v>
      </c>
      <c r="H46" s="18">
        <v>10</v>
      </c>
      <c r="I46" s="18">
        <v>10</v>
      </c>
      <c r="J46" s="18">
        <v>10</v>
      </c>
      <c r="K46" s="239">
        <v>10</v>
      </c>
      <c r="L46" s="19">
        <v>10</v>
      </c>
      <c r="M46" s="251">
        <v>91</v>
      </c>
      <c r="N46" s="11">
        <v>10</v>
      </c>
      <c r="O46" s="18">
        <v>10</v>
      </c>
      <c r="P46" s="18">
        <v>10</v>
      </c>
      <c r="Q46" s="18">
        <v>5</v>
      </c>
      <c r="R46" s="18">
        <v>6</v>
      </c>
      <c r="S46" s="18">
        <v>0</v>
      </c>
      <c r="T46" s="18">
        <v>6</v>
      </c>
      <c r="U46" s="18">
        <v>0</v>
      </c>
      <c r="V46" s="19">
        <v>10</v>
      </c>
      <c r="W46" s="250">
        <v>57</v>
      </c>
      <c r="X46" s="11">
        <v>0</v>
      </c>
      <c r="Y46" s="18">
        <v>6</v>
      </c>
      <c r="Z46" s="18">
        <v>0</v>
      </c>
      <c r="AA46" s="18">
        <v>0</v>
      </c>
      <c r="AB46" s="18">
        <v>10</v>
      </c>
      <c r="AC46" s="18">
        <v>0</v>
      </c>
      <c r="AD46" s="18">
        <v>10</v>
      </c>
      <c r="AE46" s="18">
        <v>10</v>
      </c>
      <c r="AF46" s="19">
        <v>10</v>
      </c>
      <c r="AG46" s="248">
        <v>46</v>
      </c>
      <c r="AH46" s="11" t="s">
        <v>191</v>
      </c>
      <c r="AI46" s="18" t="s">
        <v>191</v>
      </c>
      <c r="AJ46" s="18" t="s">
        <v>191</v>
      </c>
      <c r="AK46" s="18" t="s">
        <v>191</v>
      </c>
      <c r="AL46" s="18" t="s">
        <v>191</v>
      </c>
      <c r="AM46" s="18" t="s">
        <v>191</v>
      </c>
      <c r="AN46" s="18" t="s">
        <v>191</v>
      </c>
      <c r="AO46" s="18">
        <v>0</v>
      </c>
      <c r="AP46" s="18">
        <v>0</v>
      </c>
      <c r="AQ46" s="18">
        <v>0</v>
      </c>
      <c r="AR46" s="18" t="s">
        <v>191</v>
      </c>
      <c r="AS46" s="18" t="s">
        <v>191</v>
      </c>
      <c r="AT46" s="19">
        <v>0</v>
      </c>
      <c r="AU46" s="240">
        <v>0</v>
      </c>
      <c r="AV46" s="4">
        <v>194</v>
      </c>
      <c r="AW46" s="435"/>
    </row>
    <row r="47" spans="1:49">
      <c r="A47" s="234">
        <v>63</v>
      </c>
      <c r="B47" s="257" t="s">
        <v>495</v>
      </c>
      <c r="C47" s="11">
        <v>0</v>
      </c>
      <c r="D47" s="18">
        <v>0</v>
      </c>
      <c r="E47" s="18">
        <v>0</v>
      </c>
      <c r="F47" s="239">
        <v>0</v>
      </c>
      <c r="G47" s="18">
        <v>0</v>
      </c>
      <c r="H47" s="18">
        <v>0</v>
      </c>
      <c r="I47" s="18">
        <v>0</v>
      </c>
      <c r="J47" s="18">
        <v>0</v>
      </c>
      <c r="K47" s="239">
        <v>0</v>
      </c>
      <c r="L47" s="19">
        <v>0</v>
      </c>
      <c r="M47" s="251">
        <v>0</v>
      </c>
      <c r="N47" s="11">
        <v>0</v>
      </c>
      <c r="O47" s="18">
        <v>0</v>
      </c>
      <c r="P47" s="18">
        <v>0</v>
      </c>
      <c r="Q47" s="18">
        <v>0</v>
      </c>
      <c r="R47" s="18">
        <v>0</v>
      </c>
      <c r="S47" s="18">
        <v>0</v>
      </c>
      <c r="T47" s="18">
        <v>0</v>
      </c>
      <c r="U47" s="18">
        <v>0</v>
      </c>
      <c r="V47" s="19">
        <v>10</v>
      </c>
      <c r="W47" s="250">
        <v>10</v>
      </c>
      <c r="X47" s="11">
        <v>0</v>
      </c>
      <c r="Y47" s="18">
        <v>0</v>
      </c>
      <c r="Z47" s="18">
        <v>0</v>
      </c>
      <c r="AA47" s="18">
        <v>0</v>
      </c>
      <c r="AB47" s="18">
        <v>0</v>
      </c>
      <c r="AC47" s="18">
        <v>0</v>
      </c>
      <c r="AD47" s="18">
        <v>0</v>
      </c>
      <c r="AE47" s="18">
        <v>0</v>
      </c>
      <c r="AF47" s="19">
        <v>2</v>
      </c>
      <c r="AG47" s="248">
        <v>2</v>
      </c>
      <c r="AH47" s="11">
        <v>0</v>
      </c>
      <c r="AI47" s="18">
        <v>0</v>
      </c>
      <c r="AJ47" s="18">
        <v>0</v>
      </c>
      <c r="AK47" s="18">
        <v>0</v>
      </c>
      <c r="AL47" s="18">
        <v>0</v>
      </c>
      <c r="AM47" s="18">
        <v>0</v>
      </c>
      <c r="AN47" s="18">
        <v>0</v>
      </c>
      <c r="AO47" s="18">
        <v>0</v>
      </c>
      <c r="AP47" s="18">
        <v>0</v>
      </c>
      <c r="AQ47" s="18">
        <v>0</v>
      </c>
      <c r="AR47" s="18">
        <v>0</v>
      </c>
      <c r="AS47" s="18">
        <v>0</v>
      </c>
      <c r="AT47" s="19">
        <v>2</v>
      </c>
      <c r="AU47" s="240">
        <v>2</v>
      </c>
      <c r="AV47" s="4">
        <v>14</v>
      </c>
      <c r="AW47" s="435"/>
    </row>
    <row r="48" spans="1:49">
      <c r="A48" s="234">
        <v>64</v>
      </c>
      <c r="B48" s="257" t="s">
        <v>451</v>
      </c>
      <c r="C48" s="11">
        <v>6</v>
      </c>
      <c r="D48" s="18">
        <v>10</v>
      </c>
      <c r="E48" s="18">
        <v>0</v>
      </c>
      <c r="F48" s="239">
        <v>0</v>
      </c>
      <c r="G48" s="18">
        <v>10</v>
      </c>
      <c r="H48" s="18">
        <v>4</v>
      </c>
      <c r="I48" s="18">
        <v>10</v>
      </c>
      <c r="J48" s="18">
        <v>10</v>
      </c>
      <c r="K48" s="239">
        <v>10</v>
      </c>
      <c r="L48" s="19">
        <v>10</v>
      </c>
      <c r="M48" s="251">
        <v>70</v>
      </c>
      <c r="N48" s="11">
        <v>10</v>
      </c>
      <c r="O48" s="18">
        <v>10</v>
      </c>
      <c r="P48" s="18">
        <v>10</v>
      </c>
      <c r="Q48" s="18">
        <v>10</v>
      </c>
      <c r="R48" s="18">
        <v>4</v>
      </c>
      <c r="S48" s="18">
        <v>10</v>
      </c>
      <c r="T48" s="18">
        <v>10</v>
      </c>
      <c r="U48" s="18">
        <v>10</v>
      </c>
      <c r="V48" s="19">
        <v>10</v>
      </c>
      <c r="W48" s="250">
        <v>84</v>
      </c>
      <c r="X48" s="11">
        <v>10</v>
      </c>
      <c r="Y48" s="18">
        <v>6</v>
      </c>
      <c r="Z48" s="18">
        <v>6</v>
      </c>
      <c r="AA48" s="18">
        <v>10</v>
      </c>
      <c r="AB48" s="18">
        <v>10</v>
      </c>
      <c r="AC48" s="18">
        <v>10</v>
      </c>
      <c r="AD48" s="18">
        <v>10</v>
      </c>
      <c r="AE48" s="18">
        <v>10</v>
      </c>
      <c r="AF48" s="19">
        <v>6</v>
      </c>
      <c r="AG48" s="248">
        <v>78</v>
      </c>
      <c r="AH48" s="11" t="s">
        <v>191</v>
      </c>
      <c r="AI48" s="18" t="s">
        <v>191</v>
      </c>
      <c r="AJ48" s="18" t="s">
        <v>191</v>
      </c>
      <c r="AK48" s="18" t="s">
        <v>191</v>
      </c>
      <c r="AL48" s="18" t="s">
        <v>191</v>
      </c>
      <c r="AM48" s="18" t="s">
        <v>191</v>
      </c>
      <c r="AN48" s="18" t="s">
        <v>191</v>
      </c>
      <c r="AO48" s="18">
        <v>0</v>
      </c>
      <c r="AP48" s="18">
        <v>0</v>
      </c>
      <c r="AQ48" s="18">
        <v>0</v>
      </c>
      <c r="AR48" s="18" t="s">
        <v>191</v>
      </c>
      <c r="AS48" s="18" t="s">
        <v>191</v>
      </c>
      <c r="AT48" s="19">
        <v>0</v>
      </c>
      <c r="AU48" s="240">
        <v>0</v>
      </c>
      <c r="AV48" s="4">
        <v>232</v>
      </c>
      <c r="AW48" s="435"/>
    </row>
    <row r="49" spans="1:49">
      <c r="A49" s="234">
        <v>65</v>
      </c>
      <c r="B49" s="257" t="s">
        <v>496</v>
      </c>
      <c r="C49" s="11">
        <v>6</v>
      </c>
      <c r="D49" s="18">
        <v>10</v>
      </c>
      <c r="E49" s="18">
        <v>0</v>
      </c>
      <c r="F49" s="239">
        <v>0</v>
      </c>
      <c r="G49" s="18">
        <v>10</v>
      </c>
      <c r="H49" s="18">
        <v>10</v>
      </c>
      <c r="I49" s="18">
        <v>10</v>
      </c>
      <c r="J49" s="18">
        <v>10</v>
      </c>
      <c r="K49" s="239">
        <v>10</v>
      </c>
      <c r="L49" s="19">
        <v>10</v>
      </c>
      <c r="M49" s="251">
        <v>76</v>
      </c>
      <c r="N49" s="11">
        <v>10</v>
      </c>
      <c r="O49" s="18">
        <v>10</v>
      </c>
      <c r="P49" s="18">
        <v>0</v>
      </c>
      <c r="Q49" s="18">
        <v>0</v>
      </c>
      <c r="R49" s="18">
        <v>4</v>
      </c>
      <c r="S49" s="18">
        <v>10</v>
      </c>
      <c r="T49" s="18">
        <v>10</v>
      </c>
      <c r="U49" s="18">
        <v>10</v>
      </c>
      <c r="V49" s="19">
        <v>10</v>
      </c>
      <c r="W49" s="250">
        <v>64</v>
      </c>
      <c r="X49" s="11">
        <v>0</v>
      </c>
      <c r="Y49" s="18">
        <v>0</v>
      </c>
      <c r="Z49" s="18">
        <v>0</v>
      </c>
      <c r="AA49" s="18">
        <v>0</v>
      </c>
      <c r="AB49" s="18">
        <v>10</v>
      </c>
      <c r="AC49" s="18">
        <v>10</v>
      </c>
      <c r="AD49" s="18">
        <v>10</v>
      </c>
      <c r="AE49" s="18">
        <v>10</v>
      </c>
      <c r="AF49" s="19">
        <v>3</v>
      </c>
      <c r="AG49" s="248">
        <v>43</v>
      </c>
      <c r="AH49" s="11">
        <v>0</v>
      </c>
      <c r="AI49" s="18">
        <v>0</v>
      </c>
      <c r="AJ49" s="18">
        <v>0</v>
      </c>
      <c r="AK49" s="18">
        <v>0</v>
      </c>
      <c r="AL49" s="18">
        <v>10</v>
      </c>
      <c r="AM49" s="18">
        <v>10</v>
      </c>
      <c r="AN49" s="18">
        <v>10</v>
      </c>
      <c r="AO49" s="18">
        <v>10</v>
      </c>
      <c r="AP49" s="18">
        <v>10</v>
      </c>
      <c r="AQ49" s="18">
        <v>8</v>
      </c>
      <c r="AR49" s="18">
        <v>0</v>
      </c>
      <c r="AS49" s="18">
        <v>10</v>
      </c>
      <c r="AT49" s="19">
        <v>10</v>
      </c>
      <c r="AU49" s="240">
        <v>78</v>
      </c>
      <c r="AV49" s="4">
        <v>261</v>
      </c>
      <c r="AW49" s="435"/>
    </row>
    <row r="50" spans="1:49">
      <c r="A50" s="234">
        <v>66</v>
      </c>
      <c r="B50" s="257" t="s">
        <v>497</v>
      </c>
      <c r="C50" s="11">
        <v>6</v>
      </c>
      <c r="D50" s="18">
        <v>10</v>
      </c>
      <c r="E50" s="18">
        <v>10</v>
      </c>
      <c r="F50" s="239">
        <v>8</v>
      </c>
      <c r="G50" s="18">
        <v>10</v>
      </c>
      <c r="H50" s="18">
        <v>4</v>
      </c>
      <c r="I50" s="18">
        <v>0</v>
      </c>
      <c r="J50" s="18">
        <v>10</v>
      </c>
      <c r="K50" s="239">
        <v>10</v>
      </c>
      <c r="L50" s="19">
        <v>10</v>
      </c>
      <c r="M50" s="251">
        <v>78</v>
      </c>
      <c r="N50" s="11">
        <v>10</v>
      </c>
      <c r="O50" s="18">
        <v>0</v>
      </c>
      <c r="P50" s="18">
        <v>0</v>
      </c>
      <c r="Q50" s="18">
        <v>5</v>
      </c>
      <c r="R50" s="18">
        <v>6</v>
      </c>
      <c r="S50" s="18">
        <v>0</v>
      </c>
      <c r="T50" s="18">
        <v>10</v>
      </c>
      <c r="U50" s="18">
        <v>0</v>
      </c>
      <c r="V50" s="19">
        <v>10</v>
      </c>
      <c r="W50" s="250">
        <v>41</v>
      </c>
      <c r="X50" s="11">
        <v>0</v>
      </c>
      <c r="Y50" s="18">
        <v>0</v>
      </c>
      <c r="Z50" s="18">
        <v>0</v>
      </c>
      <c r="AA50" s="18">
        <v>10</v>
      </c>
      <c r="AB50" s="18">
        <v>0</v>
      </c>
      <c r="AC50" s="18">
        <v>0</v>
      </c>
      <c r="AD50" s="18">
        <v>10</v>
      </c>
      <c r="AE50" s="18">
        <v>10</v>
      </c>
      <c r="AF50" s="19">
        <v>10</v>
      </c>
      <c r="AG50" s="248">
        <v>40</v>
      </c>
      <c r="AH50" s="11">
        <v>10</v>
      </c>
      <c r="AI50" s="18">
        <v>10</v>
      </c>
      <c r="AJ50" s="18">
        <v>0</v>
      </c>
      <c r="AK50" s="18">
        <v>10</v>
      </c>
      <c r="AL50" s="18">
        <v>0</v>
      </c>
      <c r="AM50" s="18">
        <v>10</v>
      </c>
      <c r="AN50" s="18">
        <v>10</v>
      </c>
      <c r="AO50" s="18">
        <v>6</v>
      </c>
      <c r="AP50" s="18">
        <v>0</v>
      </c>
      <c r="AQ50" s="18">
        <v>0</v>
      </c>
      <c r="AR50" s="18">
        <v>6</v>
      </c>
      <c r="AS50" s="18">
        <v>10</v>
      </c>
      <c r="AT50" s="19">
        <v>2</v>
      </c>
      <c r="AU50" s="240">
        <v>74</v>
      </c>
      <c r="AV50" s="4">
        <v>233</v>
      </c>
      <c r="AW50" s="435"/>
    </row>
    <row r="51" spans="1:49">
      <c r="A51" s="234"/>
      <c r="B51" s="245" t="s">
        <v>391</v>
      </c>
      <c r="C51" s="276">
        <v>304</v>
      </c>
      <c r="D51" s="276">
        <v>400</v>
      </c>
      <c r="E51" s="276">
        <v>340</v>
      </c>
      <c r="F51" s="276">
        <v>194</v>
      </c>
      <c r="G51" s="276">
        <v>376</v>
      </c>
      <c r="H51" s="276">
        <v>346</v>
      </c>
      <c r="I51" s="276">
        <v>270</v>
      </c>
      <c r="J51" s="276">
        <v>208</v>
      </c>
      <c r="K51" s="276">
        <v>370</v>
      </c>
      <c r="L51" s="276">
        <v>400</v>
      </c>
      <c r="M51" s="276">
        <v>3208</v>
      </c>
      <c r="N51" s="276">
        <v>400</v>
      </c>
      <c r="O51" s="276">
        <v>370</v>
      </c>
      <c r="P51" s="276">
        <v>260</v>
      </c>
      <c r="Q51" s="276">
        <v>350</v>
      </c>
      <c r="R51" s="276">
        <v>300</v>
      </c>
      <c r="S51" s="276">
        <v>354</v>
      </c>
      <c r="T51" s="276">
        <v>420</v>
      </c>
      <c r="U51" s="276">
        <v>330</v>
      </c>
      <c r="V51" s="276">
        <v>404</v>
      </c>
      <c r="W51" s="276">
        <v>3188</v>
      </c>
      <c r="X51" s="276">
        <v>160</v>
      </c>
      <c r="Y51" s="276">
        <v>216</v>
      </c>
      <c r="Z51" s="276">
        <v>128</v>
      </c>
      <c r="AA51" s="276">
        <v>260</v>
      </c>
      <c r="AB51" s="276">
        <v>340</v>
      </c>
      <c r="AC51" s="276">
        <v>330</v>
      </c>
      <c r="AD51" s="276">
        <v>350</v>
      </c>
      <c r="AE51" s="276">
        <v>390</v>
      </c>
      <c r="AF51" s="276">
        <v>333</v>
      </c>
      <c r="AG51" s="276">
        <v>2507</v>
      </c>
      <c r="AH51" s="276">
        <v>190</v>
      </c>
      <c r="AI51" s="276">
        <v>230</v>
      </c>
      <c r="AJ51" s="276">
        <v>194</v>
      </c>
      <c r="AK51" s="276">
        <v>270</v>
      </c>
      <c r="AL51" s="276">
        <v>260</v>
      </c>
      <c r="AM51" s="276">
        <v>250</v>
      </c>
      <c r="AN51" s="276">
        <v>330</v>
      </c>
      <c r="AO51" s="276">
        <v>286</v>
      </c>
      <c r="AP51" s="276">
        <v>296</v>
      </c>
      <c r="AQ51" s="276">
        <v>118</v>
      </c>
      <c r="AR51" s="276">
        <v>234</v>
      </c>
      <c r="AS51" s="276">
        <v>280</v>
      </c>
      <c r="AT51" s="276">
        <v>170</v>
      </c>
      <c r="AU51" s="276">
        <v>3108</v>
      </c>
      <c r="AV51" s="4"/>
      <c r="AW51" s="435"/>
    </row>
    <row r="52" spans="1:49">
      <c r="A52" s="234"/>
      <c r="B52" s="34"/>
      <c r="C52" s="422">
        <v>6.6086956521739131</v>
      </c>
      <c r="D52" s="422">
        <v>8.695652173913043</v>
      </c>
      <c r="E52" s="422">
        <v>7.3913043478260869</v>
      </c>
      <c r="F52" s="422">
        <v>4.2173913043478262</v>
      </c>
      <c r="G52" s="422">
        <v>8.1739130434782616</v>
      </c>
      <c r="H52" s="422">
        <v>7.5217391304347823</v>
      </c>
      <c r="I52" s="422">
        <v>5.8695652173913047</v>
      </c>
      <c r="J52" s="422">
        <v>4.5217391304347823</v>
      </c>
      <c r="K52" s="422">
        <v>8.0434782608695645</v>
      </c>
      <c r="L52" s="422">
        <v>8.695652173913043</v>
      </c>
      <c r="M52" s="423">
        <v>43</v>
      </c>
      <c r="N52" s="422">
        <v>8.695652173913043</v>
      </c>
      <c r="O52" s="422">
        <v>8.0434782608695645</v>
      </c>
      <c r="P52" s="422">
        <v>5.6521739130434785</v>
      </c>
      <c r="Q52" s="422">
        <v>7.6086956521739131</v>
      </c>
      <c r="R52" s="422">
        <v>6.5217391304347823</v>
      </c>
      <c r="S52" s="422">
        <v>7.6956521739130439</v>
      </c>
      <c r="T52" s="422">
        <v>9.1304347826086953</v>
      </c>
      <c r="U52" s="422">
        <v>7.1739130434782608</v>
      </c>
      <c r="V52" s="422">
        <v>8.7826086956521738</v>
      </c>
      <c r="W52" s="423">
        <v>43</v>
      </c>
      <c r="X52" s="422">
        <v>3.7209302325581395</v>
      </c>
      <c r="Y52" s="422">
        <v>5.0232558139534884</v>
      </c>
      <c r="Z52" s="422">
        <v>2.9767441860465116</v>
      </c>
      <c r="AA52" s="422">
        <v>6.0465116279069768</v>
      </c>
      <c r="AB52" s="422">
        <v>7.9069767441860463</v>
      </c>
      <c r="AC52" s="422">
        <v>7.6744186046511631</v>
      </c>
      <c r="AD52" s="422">
        <v>8.1395348837209305</v>
      </c>
      <c r="AE52" s="422">
        <v>9.0697674418604652</v>
      </c>
      <c r="AF52" s="422">
        <v>7.2391304347826084</v>
      </c>
      <c r="AG52" s="423">
        <v>37</v>
      </c>
      <c r="AH52" s="422">
        <v>4.4186046511627906</v>
      </c>
      <c r="AI52" s="422">
        <v>5.3488372093023253</v>
      </c>
      <c r="AJ52" s="422">
        <v>4.5116279069767442</v>
      </c>
      <c r="AK52" s="422">
        <v>6.2790697674418601</v>
      </c>
      <c r="AL52" s="422">
        <v>6.0465116279069768</v>
      </c>
      <c r="AM52" s="422">
        <v>5.8139534883720927</v>
      </c>
      <c r="AN52" s="422">
        <v>7.6744186046511631</v>
      </c>
      <c r="AO52" s="422">
        <v>6.2173913043478262</v>
      </c>
      <c r="AP52" s="422">
        <v>6.4347826086956523</v>
      </c>
      <c r="AQ52" s="422">
        <v>2.5652173913043477</v>
      </c>
      <c r="AR52" s="422">
        <v>5.441860465116279</v>
      </c>
      <c r="AS52" s="422">
        <v>6.5116279069767442</v>
      </c>
      <c r="AT52" s="422">
        <v>3.6956521739130435</v>
      </c>
      <c r="AU52" s="423">
        <v>36</v>
      </c>
      <c r="AV52" s="435"/>
      <c r="AW52" s="435"/>
    </row>
    <row r="53" spans="1:49">
      <c r="A53" s="234"/>
      <c r="B53" s="108">
        <v>56</v>
      </c>
      <c r="C53" s="62">
        <v>1</v>
      </c>
      <c r="D53" s="344" t="s">
        <v>413</v>
      </c>
      <c r="E53" s="435"/>
      <c r="F53" s="34"/>
      <c r="G53" s="435"/>
      <c r="H53" s="435"/>
      <c r="I53" s="435"/>
      <c r="J53" s="435"/>
      <c r="K53" s="435"/>
      <c r="L53" s="435"/>
      <c r="M53" s="109"/>
      <c r="N53" s="62">
        <v>18</v>
      </c>
      <c r="O53" s="344" t="s">
        <v>168</v>
      </c>
      <c r="P53" s="62"/>
      <c r="Q53" s="435"/>
      <c r="R53" s="435"/>
      <c r="S53" s="435"/>
      <c r="T53" s="435"/>
      <c r="U53" s="435"/>
      <c r="V53" s="435"/>
      <c r="W53" s="109"/>
      <c r="X53" s="62">
        <v>32</v>
      </c>
      <c r="Y53" s="344" t="s">
        <v>420</v>
      </c>
      <c r="Z53" s="62"/>
      <c r="AA53" s="435"/>
      <c r="AB53" s="435"/>
      <c r="AC53" s="435"/>
      <c r="AD53" s="435"/>
      <c r="AE53" s="435"/>
      <c r="AF53" s="435"/>
      <c r="AG53" s="109"/>
      <c r="AH53" s="62">
        <v>46</v>
      </c>
      <c r="AI53" s="344" t="s">
        <v>277</v>
      </c>
      <c r="AJ53" s="435"/>
      <c r="AK53" s="435"/>
      <c r="AL53" s="435"/>
      <c r="AM53" s="435"/>
      <c r="AN53" s="435"/>
      <c r="AO53" s="435"/>
      <c r="AP53" s="435"/>
      <c r="AQ53" s="435"/>
      <c r="AR53" s="435"/>
      <c r="AS53" s="435"/>
      <c r="AT53" s="435"/>
      <c r="AU53" s="49"/>
      <c r="AV53" s="435"/>
      <c r="AW53" s="435"/>
    </row>
    <row r="54" spans="1:49">
      <c r="A54" s="234"/>
      <c r="B54" s="108">
        <v>5.4285714285714288</v>
      </c>
      <c r="C54" s="62">
        <v>2</v>
      </c>
      <c r="D54" s="344" t="s">
        <v>167</v>
      </c>
      <c r="E54" s="435"/>
      <c r="F54" s="34"/>
      <c r="G54" s="435"/>
      <c r="H54" s="435"/>
      <c r="I54" s="435"/>
      <c r="J54" s="435"/>
      <c r="K54" s="435"/>
      <c r="L54" s="435"/>
      <c r="M54" s="109"/>
      <c r="N54" s="62">
        <v>19</v>
      </c>
      <c r="O54" s="344" t="s">
        <v>363</v>
      </c>
      <c r="P54" s="62"/>
      <c r="Q54" s="435"/>
      <c r="R54" s="435"/>
      <c r="S54" s="435"/>
      <c r="T54" s="435"/>
      <c r="U54" s="435"/>
      <c r="V54" s="435"/>
      <c r="W54" s="109"/>
      <c r="X54" s="62">
        <v>33</v>
      </c>
      <c r="Y54" s="344" t="s">
        <v>295</v>
      </c>
      <c r="Z54" s="62"/>
      <c r="AA54" s="435"/>
      <c r="AB54" s="435"/>
      <c r="AC54" s="435"/>
      <c r="AD54" s="435"/>
      <c r="AE54" s="435"/>
      <c r="AF54" s="435"/>
      <c r="AG54" s="109"/>
      <c r="AH54" s="62">
        <v>47</v>
      </c>
      <c r="AI54" s="344" t="s">
        <v>460</v>
      </c>
      <c r="AJ54" s="435"/>
      <c r="AK54" s="435"/>
      <c r="AL54" s="435"/>
      <c r="AM54" s="435"/>
      <c r="AN54" s="435"/>
      <c r="AO54" s="435"/>
      <c r="AP54" s="435"/>
      <c r="AQ54" s="435"/>
      <c r="AR54" s="435"/>
      <c r="AS54" s="435"/>
      <c r="AT54" s="435"/>
      <c r="AU54" s="49"/>
      <c r="AV54" s="435"/>
      <c r="AW54" s="435"/>
    </row>
    <row r="55" spans="1:49">
      <c r="A55" s="234"/>
      <c r="B55" s="108"/>
      <c r="C55" s="62">
        <v>3</v>
      </c>
      <c r="D55" s="344" t="s">
        <v>362</v>
      </c>
      <c r="E55" s="435"/>
      <c r="F55" s="34"/>
      <c r="G55" s="435"/>
      <c r="H55" s="435"/>
      <c r="I55" s="435"/>
      <c r="J55" s="435"/>
      <c r="K55" s="435"/>
      <c r="L55" s="435"/>
      <c r="M55" s="109"/>
      <c r="N55" s="62">
        <v>20</v>
      </c>
      <c r="O55" s="344" t="s">
        <v>415</v>
      </c>
      <c r="P55" s="62"/>
      <c r="Q55" s="435"/>
      <c r="R55" s="435"/>
      <c r="S55" s="435"/>
      <c r="T55" s="435"/>
      <c r="U55" s="435"/>
      <c r="V55" s="435"/>
      <c r="W55" s="109"/>
      <c r="X55" s="62">
        <v>34</v>
      </c>
      <c r="Y55" s="344" t="s">
        <v>188</v>
      </c>
      <c r="Z55" s="62"/>
      <c r="AA55" s="435"/>
      <c r="AB55" s="435"/>
      <c r="AC55" s="435"/>
      <c r="AD55" s="435"/>
      <c r="AE55" s="435"/>
      <c r="AF55" s="435"/>
      <c r="AG55" s="109"/>
      <c r="AH55" s="62">
        <v>48</v>
      </c>
      <c r="AI55" s="344" t="s">
        <v>445</v>
      </c>
      <c r="AJ55" s="435"/>
      <c r="AK55" s="435"/>
      <c r="AL55" s="435"/>
      <c r="AM55" s="435"/>
      <c r="AN55" s="435"/>
      <c r="AO55" s="435"/>
      <c r="AP55" s="435"/>
      <c r="AQ55" s="435"/>
      <c r="AR55" s="435"/>
      <c r="AS55" s="435"/>
      <c r="AT55" s="435"/>
      <c r="AU55" s="49"/>
      <c r="AV55" s="435"/>
      <c r="AW55" s="435"/>
    </row>
    <row r="56" spans="1:49">
      <c r="A56" s="234"/>
      <c r="B56" s="108"/>
      <c r="C56" s="62">
        <v>4</v>
      </c>
      <c r="D56" s="344" t="s">
        <v>253</v>
      </c>
      <c r="E56" s="435"/>
      <c r="F56" s="34"/>
      <c r="G56" s="435"/>
      <c r="H56" s="435"/>
      <c r="I56" s="435"/>
      <c r="J56" s="435"/>
      <c r="K56" s="435"/>
      <c r="L56" s="435"/>
      <c r="M56" s="109"/>
      <c r="N56" s="62">
        <v>21</v>
      </c>
      <c r="O56" s="344" t="s">
        <v>446</v>
      </c>
      <c r="P56" s="62"/>
      <c r="Q56" s="435"/>
      <c r="R56" s="435"/>
      <c r="S56" s="435"/>
      <c r="T56" s="435"/>
      <c r="U56" s="435"/>
      <c r="V56" s="435"/>
      <c r="W56" s="109"/>
      <c r="X56" s="62">
        <v>35</v>
      </c>
      <c r="Y56" s="344" t="s">
        <v>447</v>
      </c>
      <c r="Z56" s="62"/>
      <c r="AA56" s="435"/>
      <c r="AB56" s="435"/>
      <c r="AC56" s="435"/>
      <c r="AD56" s="435"/>
      <c r="AE56" s="435"/>
      <c r="AF56" s="435"/>
      <c r="AG56" s="109"/>
      <c r="AH56" s="62">
        <v>49</v>
      </c>
      <c r="AI56" s="344" t="s">
        <v>422</v>
      </c>
      <c r="AJ56" s="435"/>
      <c r="AK56" s="435"/>
      <c r="AL56" s="435"/>
      <c r="AM56" s="435"/>
      <c r="AN56" s="435"/>
      <c r="AO56" s="435"/>
      <c r="AP56" s="435"/>
      <c r="AQ56" s="435"/>
      <c r="AR56" s="435"/>
      <c r="AS56" s="435"/>
      <c r="AT56" s="435"/>
      <c r="AU56" s="49"/>
      <c r="AV56" s="435"/>
      <c r="AW56" s="435"/>
    </row>
    <row r="57" spans="1:49">
      <c r="A57" s="234"/>
      <c r="B57" s="108"/>
      <c r="C57" s="62">
        <v>8</v>
      </c>
      <c r="D57" s="344" t="s">
        <v>186</v>
      </c>
      <c r="E57" s="435"/>
      <c r="F57" s="34"/>
      <c r="G57" s="435"/>
      <c r="H57" s="435"/>
      <c r="I57" s="435"/>
      <c r="J57" s="435"/>
      <c r="K57" s="435"/>
      <c r="L57" s="435"/>
      <c r="M57" s="109"/>
      <c r="N57" s="62">
        <v>24</v>
      </c>
      <c r="O57" s="344" t="s">
        <v>448</v>
      </c>
      <c r="P57" s="62"/>
      <c r="Q57" s="435"/>
      <c r="R57" s="435"/>
      <c r="S57" s="435"/>
      <c r="T57" s="435"/>
      <c r="U57" s="435"/>
      <c r="V57" s="435"/>
      <c r="W57" s="109"/>
      <c r="X57" s="62">
        <v>36</v>
      </c>
      <c r="Y57" s="344" t="s">
        <v>116</v>
      </c>
      <c r="Z57" s="435"/>
      <c r="AA57" s="435"/>
      <c r="AB57" s="435"/>
      <c r="AC57" s="435"/>
      <c r="AD57" s="435"/>
      <c r="AE57" s="435"/>
      <c r="AF57" s="435"/>
      <c r="AG57" s="109"/>
      <c r="AH57" s="62">
        <v>50</v>
      </c>
      <c r="AI57" s="344" t="s">
        <v>117</v>
      </c>
      <c r="AJ57" s="435"/>
      <c r="AK57" s="435"/>
      <c r="AL57" s="435"/>
      <c r="AM57" s="435"/>
      <c r="AN57" s="435"/>
      <c r="AO57" s="435"/>
      <c r="AP57" s="435"/>
      <c r="AQ57" s="435"/>
      <c r="AR57" s="435"/>
      <c r="AS57" s="435"/>
      <c r="AT57" s="435"/>
      <c r="AU57" s="49"/>
      <c r="AV57" s="435"/>
      <c r="AW57" s="435"/>
    </row>
    <row r="58" spans="1:49">
      <c r="A58" s="234"/>
      <c r="B58" s="108"/>
      <c r="C58" s="62">
        <v>12</v>
      </c>
      <c r="D58" s="344" t="s">
        <v>498</v>
      </c>
      <c r="E58" s="435"/>
      <c r="F58" s="435"/>
      <c r="G58" s="435"/>
      <c r="H58" s="435"/>
      <c r="I58" s="435"/>
      <c r="J58" s="435"/>
      <c r="K58" s="435"/>
      <c r="L58" s="435"/>
      <c r="M58" s="109"/>
      <c r="N58" s="62">
        <v>26</v>
      </c>
      <c r="O58" s="344" t="s">
        <v>421</v>
      </c>
      <c r="P58" s="62"/>
      <c r="Q58" s="435"/>
      <c r="R58" s="435"/>
      <c r="S58" s="435"/>
      <c r="T58" s="435"/>
      <c r="U58" s="435"/>
      <c r="V58" s="435"/>
      <c r="W58" s="109"/>
      <c r="X58" s="62">
        <v>37</v>
      </c>
      <c r="Y58" s="344" t="s">
        <v>206</v>
      </c>
      <c r="Z58" s="435"/>
      <c r="AA58" s="435"/>
      <c r="AB58" s="435"/>
      <c r="AC58" s="435"/>
      <c r="AD58" s="435"/>
      <c r="AE58" s="435"/>
      <c r="AF58" s="435"/>
      <c r="AG58" s="109"/>
      <c r="AH58" s="62">
        <v>51</v>
      </c>
      <c r="AI58" s="344" t="s">
        <v>207</v>
      </c>
      <c r="AJ58" s="435"/>
      <c r="AK58" s="435"/>
      <c r="AL58" s="435"/>
      <c r="AM58" s="435"/>
      <c r="AN58" s="435"/>
      <c r="AO58" s="435"/>
      <c r="AP58" s="435"/>
      <c r="AQ58" s="435"/>
      <c r="AR58" s="435"/>
      <c r="AS58" s="435"/>
      <c r="AT58" s="435"/>
      <c r="AU58" s="49"/>
      <c r="AV58" s="435"/>
      <c r="AW58" s="435"/>
    </row>
    <row r="59" spans="1:49">
      <c r="A59" s="234"/>
      <c r="B59" s="108"/>
      <c r="C59" s="62">
        <v>13</v>
      </c>
      <c r="D59" s="344" t="s">
        <v>335</v>
      </c>
      <c r="E59" s="435"/>
      <c r="F59" s="435"/>
      <c r="G59" s="435"/>
      <c r="H59" s="435"/>
      <c r="I59" s="435"/>
      <c r="J59" s="435"/>
      <c r="K59" s="435"/>
      <c r="L59" s="435"/>
      <c r="M59" s="109"/>
      <c r="N59" s="62">
        <v>28</v>
      </c>
      <c r="O59" s="344" t="s">
        <v>424</v>
      </c>
      <c r="P59" s="62"/>
      <c r="Q59" s="435"/>
      <c r="R59" s="435"/>
      <c r="S59" s="435"/>
      <c r="T59" s="435"/>
      <c r="U59" s="435"/>
      <c r="V59" s="435"/>
      <c r="W59" s="109"/>
      <c r="X59" s="62">
        <v>38</v>
      </c>
      <c r="Y59" s="344" t="s">
        <v>133</v>
      </c>
      <c r="Z59" s="435"/>
      <c r="AA59" s="435"/>
      <c r="AB59" s="435"/>
      <c r="AC59" s="435"/>
      <c r="AD59" s="435"/>
      <c r="AE59" s="435"/>
      <c r="AF59" s="435"/>
      <c r="AG59" s="109"/>
      <c r="AH59" s="62">
        <v>52</v>
      </c>
      <c r="AI59" s="344" t="s">
        <v>334</v>
      </c>
      <c r="AJ59" s="435"/>
      <c r="AK59" s="435"/>
      <c r="AL59" s="435"/>
      <c r="AM59" s="435"/>
      <c r="AN59" s="435"/>
      <c r="AO59" s="435"/>
      <c r="AP59" s="435"/>
      <c r="AQ59" s="435"/>
      <c r="AR59" s="435"/>
      <c r="AS59" s="435"/>
      <c r="AT59" s="435"/>
      <c r="AU59" s="49"/>
      <c r="AV59" s="435"/>
      <c r="AW59" s="435"/>
    </row>
    <row r="60" spans="1:49">
      <c r="A60" s="234"/>
      <c r="B60" s="108"/>
      <c r="C60" s="62">
        <v>14</v>
      </c>
      <c r="D60" s="344" t="s">
        <v>425</v>
      </c>
      <c r="E60" s="435"/>
      <c r="F60" s="435"/>
      <c r="G60" s="435"/>
      <c r="H60" s="435"/>
      <c r="I60" s="435"/>
      <c r="J60" s="435"/>
      <c r="K60" s="435"/>
      <c r="L60" s="435"/>
      <c r="M60" s="109"/>
      <c r="N60" s="62">
        <v>30</v>
      </c>
      <c r="O60" s="344" t="s">
        <v>454</v>
      </c>
      <c r="P60" s="435"/>
      <c r="Q60" s="435"/>
      <c r="R60" s="435"/>
      <c r="S60" s="435"/>
      <c r="T60" s="435"/>
      <c r="U60" s="435"/>
      <c r="V60" s="435"/>
      <c r="W60" s="109"/>
      <c r="X60" s="62">
        <v>39</v>
      </c>
      <c r="Y60" s="344" t="s">
        <v>246</v>
      </c>
      <c r="Z60" s="435"/>
      <c r="AA60" s="435"/>
      <c r="AB60" s="435"/>
      <c r="AC60" s="435"/>
      <c r="AD60" s="435"/>
      <c r="AE60" s="435"/>
      <c r="AF60" s="435"/>
      <c r="AG60" s="109"/>
      <c r="AH60" s="62">
        <v>53</v>
      </c>
      <c r="AI60" s="344" t="s">
        <v>247</v>
      </c>
      <c r="AJ60" s="435"/>
      <c r="AK60" s="435"/>
      <c r="AL60" s="435"/>
      <c r="AM60" s="435"/>
      <c r="AN60" s="435"/>
      <c r="AO60" s="435"/>
      <c r="AP60" s="435"/>
      <c r="AQ60" s="435"/>
      <c r="AR60" s="435"/>
      <c r="AS60" s="435"/>
      <c r="AT60" s="435"/>
      <c r="AU60" s="49"/>
      <c r="AV60" s="435"/>
      <c r="AW60" s="435"/>
    </row>
    <row r="61" spans="1:49">
      <c r="A61" s="234"/>
      <c r="B61" s="108"/>
      <c r="C61" s="62">
        <v>15</v>
      </c>
      <c r="D61" s="344" t="s">
        <v>151</v>
      </c>
      <c r="E61" s="435"/>
      <c r="F61" s="435"/>
      <c r="G61" s="435"/>
      <c r="H61" s="435"/>
      <c r="I61" s="435"/>
      <c r="J61" s="435"/>
      <c r="K61" s="435"/>
      <c r="L61" s="435"/>
      <c r="M61" s="109"/>
      <c r="N61" s="62">
        <v>31</v>
      </c>
      <c r="O61" s="344" t="s">
        <v>455</v>
      </c>
      <c r="P61" s="435"/>
      <c r="Q61" s="435"/>
      <c r="R61" s="435"/>
      <c r="S61" s="435"/>
      <c r="T61" s="435"/>
      <c r="U61" s="435"/>
      <c r="V61" s="435"/>
      <c r="W61" s="109"/>
      <c r="X61" s="62">
        <v>40</v>
      </c>
      <c r="Y61" s="344" t="s">
        <v>153</v>
      </c>
      <c r="Z61" s="435"/>
      <c r="AA61" s="435"/>
      <c r="AB61" s="435"/>
      <c r="AC61" s="435"/>
      <c r="AD61" s="435"/>
      <c r="AE61" s="435"/>
      <c r="AF61" s="435"/>
      <c r="AG61" s="109"/>
      <c r="AH61" s="62">
        <v>55</v>
      </c>
      <c r="AI61" s="344" t="s">
        <v>252</v>
      </c>
      <c r="AJ61" s="435"/>
      <c r="AK61" s="435"/>
      <c r="AL61" s="435"/>
      <c r="AM61" s="435"/>
      <c r="AN61" s="435"/>
      <c r="AO61" s="435"/>
      <c r="AP61" s="435"/>
      <c r="AQ61" s="435"/>
      <c r="AR61" s="435"/>
      <c r="AS61" s="435"/>
      <c r="AT61" s="435"/>
      <c r="AU61" s="49"/>
      <c r="AV61" s="435"/>
      <c r="AW61" s="435"/>
    </row>
    <row r="62" spans="1:49">
      <c r="A62" s="234"/>
      <c r="B62" s="108"/>
      <c r="C62" s="62">
        <v>17</v>
      </c>
      <c r="D62" s="344" t="s">
        <v>155</v>
      </c>
      <c r="E62" s="435"/>
      <c r="F62" s="435"/>
      <c r="G62" s="435"/>
      <c r="H62" s="435"/>
      <c r="I62" s="435"/>
      <c r="J62" s="435"/>
      <c r="K62" s="435"/>
      <c r="L62" s="435"/>
      <c r="M62" s="109"/>
      <c r="N62" s="62"/>
      <c r="O62" s="344"/>
      <c r="P62" s="435"/>
      <c r="Q62" s="435"/>
      <c r="R62" s="435"/>
      <c r="S62" s="435"/>
      <c r="T62" s="435"/>
      <c r="U62" s="435"/>
      <c r="V62" s="435"/>
      <c r="W62" s="109"/>
      <c r="X62" s="62"/>
      <c r="Y62" s="344"/>
      <c r="Z62" s="435"/>
      <c r="AA62" s="435"/>
      <c r="AB62" s="435"/>
      <c r="AC62" s="435"/>
      <c r="AD62" s="435"/>
      <c r="AE62" s="435"/>
      <c r="AF62" s="435"/>
      <c r="AG62" s="109"/>
      <c r="AH62" s="62">
        <v>58</v>
      </c>
      <c r="AI62" s="344" t="s">
        <v>51</v>
      </c>
      <c r="AJ62" s="435"/>
      <c r="AK62" s="435"/>
      <c r="AL62" s="435"/>
      <c r="AM62" s="435"/>
      <c r="AN62" s="435"/>
      <c r="AO62" s="435"/>
      <c r="AP62" s="435"/>
      <c r="AQ62" s="435"/>
      <c r="AR62" s="435"/>
      <c r="AS62" s="435"/>
      <c r="AT62" s="435"/>
      <c r="AU62" s="49"/>
      <c r="AV62" s="435"/>
      <c r="AW62" s="435"/>
    </row>
    <row r="63" spans="1:49">
      <c r="A63" s="234"/>
      <c r="B63" s="108"/>
      <c r="C63" s="62"/>
      <c r="D63" s="345"/>
      <c r="E63" s="435"/>
      <c r="F63" s="435"/>
      <c r="G63" s="435"/>
      <c r="H63" s="435"/>
      <c r="I63" s="435"/>
      <c r="J63" s="435"/>
      <c r="K63" s="435"/>
      <c r="L63" s="435"/>
      <c r="M63" s="109"/>
      <c r="N63" s="435"/>
      <c r="O63" s="435"/>
      <c r="P63" s="435"/>
      <c r="Q63" s="435"/>
      <c r="R63" s="435"/>
      <c r="S63" s="435"/>
      <c r="T63" s="435"/>
      <c r="U63" s="435"/>
      <c r="V63" s="435"/>
      <c r="W63" s="109"/>
      <c r="X63" s="62"/>
      <c r="Y63" s="344"/>
      <c r="Z63" s="435"/>
      <c r="AA63" s="435"/>
      <c r="AB63" s="435"/>
      <c r="AC63" s="435"/>
      <c r="AD63" s="435"/>
      <c r="AE63" s="435"/>
      <c r="AF63" s="435"/>
      <c r="AG63" s="109"/>
      <c r="AH63" s="62">
        <v>60</v>
      </c>
      <c r="AI63" s="344" t="s">
        <v>400</v>
      </c>
      <c r="AJ63" s="435"/>
      <c r="AK63" s="435"/>
      <c r="AL63" s="435"/>
      <c r="AM63" s="435"/>
      <c r="AN63" s="435"/>
      <c r="AO63" s="435"/>
      <c r="AP63" s="435"/>
      <c r="AQ63" s="435"/>
      <c r="AR63" s="435"/>
      <c r="AS63" s="435"/>
      <c r="AT63" s="435"/>
      <c r="AU63" s="49"/>
      <c r="AV63" s="435"/>
      <c r="AW63" s="435"/>
    </row>
    <row r="64" spans="1:49">
      <c r="A64" s="234"/>
      <c r="B64" s="108"/>
      <c r="C64" s="62"/>
      <c r="D64" s="345"/>
      <c r="E64" s="435"/>
      <c r="F64" s="435"/>
      <c r="G64" s="435"/>
      <c r="H64" s="435"/>
      <c r="I64" s="435"/>
      <c r="J64" s="435"/>
      <c r="K64" s="435"/>
      <c r="L64" s="435"/>
      <c r="M64" s="109"/>
      <c r="N64" s="435"/>
      <c r="O64" s="435"/>
      <c r="P64" s="435"/>
      <c r="Q64" s="435"/>
      <c r="R64" s="435"/>
      <c r="S64" s="435"/>
      <c r="T64" s="435"/>
      <c r="U64" s="435"/>
      <c r="V64" s="435"/>
      <c r="W64" s="109"/>
      <c r="X64" s="62"/>
      <c r="Y64" s="344"/>
      <c r="Z64" s="435"/>
      <c r="AA64" s="435"/>
      <c r="AB64" s="435"/>
      <c r="AC64" s="435"/>
      <c r="AD64" s="435"/>
      <c r="AE64" s="435"/>
      <c r="AF64" s="435"/>
      <c r="AG64" s="109"/>
      <c r="AH64" s="62">
        <v>61</v>
      </c>
      <c r="AI64" s="344" t="s">
        <v>164</v>
      </c>
      <c r="AJ64" s="435"/>
      <c r="AK64" s="435"/>
      <c r="AL64" s="435"/>
      <c r="AM64" s="435"/>
      <c r="AN64" s="435"/>
      <c r="AO64" s="435"/>
      <c r="AP64" s="435"/>
      <c r="AQ64" s="435"/>
      <c r="AR64" s="435"/>
      <c r="AS64" s="435"/>
      <c r="AT64" s="435"/>
      <c r="AU64" s="49"/>
      <c r="AV64" s="435"/>
      <c r="AW64" s="435"/>
    </row>
    <row r="65" spans="1:49">
      <c r="A65" s="234"/>
      <c r="B65" s="34"/>
      <c r="C65" s="63"/>
      <c r="D65" s="49"/>
      <c r="E65" s="64"/>
      <c r="F65" s="435"/>
      <c r="G65" s="435"/>
      <c r="H65" s="435"/>
      <c r="I65" s="435"/>
      <c r="J65" s="435"/>
      <c r="K65" s="435"/>
      <c r="L65" s="435"/>
      <c r="M65" s="49"/>
      <c r="N65" s="435"/>
      <c r="O65" s="435"/>
      <c r="P65" s="435"/>
      <c r="Q65" s="435"/>
      <c r="R65" s="435"/>
      <c r="S65" s="435"/>
      <c r="T65" s="435"/>
      <c r="U65" s="435"/>
      <c r="V65" s="435"/>
      <c r="W65" s="109"/>
      <c r="X65" s="62"/>
      <c r="Y65" s="344"/>
      <c r="Z65" s="435"/>
      <c r="AA65" s="435"/>
      <c r="AB65" s="435"/>
      <c r="AC65" s="435"/>
      <c r="AD65" s="435"/>
      <c r="AE65" s="435"/>
      <c r="AF65" s="435"/>
      <c r="AG65" s="109"/>
      <c r="AH65" s="62">
        <v>62</v>
      </c>
      <c r="AI65" s="344" t="s">
        <v>165</v>
      </c>
      <c r="AJ65" s="435"/>
      <c r="AK65" s="435"/>
      <c r="AL65" s="435"/>
      <c r="AM65" s="435"/>
      <c r="AN65" s="435"/>
      <c r="AO65" s="435"/>
      <c r="AP65" s="435"/>
      <c r="AQ65" s="435"/>
      <c r="AR65" s="435"/>
      <c r="AS65" s="435"/>
      <c r="AT65" s="435"/>
      <c r="AU65" s="435"/>
      <c r="AV65" s="435"/>
      <c r="AW65" s="435"/>
    </row>
    <row r="66" spans="1:49">
      <c r="A66" s="234"/>
      <c r="B66" s="34"/>
      <c r="C66" s="49"/>
      <c r="D66" s="49"/>
      <c r="E66" s="49"/>
      <c r="F66" s="435"/>
      <c r="G66" s="435"/>
      <c r="H66" s="435"/>
      <c r="I66" s="435"/>
      <c r="J66" s="435"/>
      <c r="K66" s="435"/>
      <c r="L66" s="435"/>
      <c r="M66" s="49"/>
      <c r="N66" s="435"/>
      <c r="O66" s="435"/>
      <c r="P66" s="435"/>
      <c r="Q66" s="435"/>
      <c r="R66" s="435"/>
      <c r="S66" s="435"/>
      <c r="T66" s="435"/>
      <c r="U66" s="435"/>
      <c r="V66" s="435"/>
      <c r="W66" s="109"/>
      <c r="X66" s="62"/>
      <c r="Y66" s="344"/>
      <c r="Z66" s="435"/>
      <c r="AA66" s="435"/>
      <c r="AB66" s="435"/>
      <c r="AC66" s="435"/>
      <c r="AD66" s="435"/>
      <c r="AE66" s="435"/>
      <c r="AF66" s="435"/>
      <c r="AG66" s="109"/>
      <c r="AH66" s="62"/>
      <c r="AI66" s="344"/>
      <c r="AJ66" s="435"/>
      <c r="AK66" s="435"/>
      <c r="AL66" s="435"/>
      <c r="AM66" s="435"/>
      <c r="AN66" s="435"/>
      <c r="AO66" s="435"/>
      <c r="AP66" s="435"/>
      <c r="AQ66" s="435"/>
      <c r="AR66" s="435"/>
      <c r="AS66" s="435"/>
      <c r="AT66" s="435"/>
      <c r="AU66" s="435"/>
      <c r="AV66" s="435"/>
      <c r="AW66" s="435"/>
    </row>
    <row r="67" spans="1:49">
      <c r="A67" s="234"/>
      <c r="B67" s="34"/>
      <c r="C67" s="49"/>
      <c r="D67" s="49"/>
      <c r="E67" s="49"/>
      <c r="F67" s="435"/>
      <c r="G67" s="435"/>
      <c r="H67" s="435"/>
      <c r="I67" s="435"/>
      <c r="J67" s="435"/>
      <c r="K67" s="435"/>
      <c r="L67" s="435"/>
      <c r="M67" s="49"/>
      <c r="N67" s="435"/>
      <c r="O67" s="435"/>
      <c r="P67" s="435"/>
      <c r="Q67" s="435"/>
      <c r="R67" s="435"/>
      <c r="S67" s="435"/>
      <c r="T67" s="435"/>
      <c r="U67" s="435"/>
      <c r="V67" s="435"/>
      <c r="W67" s="49"/>
      <c r="X67" s="62"/>
      <c r="Y67" s="346"/>
      <c r="Z67" s="435"/>
      <c r="AA67" s="435"/>
      <c r="AB67" s="435"/>
      <c r="AC67" s="435"/>
      <c r="AD67" s="435"/>
      <c r="AE67" s="435"/>
      <c r="AF67" s="435"/>
      <c r="AG67" s="109"/>
      <c r="AH67" s="62"/>
      <c r="AI67" s="344"/>
      <c r="AJ67" s="435"/>
      <c r="AK67" s="435"/>
      <c r="AL67" s="435"/>
      <c r="AM67" s="435"/>
      <c r="AN67" s="435"/>
      <c r="AO67" s="435"/>
      <c r="AP67" s="435"/>
      <c r="AQ67" s="435"/>
      <c r="AR67" s="435"/>
      <c r="AS67" s="435"/>
      <c r="AT67" s="435"/>
      <c r="AU67" s="435"/>
      <c r="AV67" s="435"/>
      <c r="AW67" s="435"/>
    </row>
    <row r="68" spans="1:49">
      <c r="A68" s="234"/>
      <c r="B68" s="34"/>
      <c r="C68" s="49"/>
      <c r="D68" s="49"/>
      <c r="E68" s="49"/>
      <c r="F68" s="435"/>
      <c r="G68" s="435"/>
      <c r="H68" s="435"/>
      <c r="I68" s="435"/>
      <c r="J68" s="435"/>
      <c r="K68" s="435"/>
      <c r="L68" s="435"/>
      <c r="M68" s="49"/>
      <c r="N68" s="435"/>
      <c r="O68" s="435"/>
      <c r="P68" s="435"/>
      <c r="Q68" s="435"/>
      <c r="R68" s="435"/>
      <c r="S68" s="435"/>
      <c r="T68" s="435"/>
      <c r="U68" s="435"/>
      <c r="V68" s="435"/>
      <c r="W68" s="49"/>
      <c r="X68" s="62"/>
      <c r="Y68" s="346"/>
      <c r="Z68" s="435"/>
      <c r="AA68" s="435"/>
      <c r="AB68" s="435"/>
      <c r="AC68" s="435"/>
      <c r="AD68" s="435"/>
      <c r="AE68" s="435"/>
      <c r="AF68" s="435"/>
      <c r="AG68" s="109"/>
      <c r="AH68" s="62"/>
      <c r="AI68" s="344"/>
      <c r="AJ68" s="435"/>
      <c r="AK68" s="435"/>
      <c r="AL68" s="435"/>
      <c r="AM68" s="435"/>
      <c r="AN68" s="435"/>
      <c r="AO68" s="435"/>
      <c r="AP68" s="435"/>
      <c r="AQ68" s="435"/>
      <c r="AR68" s="435"/>
      <c r="AS68" s="435"/>
      <c r="AT68" s="435"/>
      <c r="AU68" s="435"/>
      <c r="AV68" s="435"/>
      <c r="AW68" s="435"/>
    </row>
    <row r="69" spans="1:49">
      <c r="A69" s="234"/>
      <c r="B69" s="34"/>
      <c r="C69" s="49"/>
      <c r="D69" s="49"/>
      <c r="E69" s="49"/>
      <c r="F69" s="435"/>
      <c r="G69" s="435"/>
      <c r="H69" s="435"/>
      <c r="I69" s="435"/>
      <c r="J69" s="435"/>
      <c r="K69" s="435"/>
      <c r="L69" s="435"/>
      <c r="M69" s="49"/>
      <c r="N69" s="435"/>
      <c r="O69" s="435"/>
      <c r="P69" s="435"/>
      <c r="Q69" s="435"/>
      <c r="R69" s="435"/>
      <c r="S69" s="435"/>
      <c r="T69" s="435"/>
      <c r="U69" s="435"/>
      <c r="V69" s="435"/>
      <c r="W69" s="49"/>
      <c r="X69" s="62"/>
      <c r="Y69" s="346"/>
      <c r="Z69" s="435"/>
      <c r="AA69" s="435"/>
      <c r="AB69" s="435"/>
      <c r="AC69" s="435"/>
      <c r="AD69" s="435"/>
      <c r="AE69" s="435"/>
      <c r="AF69" s="435"/>
      <c r="AG69" s="109"/>
      <c r="AH69" s="62"/>
      <c r="AI69" s="344"/>
      <c r="AJ69" s="435"/>
      <c r="AK69" s="435"/>
      <c r="AL69" s="435"/>
      <c r="AM69" s="435"/>
      <c r="AN69" s="435"/>
      <c r="AO69" s="435"/>
      <c r="AP69" s="435"/>
      <c r="AQ69" s="435"/>
      <c r="AR69" s="435"/>
      <c r="AS69" s="435"/>
      <c r="AT69" s="435"/>
      <c r="AU69" s="435"/>
      <c r="AV69" s="435"/>
      <c r="AW69" s="435"/>
    </row>
    <row r="81" spans="2:8">
      <c r="B81" s="258" t="s">
        <v>318</v>
      </c>
      <c r="C81" s="353" t="s">
        <v>276</v>
      </c>
      <c r="D81" s="353" t="s">
        <v>391</v>
      </c>
      <c r="E81" s="353" t="s">
        <v>130</v>
      </c>
      <c r="F81" s="353" t="s">
        <v>131</v>
      </c>
      <c r="G81" s="353" t="s">
        <v>5</v>
      </c>
      <c r="H81" s="553" t="s">
        <v>6</v>
      </c>
    </row>
    <row r="82" spans="2:8">
      <c r="B82" s="361" t="s">
        <v>457</v>
      </c>
      <c r="C82" s="362">
        <v>57</v>
      </c>
      <c r="D82" s="362">
        <v>5.5853658536585362</v>
      </c>
      <c r="E82" s="362">
        <v>6.6</v>
      </c>
      <c r="F82" s="362">
        <v>5.666666666666667</v>
      </c>
      <c r="G82" s="362">
        <v>7.7777777777777777</v>
      </c>
      <c r="H82" s="21">
        <v>3.2307692307692308</v>
      </c>
    </row>
    <row r="83" spans="2:8">
      <c r="B83" s="355" t="s">
        <v>0</v>
      </c>
      <c r="C83" s="34">
        <v>101</v>
      </c>
      <c r="D83" s="34">
        <v>5.9024390243902438</v>
      </c>
      <c r="E83" s="34">
        <v>9</v>
      </c>
      <c r="F83" s="34">
        <v>7.2222222222222223</v>
      </c>
      <c r="G83" s="34">
        <v>2.1111111111111112</v>
      </c>
      <c r="H83" s="349">
        <v>5.2307692307692308</v>
      </c>
    </row>
    <row r="84" spans="2:8">
      <c r="B84" s="355" t="s">
        <v>350</v>
      </c>
      <c r="C84" s="34">
        <v>33</v>
      </c>
      <c r="D84" s="34">
        <v>6.9268292682926829</v>
      </c>
      <c r="E84" s="34">
        <v>8.6999999999999993</v>
      </c>
      <c r="F84" s="34">
        <v>9.4444444444444446</v>
      </c>
      <c r="G84" s="34">
        <v>7.333333333333333</v>
      </c>
      <c r="H84" s="349">
        <v>3.5384615384615383</v>
      </c>
    </row>
    <row r="85" spans="2:8">
      <c r="B85" s="355" t="s">
        <v>477</v>
      </c>
      <c r="C85" s="34">
        <v>22</v>
      </c>
      <c r="D85" s="34">
        <v>7.7317073170731705</v>
      </c>
      <c r="E85" s="34">
        <v>7.9</v>
      </c>
      <c r="F85" s="34">
        <v>9.1111111111111107</v>
      </c>
      <c r="G85" s="34">
        <v>6.666666666666667</v>
      </c>
      <c r="H85" s="349">
        <v>7.384615384615385</v>
      </c>
    </row>
    <row r="86" spans="2:8">
      <c r="B86" s="355" t="s">
        <v>356</v>
      </c>
      <c r="C86" s="34">
        <v>82</v>
      </c>
      <c r="D86" s="34">
        <v>6.7073170731707314</v>
      </c>
      <c r="E86" s="34">
        <v>8.5</v>
      </c>
      <c r="F86" s="34">
        <v>8.8888888888888893</v>
      </c>
      <c r="G86" s="34">
        <v>3.1111111111111112</v>
      </c>
      <c r="H86" s="349">
        <v>6.3076923076923075</v>
      </c>
    </row>
    <row r="87" spans="2:8">
      <c r="B87" s="355" t="s">
        <v>478</v>
      </c>
      <c r="C87" s="34">
        <v>8</v>
      </c>
      <c r="D87" s="34">
        <v>7.2682926829268295</v>
      </c>
      <c r="E87" s="34">
        <v>10</v>
      </c>
      <c r="F87" s="34">
        <v>8.4444444444444446</v>
      </c>
      <c r="G87" s="34">
        <v>6.666666666666667</v>
      </c>
      <c r="H87" s="349">
        <v>4.7692307692307692</v>
      </c>
    </row>
    <row r="88" spans="2:8">
      <c r="B88" s="355" t="s">
        <v>1</v>
      </c>
      <c r="C88" s="34">
        <v>102</v>
      </c>
      <c r="D88" s="34">
        <v>5.7317073170731705</v>
      </c>
      <c r="E88" s="34">
        <v>7.5</v>
      </c>
      <c r="F88" s="34">
        <v>7.333333333333333</v>
      </c>
      <c r="G88" s="34">
        <v>6.2222222222222223</v>
      </c>
      <c r="H88" s="349">
        <v>2.9230769230769229</v>
      </c>
    </row>
    <row r="89" spans="2:8">
      <c r="B89" s="355" t="s">
        <v>35</v>
      </c>
      <c r="C89" s="34">
        <v>103</v>
      </c>
      <c r="D89" s="34">
        <v>5.9512195121951219</v>
      </c>
      <c r="E89" s="34">
        <v>5.9</v>
      </c>
      <c r="F89" s="34">
        <v>8.8888888888888893</v>
      </c>
      <c r="G89" s="34">
        <v>7</v>
      </c>
      <c r="H89" s="349">
        <v>3.2307692307692308</v>
      </c>
    </row>
    <row r="90" spans="2:8">
      <c r="B90" s="355" t="s">
        <v>499</v>
      </c>
      <c r="C90" s="34">
        <v>3</v>
      </c>
      <c r="D90" s="34">
        <v>7.6585365853658534</v>
      </c>
      <c r="E90" s="34">
        <v>8.6</v>
      </c>
      <c r="F90" s="34">
        <v>8.4444444444444446</v>
      </c>
      <c r="G90" s="34">
        <v>7.333333333333333</v>
      </c>
      <c r="H90" s="349">
        <v>6.615384615384615</v>
      </c>
    </row>
    <row r="91" spans="2:8">
      <c r="B91" s="355" t="s">
        <v>479</v>
      </c>
      <c r="C91" s="34">
        <v>7</v>
      </c>
      <c r="D91" s="34">
        <v>1.9512195121951219</v>
      </c>
      <c r="E91" s="34">
        <v>1</v>
      </c>
      <c r="F91" s="34">
        <v>3.8888888888888888</v>
      </c>
      <c r="G91" s="34">
        <v>3.6666666666666665</v>
      </c>
      <c r="H91" s="349">
        <v>0.15384615384615385</v>
      </c>
    </row>
    <row r="92" spans="2:8">
      <c r="B92" s="355" t="s">
        <v>480</v>
      </c>
      <c r="C92" s="34">
        <v>52</v>
      </c>
      <c r="D92" s="34">
        <v>8.5853658536585371</v>
      </c>
      <c r="E92" s="34">
        <v>8.5</v>
      </c>
      <c r="F92" s="34">
        <v>6.5555555555555554</v>
      </c>
      <c r="G92" s="34">
        <v>9.1111111111111107</v>
      </c>
      <c r="H92" s="349">
        <v>9.6923076923076916</v>
      </c>
    </row>
    <row r="93" spans="2:8">
      <c r="B93" s="355" t="s">
        <v>408</v>
      </c>
      <c r="C93" s="34">
        <v>105</v>
      </c>
      <c r="D93" s="34">
        <v>9.463414634146341</v>
      </c>
      <c r="E93" s="34">
        <v>9.8000000000000007</v>
      </c>
      <c r="F93" s="34">
        <v>10</v>
      </c>
      <c r="G93" s="34">
        <v>9.5555555555555554</v>
      </c>
      <c r="H93" s="349">
        <v>8.7692307692307701</v>
      </c>
    </row>
    <row r="94" spans="2:8">
      <c r="B94" s="355" t="s">
        <v>337</v>
      </c>
      <c r="C94" s="34">
        <v>109</v>
      </c>
      <c r="D94" s="34">
        <v>8.8536585365853657</v>
      </c>
      <c r="E94" s="34">
        <v>7.9</v>
      </c>
      <c r="F94" s="34">
        <v>9.5555555555555554</v>
      </c>
      <c r="G94" s="34">
        <v>9.5555555555555554</v>
      </c>
      <c r="H94" s="349">
        <v>8.615384615384615</v>
      </c>
    </row>
    <row r="95" spans="2:8">
      <c r="B95" s="355" t="s">
        <v>338</v>
      </c>
      <c r="C95" s="34">
        <v>71</v>
      </c>
      <c r="D95" s="34">
        <v>7.6829268292682924</v>
      </c>
      <c r="E95" s="34">
        <v>7.9</v>
      </c>
      <c r="F95" s="34">
        <v>8.4444444444444446</v>
      </c>
      <c r="G95" s="34">
        <v>7.333333333333333</v>
      </c>
      <c r="H95" s="349">
        <v>7.2307692307692308</v>
      </c>
    </row>
    <row r="96" spans="2:8">
      <c r="B96" s="355" t="s">
        <v>481</v>
      </c>
      <c r="C96" s="34">
        <v>11</v>
      </c>
      <c r="D96" s="34">
        <v>8.536585365853659</v>
      </c>
      <c r="E96" s="34">
        <v>8.8000000000000007</v>
      </c>
      <c r="F96" s="34">
        <v>9.5555555555555554</v>
      </c>
      <c r="G96" s="34">
        <v>8</v>
      </c>
      <c r="H96" s="349">
        <v>8</v>
      </c>
    </row>
    <row r="97" spans="2:8">
      <c r="B97" s="355" t="s">
        <v>248</v>
      </c>
      <c r="C97" s="34">
        <v>110</v>
      </c>
      <c r="D97" s="34">
        <v>9.1707317073170724</v>
      </c>
      <c r="E97" s="34">
        <v>9.6</v>
      </c>
      <c r="F97" s="34">
        <v>10</v>
      </c>
      <c r="G97" s="34">
        <v>8.6666666666666661</v>
      </c>
      <c r="H97" s="349">
        <v>8.615384615384615</v>
      </c>
    </row>
    <row r="98" spans="2:8">
      <c r="B98" s="355" t="s">
        <v>82</v>
      </c>
      <c r="C98" s="34">
        <v>703</v>
      </c>
      <c r="D98" s="34">
        <v>4.5121951219512191</v>
      </c>
      <c r="E98" s="34">
        <v>5.8</v>
      </c>
      <c r="F98" s="34">
        <v>7</v>
      </c>
      <c r="G98" s="34">
        <v>4</v>
      </c>
      <c r="H98" s="349">
        <v>2.1538461538461537</v>
      </c>
    </row>
    <row r="99" spans="2:8">
      <c r="B99" s="355" t="s">
        <v>431</v>
      </c>
      <c r="C99" s="34">
        <v>75</v>
      </c>
      <c r="D99" s="34">
        <v>7.9512195121951219</v>
      </c>
      <c r="E99" s="34">
        <v>8.3000000000000007</v>
      </c>
      <c r="F99" s="34">
        <v>8.4444444444444446</v>
      </c>
      <c r="G99" s="34">
        <v>8.3333333333333339</v>
      </c>
      <c r="H99" s="349">
        <v>7.0769230769230766</v>
      </c>
    </row>
    <row r="100" spans="2:8">
      <c r="B100" s="355" t="s">
        <v>353</v>
      </c>
      <c r="C100" s="34">
        <v>17</v>
      </c>
      <c r="D100" s="34">
        <v>8.3658536585365848</v>
      </c>
      <c r="E100" s="34">
        <v>7.9</v>
      </c>
      <c r="F100" s="34">
        <v>9.1111111111111107</v>
      </c>
      <c r="G100" s="34">
        <v>8</v>
      </c>
      <c r="H100" s="349">
        <v>8.4615384615384617</v>
      </c>
    </row>
    <row r="101" spans="2:8">
      <c r="B101" s="355" t="s">
        <v>482</v>
      </c>
      <c r="C101" s="34">
        <v>1</v>
      </c>
      <c r="D101" s="34">
        <v>8.3414634146341466</v>
      </c>
      <c r="E101" s="34">
        <v>7.9</v>
      </c>
      <c r="F101" s="34">
        <v>9</v>
      </c>
      <c r="G101" s="34">
        <v>7.5555555555555554</v>
      </c>
      <c r="H101" s="349">
        <v>8.7692307692307701</v>
      </c>
    </row>
    <row r="102" spans="2:8">
      <c r="B102" s="355" t="s">
        <v>483</v>
      </c>
      <c r="C102" s="34">
        <v>111</v>
      </c>
      <c r="D102" s="34">
        <v>6.6585365853658534</v>
      </c>
      <c r="E102" s="34">
        <v>7.7</v>
      </c>
      <c r="F102" s="34">
        <v>9.1111111111111107</v>
      </c>
      <c r="G102" s="34">
        <v>9.1111111111111107</v>
      </c>
      <c r="H102" s="349">
        <v>2.4615384615384617</v>
      </c>
    </row>
    <row r="103" spans="2:8">
      <c r="B103" s="355" t="s">
        <v>484</v>
      </c>
      <c r="C103" s="34">
        <v>112</v>
      </c>
      <c r="D103" s="34">
        <v>6.5853658536585362</v>
      </c>
      <c r="E103" s="34">
        <v>6.8</v>
      </c>
      <c r="F103" s="34">
        <v>9.1111111111111107</v>
      </c>
      <c r="G103" s="34">
        <v>0</v>
      </c>
      <c r="H103" s="349">
        <v>9.2307692307692299</v>
      </c>
    </row>
    <row r="104" spans="2:8">
      <c r="B104" s="355" t="s">
        <v>485</v>
      </c>
      <c r="C104" s="34">
        <v>20</v>
      </c>
      <c r="D104" s="34">
        <v>6.8292682926829267</v>
      </c>
      <c r="E104" s="34">
        <v>9.1999999999999993</v>
      </c>
      <c r="F104" s="34">
        <v>9.5555555555555554</v>
      </c>
      <c r="G104" s="34">
        <v>7.7777777777777777</v>
      </c>
      <c r="H104" s="349">
        <v>2.4615384615384617</v>
      </c>
    </row>
    <row r="105" spans="2:8">
      <c r="B105" s="355" t="s">
        <v>426</v>
      </c>
      <c r="C105" s="34">
        <v>37</v>
      </c>
      <c r="D105" s="34">
        <v>8.4390243902439028</v>
      </c>
      <c r="E105" s="34">
        <v>6.2</v>
      </c>
      <c r="F105" s="34">
        <v>9.1111111111111107</v>
      </c>
      <c r="G105" s="34">
        <v>8.4444444444444446</v>
      </c>
      <c r="H105" s="349">
        <v>9.6923076923076916</v>
      </c>
    </row>
    <row r="106" spans="2:8">
      <c r="B106" s="355" t="s">
        <v>342</v>
      </c>
      <c r="C106" s="34">
        <v>113</v>
      </c>
      <c r="D106" s="34">
        <v>8.4878048780487809</v>
      </c>
      <c r="E106" s="34">
        <v>6.2</v>
      </c>
      <c r="F106" s="34">
        <v>9.1111111111111107</v>
      </c>
      <c r="G106" s="34">
        <v>10</v>
      </c>
      <c r="H106" s="349">
        <v>8.7692307692307701</v>
      </c>
    </row>
    <row r="107" spans="2:8">
      <c r="B107" s="355" t="s">
        <v>343</v>
      </c>
      <c r="C107" s="34">
        <v>114</v>
      </c>
      <c r="D107" s="34">
        <v>5.3658536585365857</v>
      </c>
      <c r="E107" s="34">
        <v>5.6</v>
      </c>
      <c r="F107" s="34">
        <v>9.5555555555555554</v>
      </c>
      <c r="G107" s="34">
        <v>6.2222222222222223</v>
      </c>
      <c r="H107" s="349">
        <v>1.6923076923076923</v>
      </c>
    </row>
    <row r="108" spans="2:8">
      <c r="B108" s="355" t="s">
        <v>344</v>
      </c>
      <c r="C108" s="34">
        <v>115</v>
      </c>
      <c r="D108" s="34">
        <v>7.8780487804878048</v>
      </c>
      <c r="E108" s="34">
        <v>9.1</v>
      </c>
      <c r="F108" s="34">
        <v>10</v>
      </c>
      <c r="G108" s="34">
        <v>7.333333333333333</v>
      </c>
      <c r="H108" s="349">
        <v>5.8461538461538458</v>
      </c>
    </row>
    <row r="109" spans="2:8">
      <c r="B109" s="355" t="s">
        <v>172</v>
      </c>
      <c r="C109" s="34">
        <v>116</v>
      </c>
      <c r="D109" s="34">
        <v>5.1951219512195124</v>
      </c>
      <c r="E109" s="34">
        <v>6.6</v>
      </c>
      <c r="F109" s="34">
        <v>8.3333333333333339</v>
      </c>
      <c r="G109" s="34">
        <v>2.8888888888888888</v>
      </c>
      <c r="H109" s="349">
        <v>3.5384615384615383</v>
      </c>
    </row>
    <row r="110" spans="2:8">
      <c r="B110" s="355" t="s">
        <v>486</v>
      </c>
      <c r="C110" s="34">
        <v>61</v>
      </c>
      <c r="D110" s="34">
        <v>1.024390243902439</v>
      </c>
      <c r="E110" s="34">
        <v>2.5</v>
      </c>
      <c r="F110" s="34">
        <v>1.8888888888888888</v>
      </c>
      <c r="G110" s="34">
        <v>0</v>
      </c>
      <c r="H110" s="349">
        <v>0</v>
      </c>
    </row>
    <row r="111" spans="2:8">
      <c r="B111" s="355" t="s">
        <v>461</v>
      </c>
      <c r="C111" s="34">
        <v>202</v>
      </c>
      <c r="D111" s="34">
        <v>5.8048780487804876</v>
      </c>
      <c r="E111" s="34">
        <v>4.8</v>
      </c>
      <c r="F111" s="34">
        <v>7.7777777777777777</v>
      </c>
      <c r="G111" s="34">
        <v>6.4444444444444446</v>
      </c>
      <c r="H111" s="349">
        <v>4.7692307692307692</v>
      </c>
    </row>
    <row r="112" spans="2:8">
      <c r="B112" s="355" t="s">
        <v>487</v>
      </c>
      <c r="C112" s="34">
        <v>68</v>
      </c>
      <c r="D112" s="34">
        <v>4.975609756097561</v>
      </c>
      <c r="E112" s="34">
        <v>6.3</v>
      </c>
      <c r="F112" s="34">
        <v>6.5555555555555554</v>
      </c>
      <c r="G112" s="34">
        <v>0</v>
      </c>
      <c r="H112" s="349">
        <v>6.3076923076923075</v>
      </c>
    </row>
    <row r="113" spans="2:22">
      <c r="B113" s="355" t="s">
        <v>488</v>
      </c>
      <c r="C113" s="34">
        <v>62</v>
      </c>
      <c r="D113" s="34">
        <v>6.9512195121951219</v>
      </c>
      <c r="E113" s="34">
        <v>8.4</v>
      </c>
      <c r="F113" s="34">
        <v>9</v>
      </c>
      <c r="G113" s="34">
        <v>2.2222222222222223</v>
      </c>
      <c r="H113" s="349">
        <v>7.6923076923076925</v>
      </c>
    </row>
    <row r="114" spans="2:22">
      <c r="B114" s="355" t="s">
        <v>489</v>
      </c>
      <c r="C114" s="34">
        <v>45</v>
      </c>
      <c r="D114" s="34">
        <v>5.4878048780487809</v>
      </c>
      <c r="E114" s="34">
        <v>5.6</v>
      </c>
      <c r="F114" s="34">
        <v>6.8888888888888893</v>
      </c>
      <c r="G114" s="34">
        <v>5.4444444444444446</v>
      </c>
      <c r="H114" s="349">
        <v>4.4615384615384617</v>
      </c>
    </row>
    <row r="115" spans="2:22">
      <c r="B115" s="355" t="s">
        <v>85</v>
      </c>
      <c r="C115" s="34">
        <v>201</v>
      </c>
      <c r="D115" s="34">
        <v>3.0975609756097562</v>
      </c>
      <c r="E115" s="34">
        <v>4.2</v>
      </c>
      <c r="F115" s="34">
        <v>3.6666666666666665</v>
      </c>
      <c r="G115" s="34">
        <v>5.5555555555555554</v>
      </c>
      <c r="H115" s="349">
        <v>0.15384615384615385</v>
      </c>
    </row>
    <row r="116" spans="2:22">
      <c r="B116" s="355" t="s">
        <v>490</v>
      </c>
      <c r="C116" s="34">
        <v>46</v>
      </c>
      <c r="D116" s="34">
        <v>8.1951219512195124</v>
      </c>
      <c r="E116" s="34">
        <v>7.9</v>
      </c>
      <c r="F116" s="34">
        <v>8.4444444444444446</v>
      </c>
      <c r="G116" s="34">
        <v>7.2222222222222223</v>
      </c>
      <c r="H116" s="349">
        <v>8.9230769230769234</v>
      </c>
    </row>
    <row r="117" spans="2:22">
      <c r="B117" s="355" t="s">
        <v>491</v>
      </c>
      <c r="C117" s="34">
        <v>118</v>
      </c>
      <c r="D117" s="34">
        <v>0.34146341463414637</v>
      </c>
      <c r="E117" s="34">
        <v>0</v>
      </c>
      <c r="F117" s="34">
        <v>1.1111111111111112</v>
      </c>
      <c r="G117" s="34">
        <v>0.22222222222222221</v>
      </c>
      <c r="H117" s="349">
        <v>0.15384615384615385</v>
      </c>
    </row>
    <row r="118" spans="2:22">
      <c r="B118" s="355" t="s">
        <v>492</v>
      </c>
      <c r="C118" s="34">
        <v>60</v>
      </c>
      <c r="D118" s="34">
        <v>4.1463414634146343</v>
      </c>
      <c r="E118" s="34">
        <v>5.4</v>
      </c>
      <c r="F118" s="34">
        <v>6.8888888888888893</v>
      </c>
      <c r="G118" s="34">
        <v>4.4444444444444446</v>
      </c>
      <c r="H118" s="349">
        <v>1.0769230769230769</v>
      </c>
    </row>
    <row r="119" spans="2:22">
      <c r="B119" s="355" t="s">
        <v>493</v>
      </c>
      <c r="C119" s="34">
        <v>48</v>
      </c>
      <c r="D119" s="34">
        <v>9</v>
      </c>
      <c r="E119" s="34">
        <v>8</v>
      </c>
      <c r="F119" s="34">
        <v>9.4444444444444446</v>
      </c>
      <c r="G119" s="34">
        <v>9.1111111111111107</v>
      </c>
      <c r="H119" s="349">
        <v>9.384615384615385</v>
      </c>
    </row>
    <row r="120" spans="2:22">
      <c r="B120" s="355" t="s">
        <v>494</v>
      </c>
      <c r="C120" s="34">
        <v>50</v>
      </c>
      <c r="D120" s="34">
        <v>8.6829268292682933</v>
      </c>
      <c r="E120" s="34">
        <v>8.1</v>
      </c>
      <c r="F120" s="34">
        <v>9.4444444444444446</v>
      </c>
      <c r="G120" s="34">
        <v>10</v>
      </c>
      <c r="H120" s="349">
        <v>7.6923076923076925</v>
      </c>
    </row>
    <row r="121" spans="2:22">
      <c r="B121" s="355" t="s">
        <v>329</v>
      </c>
      <c r="C121" s="34">
        <v>36</v>
      </c>
      <c r="D121" s="34">
        <v>8.0975609756097562</v>
      </c>
      <c r="E121" s="34">
        <v>7.2</v>
      </c>
      <c r="F121" s="34">
        <v>8.4444444444444446</v>
      </c>
      <c r="G121" s="34">
        <v>8</v>
      </c>
      <c r="H121" s="349">
        <v>8.615384615384615</v>
      </c>
    </row>
    <row r="122" spans="2:22">
      <c r="B122" s="355" t="s">
        <v>309</v>
      </c>
      <c r="C122" s="34">
        <v>77</v>
      </c>
      <c r="D122" s="34">
        <v>6.0487804878048781</v>
      </c>
      <c r="E122" s="34">
        <v>7.4</v>
      </c>
      <c r="F122" s="34">
        <v>7.333333333333333</v>
      </c>
      <c r="G122" s="34">
        <v>6.8888888888888893</v>
      </c>
      <c r="H122" s="349">
        <v>3.5384615384615383</v>
      </c>
    </row>
    <row r="123" spans="2:22">
      <c r="B123" s="355" t="s">
        <v>267</v>
      </c>
      <c r="C123" s="34">
        <v>120</v>
      </c>
      <c r="D123" s="34">
        <v>4.7317073170731705</v>
      </c>
      <c r="E123" s="34">
        <v>9.1</v>
      </c>
      <c r="F123" s="34">
        <v>6.333333333333333</v>
      </c>
      <c r="G123" s="34">
        <v>5.1111111111111107</v>
      </c>
      <c r="H123" s="349">
        <v>0</v>
      </c>
    </row>
    <row r="124" spans="2:22">
      <c r="B124" s="355" t="s">
        <v>495</v>
      </c>
      <c r="C124" s="34">
        <v>121</v>
      </c>
      <c r="D124" s="34">
        <v>0.34146341463414637</v>
      </c>
      <c r="E124" s="34">
        <v>0</v>
      </c>
      <c r="F124" s="34">
        <v>1.1111111111111112</v>
      </c>
      <c r="G124" s="34">
        <v>0.22222222222222221</v>
      </c>
      <c r="H124" s="349">
        <v>0.15384615384615385</v>
      </c>
    </row>
    <row r="125" spans="2:22">
      <c r="B125" s="355" t="s">
        <v>451</v>
      </c>
      <c r="C125" s="34">
        <v>34</v>
      </c>
      <c r="D125" s="34">
        <v>5.6585365853658534</v>
      </c>
      <c r="E125" s="34">
        <v>7</v>
      </c>
      <c r="F125" s="34">
        <v>9.3333333333333339</v>
      </c>
      <c r="G125" s="34">
        <v>8.6666666666666661</v>
      </c>
      <c r="H125" s="349">
        <v>0</v>
      </c>
    </row>
    <row r="126" spans="2:22">
      <c r="B126" s="355" t="s">
        <v>496</v>
      </c>
      <c r="C126" s="34">
        <v>14</v>
      </c>
      <c r="D126" s="34">
        <v>6.3658536585365857</v>
      </c>
      <c r="E126" s="34">
        <v>7.6</v>
      </c>
      <c r="F126" s="34">
        <v>7.1111111111111107</v>
      </c>
      <c r="G126" s="34">
        <v>4.7777777777777777</v>
      </c>
      <c r="H126" s="349">
        <v>6</v>
      </c>
    </row>
    <row r="127" spans="2:22">
      <c r="B127" s="356" t="s">
        <v>497</v>
      </c>
      <c r="C127" s="350">
        <v>64</v>
      </c>
      <c r="D127" s="350">
        <v>5.6829268292682924</v>
      </c>
      <c r="E127" s="350">
        <v>7.8</v>
      </c>
      <c r="F127" s="350">
        <v>4.5555555555555554</v>
      </c>
      <c r="G127" s="350">
        <v>4.4444444444444446</v>
      </c>
      <c r="H127" s="351">
        <v>5.6923076923076925</v>
      </c>
      <c r="I127" s="34"/>
      <c r="J127" s="34"/>
      <c r="K127" s="34"/>
      <c r="L127" s="34"/>
      <c r="M127" s="34"/>
      <c r="N127" s="34"/>
    </row>
    <row r="128" spans="2:22">
      <c r="B128" s="18" t="s">
        <v>275</v>
      </c>
      <c r="C128" s="18"/>
      <c r="D128" s="18">
        <v>6553.9975609756075</v>
      </c>
      <c r="E128" s="12">
        <v>6.3685047720042443</v>
      </c>
      <c r="F128" s="18"/>
      <c r="G128" s="18">
        <v>5631.2888888888865</v>
      </c>
      <c r="H128" s="12">
        <v>6.9739130434782615</v>
      </c>
      <c r="I128" s="18"/>
      <c r="J128" s="18">
        <v>2696.444444444438</v>
      </c>
      <c r="K128" s="12">
        <v>7.7004830917874383</v>
      </c>
      <c r="L128" s="18"/>
      <c r="M128" s="18">
        <v>8486.277777777781</v>
      </c>
      <c r="N128" s="12">
        <v>6.055555555555558</v>
      </c>
      <c r="O128" s="18"/>
      <c r="P128" s="18">
        <v>3406.41025641026</v>
      </c>
      <c r="Q128" s="34"/>
      <c r="R128" s="34"/>
      <c r="S128" s="34"/>
      <c r="T128" s="34"/>
      <c r="U128" s="34"/>
      <c r="V128" s="34"/>
    </row>
    <row r="129" spans="2:25">
      <c r="B129" s="18"/>
      <c r="C129" s="18"/>
      <c r="D129" s="18"/>
      <c r="E129" s="18"/>
      <c r="F129" s="18" t="s">
        <v>38</v>
      </c>
      <c r="G129" s="12">
        <v>0</v>
      </c>
      <c r="H129" s="18"/>
      <c r="I129" s="18" t="s">
        <v>38</v>
      </c>
      <c r="J129" s="12">
        <v>1.1111111111111112</v>
      </c>
      <c r="K129" s="18"/>
      <c r="L129" s="18" t="s">
        <v>38</v>
      </c>
      <c r="M129" s="12">
        <v>0</v>
      </c>
      <c r="N129" s="18"/>
      <c r="O129" s="18" t="s">
        <v>38</v>
      </c>
      <c r="P129" s="12">
        <v>0</v>
      </c>
      <c r="Q129" s="12">
        <v>5.1973244147157187</v>
      </c>
      <c r="R129" s="18"/>
      <c r="S129" s="18"/>
      <c r="T129" s="18"/>
      <c r="U129" s="18"/>
      <c r="V129" s="18"/>
      <c r="W129" s="18"/>
      <c r="X129" s="34"/>
    </row>
    <row r="130" spans="2:25">
      <c r="B130" s="18"/>
      <c r="C130" s="18"/>
      <c r="D130" s="18"/>
      <c r="E130" s="18"/>
      <c r="F130" s="18" t="s">
        <v>39</v>
      </c>
      <c r="G130" s="12">
        <v>10</v>
      </c>
      <c r="H130" s="18"/>
      <c r="I130" s="18" t="s">
        <v>39</v>
      </c>
      <c r="J130" s="12">
        <v>10</v>
      </c>
      <c r="K130" s="18"/>
      <c r="L130" s="18" t="s">
        <v>39</v>
      </c>
      <c r="M130" s="12">
        <v>10</v>
      </c>
      <c r="N130" s="18"/>
      <c r="O130" s="18" t="s">
        <v>39</v>
      </c>
      <c r="P130" s="12">
        <v>9.6923076923076916</v>
      </c>
      <c r="Q130" s="18"/>
      <c r="R130" s="18"/>
      <c r="S130" s="18"/>
      <c r="T130" s="18"/>
      <c r="U130" s="18"/>
      <c r="V130" s="18"/>
      <c r="W130" s="18"/>
      <c r="X130" s="34"/>
    </row>
    <row r="131" spans="2:25"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34"/>
    </row>
    <row r="132" spans="2:25"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18"/>
      <c r="R132" s="18"/>
      <c r="S132" s="18"/>
      <c r="T132" s="18"/>
      <c r="U132" s="18"/>
      <c r="V132" s="18"/>
      <c r="W132" s="18"/>
      <c r="X132" s="18"/>
      <c r="Y132" s="34"/>
    </row>
    <row r="133" spans="2:25">
      <c r="Q133" s="34"/>
      <c r="R133" s="34"/>
      <c r="S133" s="34"/>
      <c r="T133" s="34"/>
      <c r="U133" s="34"/>
      <c r="V133" s="34"/>
      <c r="W133" s="34"/>
      <c r="X133" s="34"/>
      <c r="Y133" s="34"/>
    </row>
  </sheetData>
  <mergeCells count="4">
    <mergeCell ref="N2:W2"/>
    <mergeCell ref="C2:M2"/>
    <mergeCell ref="X2:AG2"/>
    <mergeCell ref="AH2:AU2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 enableFormatConditionsCalculation="0">
    <pageSetUpPr fitToPage="1"/>
  </sheetPr>
  <dimension ref="A1:BG542"/>
  <sheetViews>
    <sheetView topLeftCell="AK14" zoomScale="125" zoomScaleNormal="125" zoomScalePageLayoutView="125" workbookViewId="0">
      <selection activeCell="AZ72" sqref="AZ72"/>
    </sheetView>
  </sheetViews>
  <sheetFormatPr baseColWidth="10" defaultColWidth="8.83203125" defaultRowHeight="11" x14ac:dyDescent="0"/>
  <cols>
    <col min="1" max="1" width="46.5" style="4" customWidth="1"/>
    <col min="2" max="37" width="7.6640625" style="4" customWidth="1"/>
    <col min="38" max="42" width="8.83203125" style="4"/>
    <col min="43" max="43" width="8.83203125" style="4" customWidth="1"/>
    <col min="44" max="59" width="8.83203125" style="4"/>
    <col min="60" max="60" width="50.5" style="4" customWidth="1"/>
    <col min="61" max="16384" width="8.83203125" style="4"/>
  </cols>
  <sheetData>
    <row r="1" spans="1:1" ht="33" customHeight="1">
      <c r="A1" s="33" t="s">
        <v>506</v>
      </c>
    </row>
    <row r="17" spans="1:59" ht="17">
      <c r="A17" s="278" t="s">
        <v>423</v>
      </c>
      <c r="B17" s="277">
        <f ca="1">COUNT(Dati!$E$21:$E$92)</f>
        <v>46</v>
      </c>
    </row>
    <row r="18" spans="1:59">
      <c r="A18" s="5" t="s">
        <v>310</v>
      </c>
      <c r="B18" s="5"/>
      <c r="C18" s="5" t="s">
        <v>436</v>
      </c>
      <c r="D18" s="5" t="s">
        <v>9</v>
      </c>
    </row>
    <row r="19" spans="1:59" ht="12">
      <c r="A19" t="str">
        <f>Dati!$F$14</f>
        <v>KPI 1  -  Sicurezza Logica</v>
      </c>
      <c r="B19" s="4" t="str">
        <f>Dati!$D$14</f>
        <v>KPI 1</v>
      </c>
      <c r="C19" s="4">
        <f>'Quesiti x SI'!$M$3</f>
        <v>10</v>
      </c>
      <c r="D19" s="4">
        <f>SUM(C19:C22)</f>
        <v>41</v>
      </c>
    </row>
    <row r="20" spans="1:59" ht="12">
      <c r="A20" t="str">
        <f>Dati!$AO$14</f>
        <v>KPI 2  -  Sicurezza Infrastruttura</v>
      </c>
      <c r="B20" s="4" t="str">
        <f>Dati!$AM$14</f>
        <v>KPI 2</v>
      </c>
      <c r="C20" s="4">
        <f>'Quesiti x SI'!$W$3</f>
        <v>9</v>
      </c>
    </row>
    <row r="21" spans="1:59" ht="12">
      <c r="A21" t="str">
        <f>Dati!$BR$14</f>
        <v>KPI 3  -  Sicurezza Servizi</v>
      </c>
      <c r="B21" s="4" t="str">
        <f>Dati!$BP$14</f>
        <v>KPI 3</v>
      </c>
      <c r="C21" s="4">
        <f>'Quesiti x SI'!$AG$3</f>
        <v>9</v>
      </c>
    </row>
    <row r="22" spans="1:59" ht="12">
      <c r="A22" t="str">
        <f>Dati!$CU$14</f>
        <v>KPI 4  -  Sicurezza Organizzazione</v>
      </c>
      <c r="B22" s="4" t="str">
        <f>Dati!$CS$14</f>
        <v>KPI 4</v>
      </c>
      <c r="C22" s="4">
        <f>'Quesiti x SI'!$AU$3</f>
        <v>13</v>
      </c>
      <c r="G22" s="27"/>
      <c r="H22" s="27"/>
      <c r="I22" s="27"/>
      <c r="K22" s="27"/>
      <c r="L22" s="27"/>
      <c r="M22" s="27"/>
      <c r="O22" s="27"/>
      <c r="P22" s="27"/>
      <c r="Q22" s="27"/>
      <c r="S22" s="27"/>
      <c r="T22" s="27"/>
      <c r="U22" s="27"/>
      <c r="W22" s="26"/>
      <c r="AM22" s="521"/>
    </row>
    <row r="23" spans="1:59">
      <c r="D23" s="28" t="s">
        <v>272</v>
      </c>
      <c r="E23" s="28" t="s">
        <v>274</v>
      </c>
      <c r="F23" s="28" t="s">
        <v>273</v>
      </c>
      <c r="G23" s="28" t="s">
        <v>272</v>
      </c>
      <c r="H23" s="28" t="s">
        <v>274</v>
      </c>
      <c r="I23" s="28" t="s">
        <v>273</v>
      </c>
      <c r="J23" s="28" t="s">
        <v>272</v>
      </c>
      <c r="K23" s="28" t="s">
        <v>274</v>
      </c>
      <c r="L23" s="28" t="s">
        <v>273</v>
      </c>
      <c r="M23" s="28" t="s">
        <v>272</v>
      </c>
      <c r="N23" s="28" t="s">
        <v>274</v>
      </c>
      <c r="O23" s="28" t="s">
        <v>273</v>
      </c>
      <c r="P23" s="28" t="s">
        <v>272</v>
      </c>
      <c r="Q23" s="28" t="s">
        <v>274</v>
      </c>
      <c r="R23" s="28" t="s">
        <v>273</v>
      </c>
      <c r="W23" s="44" t="s">
        <v>214</v>
      </c>
      <c r="X23" s="44" t="s">
        <v>319</v>
      </c>
      <c r="Y23" s="44" t="s">
        <v>320</v>
      </c>
      <c r="Z23" s="44" t="s">
        <v>321</v>
      </c>
      <c r="AA23" s="44" t="s">
        <v>322</v>
      </c>
    </row>
    <row r="24" spans="1:59">
      <c r="A24" s="4" t="s">
        <v>311</v>
      </c>
      <c r="B24" s="53" t="s">
        <v>323</v>
      </c>
      <c r="C24" s="53">
        <v>4</v>
      </c>
      <c r="D24" s="129">
        <f ca="1">QUARTILE(INDIRECT(W24),1)</f>
        <v>6.0121951219512191</v>
      </c>
      <c r="E24" s="53">
        <f ca="1">COUNTIF(INDIRECT($W$24), "&lt;"&amp;TEXT($C$24, "###"))</f>
        <v>1</v>
      </c>
      <c r="F24" s="54">
        <f ca="1">E24/$V$24</f>
        <v>2.1739130434782608E-2</v>
      </c>
      <c r="G24" s="129">
        <f ca="1">QUARTILE(INDIRECT(X24),1)</f>
        <v>6.3250000000000002</v>
      </c>
      <c r="H24" s="53">
        <f ca="1">COUNTIF(INDIRECT($X$24), "&lt;"&amp;TEXT($C$24, "###"))</f>
        <v>1</v>
      </c>
      <c r="I24" s="54">
        <f ca="1">H24/$V$24</f>
        <v>2.1739130434782608E-2</v>
      </c>
      <c r="J24" s="129">
        <f ca="1">QUARTILE(INDIRECT(Y24),1)</f>
        <v>7.3611111111111107</v>
      </c>
      <c r="K24" s="53">
        <f ca="1">COUNTIF(INDIRECT($Y$24), "&lt;"&amp;TEXT($C$24, "###"))</f>
        <v>5</v>
      </c>
      <c r="L24" s="54">
        <f ca="1">K24/$V$24</f>
        <v>0.10869565217391304</v>
      </c>
      <c r="M24" s="129">
        <f ca="1">QUARTILE(INDIRECT(Z24),1)</f>
        <v>5.5555555555555554</v>
      </c>
      <c r="N24" s="53">
        <f ca="1">COUNTIF(INDIRECT($Z$24), "&lt;"&amp;TEXT($C$24, "###"))</f>
        <v>3</v>
      </c>
      <c r="O24" s="54">
        <f ca="1">N24/$V$24</f>
        <v>6.5217391304347824E-2</v>
      </c>
      <c r="P24" s="129">
        <f ca="1">QUARTILE(INDIRECT(AA24),1)</f>
        <v>4.9615384615384617</v>
      </c>
      <c r="Q24" s="53">
        <f ca="1">COUNTIF(INDIRECT($AA$24), "&lt;"&amp;TEXT($C$24, "###"))</f>
        <v>7</v>
      </c>
      <c r="R24" s="54">
        <f ca="1">Q24/$V$24</f>
        <v>0.15217391304347827</v>
      </c>
      <c r="T24" s="4" t="s">
        <v>399</v>
      </c>
      <c r="V24" s="4">
        <f ca="1">B17</f>
        <v>46</v>
      </c>
      <c r="W24" s="30" t="str">
        <f ca="1">"D32:D"&amp;TEXT($V$24+31,"###")</f>
        <v>D32:D77</v>
      </c>
      <c r="X24" s="45" t="str">
        <f ca="1">"G32:G"&amp;TEXT($V$24+31,"###")</f>
        <v>G32:G77</v>
      </c>
      <c r="Y24" s="45" t="str">
        <f ca="1">"J32:J"&amp;TEXT($V$24+31,"###")</f>
        <v>J32:J77</v>
      </c>
      <c r="Z24" s="45" t="str">
        <f ca="1">"M32:M"&amp;TEXT($V$24+31,"###")</f>
        <v>M32:M77</v>
      </c>
      <c r="AA24" s="45" t="str">
        <f ca="1">"P32:P"&amp;TEXT($V$24+31,"###")</f>
        <v>P32:P77</v>
      </c>
    </row>
    <row r="25" spans="1:59">
      <c r="A25" s="4" t="s">
        <v>312</v>
      </c>
      <c r="B25" s="53" t="s">
        <v>395</v>
      </c>
      <c r="C25" s="53">
        <v>5</v>
      </c>
      <c r="D25" s="129">
        <f ca="1">QUARTILE(INDIRECT(W24),2)</f>
        <v>7.2195121951219514</v>
      </c>
      <c r="E25" s="53">
        <f ca="1">COUNTIF(INDIRECT($W$24), "&lt;"&amp;TEXT($C$25, "###"))-E24</f>
        <v>2</v>
      </c>
      <c r="F25" s="54">
        <f ca="1">E25/$V$24</f>
        <v>4.3478260869565216E-2</v>
      </c>
      <c r="G25" s="129">
        <f ca="1">QUARTILE(INDIRECT(X24),2)</f>
        <v>7.85</v>
      </c>
      <c r="H25" s="53">
        <f ca="1">COUNTIF(INDIRECT($X$24), "&lt;"&amp;TEXT($C$25, "###"))-H24</f>
        <v>1</v>
      </c>
      <c r="I25" s="54">
        <f ca="1">H25/$V$24</f>
        <v>2.1739130434782608E-2</v>
      </c>
      <c r="J25" s="129">
        <f ca="1">QUARTILE(INDIRECT(Y24),2)</f>
        <v>8.8888888888888893</v>
      </c>
      <c r="K25" s="53">
        <f ca="1">COUNTIF(INDIRECT($Y$24), "&lt;"&amp;TEXT($C$25, "###"))-K24</f>
        <v>0</v>
      </c>
      <c r="L25" s="54">
        <f ca="1">K25/$V$24</f>
        <v>0</v>
      </c>
      <c r="M25" s="129">
        <f ca="1">QUARTILE(INDIRECT(Z24),2)</f>
        <v>6.8888888888888893</v>
      </c>
      <c r="N25" s="53">
        <f ca="1">COUNTIF(INDIRECT($Z$24), "&lt;"&amp;TEXT($C$25, "###"))-N24</f>
        <v>4</v>
      </c>
      <c r="O25" s="54">
        <f ca="1">N25/$V$24</f>
        <v>8.6956521739130432E-2</v>
      </c>
      <c r="P25" s="129">
        <f ca="1">QUARTILE(INDIRECT(AA24),2)</f>
        <v>6.7692307692307692</v>
      </c>
      <c r="Q25" s="53">
        <f ca="1">COUNTIF(INDIRECT($AA$24), "&lt;"&amp;TEXT($C$25, "###"))-Q24</f>
        <v>5</v>
      </c>
      <c r="R25" s="54">
        <f ca="1">Q25/$V$24</f>
        <v>0.10869565217391304</v>
      </c>
    </row>
    <row r="26" spans="1:59">
      <c r="A26" s="4" t="s">
        <v>313</v>
      </c>
      <c r="B26" s="53" t="s">
        <v>396</v>
      </c>
      <c r="C26" s="53">
        <v>7</v>
      </c>
      <c r="D26" s="129">
        <f ca="1">QUARTILE(INDIRECT(W24),3)</f>
        <v>8.3414634146341466</v>
      </c>
      <c r="E26" s="53">
        <f ca="1">COUNTIF(INDIRECT($W$24), "&lt;"&amp;TEXT($C$26, "###"))-(E25+E24)</f>
        <v>19</v>
      </c>
      <c r="F26" s="54">
        <f ca="1">E26/$V$24</f>
        <v>0.41304347826086957</v>
      </c>
      <c r="G26" s="129">
        <f ca="1">QUARTILE(INDIRECT(X24),3)</f>
        <v>8.5749999999999993</v>
      </c>
      <c r="H26" s="53">
        <f ca="1">COUNTIF(INDIRECT($X$24), "&lt;"&amp;TEXT($C$26, "###"))-(H25+H24)</f>
        <v>12</v>
      </c>
      <c r="I26" s="54">
        <f ca="1">H26/$V$24</f>
        <v>0.2608695652173913</v>
      </c>
      <c r="J26" s="129">
        <f ca="1">QUARTILE(INDIRECT(Y24),3)</f>
        <v>9.4444444444444446</v>
      </c>
      <c r="K26" s="53">
        <f ca="1">COUNTIF(INDIRECT($Y$24), "&lt;"&amp;TEXT($C$26, "###"))-(K25+K24)</f>
        <v>4</v>
      </c>
      <c r="L26" s="54">
        <f ca="1">K26/$V$24</f>
        <v>8.6956521739130432E-2</v>
      </c>
      <c r="M26" s="129">
        <f ca="1">QUARTILE(INDIRECT(Z24),3)</f>
        <v>8.4166666666666679</v>
      </c>
      <c r="N26" s="53">
        <f ca="1">COUNTIF(INDIRECT($Z$24), "&lt;"&amp;TEXT($C$26, "###"))-(N25+N24)</f>
        <v>17</v>
      </c>
      <c r="O26" s="54">
        <f ca="1">N26/$V$24</f>
        <v>0.36956521739130432</v>
      </c>
      <c r="P26" s="129">
        <f ca="1">QUARTILE(INDIRECT(AA24),3)</f>
        <v>8.3461538461538467</v>
      </c>
      <c r="Q26" s="53">
        <f ca="1">COUNTIF(INDIRECT($AA$24), "&lt;"&amp;TEXT($C$26, "###"))-(Q25+Q24)</f>
        <v>13</v>
      </c>
      <c r="R26" s="54">
        <f ca="1">Q26/$V$24</f>
        <v>0.28260869565217389</v>
      </c>
    </row>
    <row r="27" spans="1:59" ht="11.25" customHeight="1">
      <c r="A27" s="4" t="s">
        <v>314</v>
      </c>
      <c r="B27" s="53" t="s">
        <v>397</v>
      </c>
      <c r="C27" s="53">
        <v>10</v>
      </c>
      <c r="D27" s="129">
        <f ca="1">QUARTILE(INDIRECT(W24),4)</f>
        <v>9.4878048780487809</v>
      </c>
      <c r="E27" s="53">
        <f ca="1">COUNTIF(INDIRECT($W$24), "&gt;"&amp;TEXT($C$26, "###"))</f>
        <v>24</v>
      </c>
      <c r="F27" s="54">
        <f ca="1">E27/$V$24</f>
        <v>0.52173913043478259</v>
      </c>
      <c r="G27" s="129">
        <f ca="1">QUARTILE(INDIRECT(X24),4)</f>
        <v>9.6</v>
      </c>
      <c r="H27" s="53">
        <f ca="1">COUNTIF(INDIRECT($X$24), "&gt;="&amp;TEXT($C$26, "###"))</f>
        <v>32</v>
      </c>
      <c r="I27" s="54">
        <f ca="1">H27/$V$24</f>
        <v>0.69565217391304346</v>
      </c>
      <c r="J27" s="129">
        <f ca="1">QUARTILE(INDIRECT(Y24),4)</f>
        <v>10</v>
      </c>
      <c r="K27" s="53">
        <f ca="1">COUNTIF(INDIRECT($Y$24), "&gt;="&amp;TEXT($C$26, "###"))</f>
        <v>37</v>
      </c>
      <c r="L27" s="54">
        <f ca="1">K27/$V$24</f>
        <v>0.80434782608695654</v>
      </c>
      <c r="M27" s="129">
        <f ca="1">QUARTILE(INDIRECT(Z24),4)</f>
        <v>10</v>
      </c>
      <c r="N27" s="53">
        <f ca="1">COUNTIF(INDIRECT($Z$24), "&gt;="&amp;TEXT($C$26, "###"))</f>
        <v>22</v>
      </c>
      <c r="O27" s="54">
        <f ca="1">N27/$V$24</f>
        <v>0.47826086956521741</v>
      </c>
      <c r="P27" s="129">
        <f ca="1">QUARTILE(INDIRECT(AA24),4)</f>
        <v>9.6923076923076916</v>
      </c>
      <c r="Q27" s="53">
        <f ca="1">COUNTIF(INDIRECT($AA$24), "&gt;="&amp;TEXT($C$26, "###"))</f>
        <v>21</v>
      </c>
      <c r="R27" s="54">
        <f ca="1">Q27/$V$24</f>
        <v>0.45652173913043476</v>
      </c>
      <c r="AZ27" s="340"/>
      <c r="BA27" s="340"/>
      <c r="BB27" s="340"/>
      <c r="BC27" s="340"/>
      <c r="BD27" s="340"/>
      <c r="BE27" s="340"/>
      <c r="BF27" s="340"/>
      <c r="BG27" s="340"/>
    </row>
    <row r="28" spans="1:59" ht="13.5" customHeight="1">
      <c r="A28"/>
      <c r="C28"/>
      <c r="D28" s="25"/>
      <c r="E28" s="20"/>
      <c r="F28" s="20">
        <f ca="1">SUM(E24:E27)</f>
        <v>46</v>
      </c>
      <c r="G28" s="20"/>
      <c r="H28" s="20"/>
      <c r="I28" s="20">
        <f ca="1">SUM(H24:H27)</f>
        <v>46</v>
      </c>
      <c r="J28" s="20"/>
      <c r="K28" s="20"/>
      <c r="L28" s="20">
        <f ca="1">SUM(K24:K27)</f>
        <v>46</v>
      </c>
      <c r="M28" s="20"/>
      <c r="N28" s="20"/>
      <c r="O28" s="20">
        <f ca="1">SUM(N24:N27)</f>
        <v>46</v>
      </c>
      <c r="P28" s="20"/>
      <c r="Q28" s="20"/>
      <c r="R28" s="20">
        <f ca="1">SUM(Q24:Q27)</f>
        <v>46</v>
      </c>
    </row>
    <row r="29" spans="1:59" ht="12">
      <c r="A29" s="14"/>
      <c r="B29" s="17"/>
      <c r="C29" s="21"/>
      <c r="D29" s="619" t="s">
        <v>391</v>
      </c>
      <c r="E29" s="620"/>
      <c r="F29" s="621"/>
      <c r="G29" s="630" t="str">
        <f>B19</f>
        <v>KPI 1</v>
      </c>
      <c r="H29" s="620"/>
      <c r="I29" s="621"/>
      <c r="J29" s="627" t="str">
        <f>B20</f>
        <v>KPI 2</v>
      </c>
      <c r="K29" s="620"/>
      <c r="L29" s="621"/>
      <c r="M29" s="627" t="str">
        <f>B21</f>
        <v>KPI 3</v>
      </c>
      <c r="N29" s="628"/>
      <c r="O29" s="629"/>
      <c r="P29" s="627" t="str">
        <f>B22</f>
        <v>KPI 4</v>
      </c>
      <c r="Q29" s="628"/>
      <c r="R29" s="629"/>
      <c r="T29" s="6" t="s">
        <v>319</v>
      </c>
      <c r="U29" s="23" t="s">
        <v>320</v>
      </c>
      <c r="V29" s="23" t="s">
        <v>321</v>
      </c>
      <c r="W29" s="24" t="s">
        <v>322</v>
      </c>
    </row>
    <row r="30" spans="1:59">
      <c r="A30" s="11"/>
      <c r="B30" s="18"/>
      <c r="C30" s="19"/>
      <c r="D30" s="7" t="s">
        <v>315</v>
      </c>
      <c r="E30" s="137">
        <f>SUM(C19:C22)</f>
        <v>41</v>
      </c>
      <c r="F30" s="8"/>
      <c r="G30" s="7" t="s">
        <v>315</v>
      </c>
      <c r="H30" s="137">
        <f>C19</f>
        <v>10</v>
      </c>
      <c r="I30" s="8"/>
      <c r="J30" s="7" t="s">
        <v>315</v>
      </c>
      <c r="K30" s="137">
        <f>C20</f>
        <v>9</v>
      </c>
      <c r="L30" s="8"/>
      <c r="M30" s="7" t="s">
        <v>315</v>
      </c>
      <c r="N30" s="137">
        <f>C21</f>
        <v>9</v>
      </c>
      <c r="O30" s="8"/>
      <c r="P30" s="7" t="s">
        <v>315</v>
      </c>
      <c r="Q30" s="137">
        <f>C22</f>
        <v>13</v>
      </c>
      <c r="R30" s="8"/>
      <c r="T30" s="11"/>
      <c r="U30" s="18"/>
      <c r="V30" s="18"/>
      <c r="W30" s="19"/>
    </row>
    <row r="31" spans="1:59">
      <c r="A31" s="125" t="s">
        <v>318</v>
      </c>
      <c r="B31" s="22" t="s">
        <v>276</v>
      </c>
      <c r="C31" s="22" t="s">
        <v>33</v>
      </c>
      <c r="D31" s="9" t="s">
        <v>393</v>
      </c>
      <c r="E31" s="9" t="s">
        <v>316</v>
      </c>
      <c r="F31" s="10" t="s">
        <v>317</v>
      </c>
      <c r="G31" s="9" t="s">
        <v>393</v>
      </c>
      <c r="H31" s="9" t="s">
        <v>316</v>
      </c>
      <c r="I31" s="10" t="s">
        <v>317</v>
      </c>
      <c r="J31" s="9" t="s">
        <v>393</v>
      </c>
      <c r="K31" s="9" t="s">
        <v>316</v>
      </c>
      <c r="L31" s="10" t="s">
        <v>317</v>
      </c>
      <c r="M31" s="9" t="s">
        <v>393</v>
      </c>
      <c r="N31" s="9" t="s">
        <v>316</v>
      </c>
      <c r="O31" s="10" t="s">
        <v>317</v>
      </c>
      <c r="P31" s="9" t="s">
        <v>393</v>
      </c>
      <c r="Q31" s="9" t="s">
        <v>316</v>
      </c>
      <c r="R31" s="10" t="s">
        <v>317</v>
      </c>
      <c r="T31" s="11"/>
      <c r="U31" s="18"/>
      <c r="V31" s="18"/>
      <c r="W31" s="19"/>
    </row>
    <row r="32" spans="1:59">
      <c r="A32" s="256" t="str">
        <f ca="1">Dati!$A21</f>
        <v>Avvocatura Generale dello Stato</v>
      </c>
      <c r="B32" s="592">
        <f ca="1">Dati!$B21</f>
        <v>57</v>
      </c>
      <c r="C32" s="593">
        <f ca="1">Dati!$C21</f>
        <v>1274</v>
      </c>
      <c r="D32" s="135">
        <f ca="1">'Quesiti x SI'!$AV5/E$30</f>
        <v>5.4878048780487809</v>
      </c>
      <c r="E32" s="46" t="str">
        <f t="shared" ref="E32:E63" ca="1" si="0">IF(D32&gt;=D$26,"Primo",IF(AND(D32&gt;=D$25, D32&lt;D$26), "Secondo", IF(AND(D32&gt;=D$24,D32 &lt; D$25), "Terzo", "Quarto")))</f>
        <v>Quarto</v>
      </c>
      <c r="F32" s="31" t="str">
        <f ca="1">IF(D32&gt;=$C$26,$B$27,IF(AND(D32&gt;=$C$25, D32&lt;$C$26), $B$26, IF(AND(D32&gt;=$C$24,D32 &lt; $C$25), $B$25, $B$24)))</f>
        <v>Medio</v>
      </c>
      <c r="G32" s="135">
        <f ca="1">'Quesiti x SI'!$M5/H$30</f>
        <v>5.4</v>
      </c>
      <c r="H32" s="46" t="str">
        <f t="shared" ref="H32:H63" ca="1" si="1">IF(G32&gt;=G$26,"Primo",IF(AND(G32&gt;=G$25, G32&lt;G$26), "Secondo", IF(AND(G32&gt;=G$24,G32 &lt; G$25), "Terzo", "Quarto")))</f>
        <v>Quarto</v>
      </c>
      <c r="I32" s="31" t="str">
        <f ca="1">IF(G32&gt;=$C$26,$B$27,IF(AND(G32&gt;=$C$25, G32&lt;$C$26), $B$26, IF(AND(G32&gt;=$C$24,G32 &lt; $C$25), $B$25, $B$24)))</f>
        <v>Medio</v>
      </c>
      <c r="J32" s="135">
        <f ca="1">'Quesiti x SI'!$W5/K$30</f>
        <v>3.4444444444444446</v>
      </c>
      <c r="K32" s="46" t="str">
        <f t="shared" ref="K32:K63" ca="1" si="2">IF(J32&gt;=J$26,"Primo",IF(AND(J32&gt;=J$25, J32&lt;J$26), "Secondo", IF(AND(J32&gt;=J$24,J32 &lt; J$25), "Terzo", "Quarto")))</f>
        <v>Quarto</v>
      </c>
      <c r="L32" s="31" t="str">
        <f ca="1">IF(J32&gt;=$C$26,$B$27,IF(AND(J32&gt;=$C$25, J32&lt;$C$26), $B$26, IF(AND(J32&gt;=$C$24,J32 &lt; $C$25), $B$25, $B$24)))</f>
        <v>Scarso</v>
      </c>
      <c r="M32" s="135">
        <f ca="1">'Quesiti x SI'!$AG5/N$30</f>
        <v>5.5555555555555554</v>
      </c>
      <c r="N32" s="46" t="str">
        <f t="shared" ref="N32:N63" ca="1" si="3">IF(M32&gt;=M$26,"Primo",IF(AND(M32&gt;=M$25, M32&lt;M$26), "Secondo", IF(AND(M32&gt;=M$24,M32 &lt; M$25), "Terzo", "Quarto")))</f>
        <v>Terzo</v>
      </c>
      <c r="O32" s="31" t="str">
        <f ca="1">IF(M32&gt;=$C$26,$B$27,IF(AND(M32&gt;=$C$25, M32&lt;$C$26), $B$26, IF(AND(M32&gt;=$C$24,M32 &lt; $C$25), $B$25, $B$24)))</f>
        <v>Medio</v>
      </c>
      <c r="P32" s="135">
        <f ca="1">'Quesiti x SI'!$AU5/Q$30</f>
        <v>6.9230769230769234</v>
      </c>
      <c r="Q32" s="46" t="str">
        <f t="shared" ref="Q32:Q63" ca="1" si="4">IF(P32&gt;=P$26,"Primo",IF(AND(P32&gt;=P$25, P32&lt;P$26), "Secondo", IF(AND(P32&gt;=P$24,P32 &lt; P$25), "Terzo", "Quarto")))</f>
        <v>Secondo</v>
      </c>
      <c r="R32" s="31" t="str">
        <f ca="1">IF(P32&gt;=$C$26,$B$27,IF(AND(P32&gt;=$C$25, P32&lt;$C$26), $B$26, IF(AND(P32&gt;=$C$24,P32 &lt; $C$25), $B$25, $B$24)))</f>
        <v>Medio</v>
      </c>
      <c r="S32" s="4">
        <v>1</v>
      </c>
      <c r="T32" s="135">
        <v>0</v>
      </c>
      <c r="U32" s="132">
        <v>0</v>
      </c>
      <c r="V32" s="269">
        <v>0</v>
      </c>
      <c r="W32" s="132">
        <v>0</v>
      </c>
      <c r="BB32" s="57"/>
    </row>
    <row r="33" spans="1:54">
      <c r="A33" s="257" t="str">
        <f ca="1">Dati!$A22</f>
        <v xml:space="preserve">Consiglio di Stato                                                                    </v>
      </c>
      <c r="B33" s="594">
        <f ca="1">Dati!$B22</f>
        <v>101</v>
      </c>
      <c r="C33" s="595">
        <f ca="1">Dati!$C22</f>
        <v>839</v>
      </c>
      <c r="D33" s="136">
        <f ca="1">'Quesiti x SI'!$AV6/E$30</f>
        <v>7.6097560975609753</v>
      </c>
      <c r="E33" s="47" t="str">
        <f t="shared" ca="1" si="0"/>
        <v>Secondo</v>
      </c>
      <c r="F33" s="32" t="str">
        <f ca="1">IF(D33&gt;=$C$26,$B$27,IF(AND(D33&gt;=$C$25, D33&lt;$C$26), $B$26, IF(AND(D33&gt;=$C$24,D33 &lt; $C$25), $B$25, $B$24)))</f>
        <v>Alto</v>
      </c>
      <c r="G33" s="136">
        <f ca="1">'Quesiti x SI'!$M6/H$30</f>
        <v>9.4</v>
      </c>
      <c r="H33" s="47" t="str">
        <f t="shared" ca="1" si="1"/>
        <v>Primo</v>
      </c>
      <c r="I33" s="32" t="str">
        <f ca="1">IF(G33&gt;=$C$26,$B$27,IF(AND(G33&gt;=$C$25, G33&lt;$C$26), $B$26, IF(AND(G33&gt;=$C$24,G33 &lt; $C$25), $B$25, $B$24)))</f>
        <v>Alto</v>
      </c>
      <c r="J33" s="136">
        <f ca="1">'Quesiti x SI'!$W6/K$30</f>
        <v>7.2222222222222223</v>
      </c>
      <c r="K33" s="47" t="str">
        <f t="shared" ca="1" si="2"/>
        <v>Quarto</v>
      </c>
      <c r="L33" s="32" t="str">
        <f ca="1">IF(J33&gt;=$C$26,$B$27,IF(AND(J33&gt;=$C$25, J33&lt;$C$26), $B$26, IF(AND(J33&gt;=$C$24,J33 &lt; $C$25), $B$25, $B$24)))</f>
        <v>Alto</v>
      </c>
      <c r="M33" s="136">
        <f ca="1">'Quesiti x SI'!$AG6/N$30</f>
        <v>3.8888888888888888</v>
      </c>
      <c r="N33" s="47" t="str">
        <f t="shared" ca="1" si="3"/>
        <v>Quarto</v>
      </c>
      <c r="O33" s="32" t="str">
        <f ca="1">IF(M33&gt;=$C$26,$B$27,IF(AND(M33&gt;=$C$25, M33&lt;$C$26), $B$26, IF(AND(M33&gt;=$C$24,M33 &lt; $C$25), $B$25, $B$24)))</f>
        <v>Scarso</v>
      </c>
      <c r="P33" s="136">
        <f ca="1">'Quesiti x SI'!$AU6/Q$30</f>
        <v>9.0769230769230766</v>
      </c>
      <c r="Q33" s="47" t="str">
        <f t="shared" ca="1" si="4"/>
        <v>Primo</v>
      </c>
      <c r="R33" s="32" t="str">
        <f ca="1">IF(P33&gt;=$C$26,$B$27,IF(AND(P33&gt;=$C$25, P33&lt;$C$26), $B$26, IF(AND(P33&gt;=$C$24,P33 &lt; $C$25), $B$25, $B$24)))</f>
        <v>Alto</v>
      </c>
      <c r="S33" s="4">
        <f>S32+1</f>
        <v>2</v>
      </c>
      <c r="T33" s="136">
        <v>0</v>
      </c>
      <c r="U33" s="133">
        <v>1.1111111111111112</v>
      </c>
      <c r="V33" s="160">
        <v>0</v>
      </c>
      <c r="W33" s="133">
        <v>0</v>
      </c>
      <c r="BB33" s="57"/>
    </row>
    <row r="34" spans="1:54">
      <c r="A34" s="257" t="str">
        <f ca="1">Dati!$A23</f>
        <v xml:space="preserve">Corte dei conti                                                                                     </v>
      </c>
      <c r="B34" s="594">
        <f ca="1">Dati!$B23</f>
        <v>33</v>
      </c>
      <c r="C34" s="595">
        <f ca="1">Dati!$C23</f>
        <v>3155</v>
      </c>
      <c r="D34" s="136">
        <f ca="1">'Quesiti x SI'!$AV7/E$30</f>
        <v>8.2439024390243905</v>
      </c>
      <c r="E34" s="47" t="str">
        <f t="shared" ca="1" si="0"/>
        <v>Secondo</v>
      </c>
      <c r="F34" s="32" t="str">
        <f t="shared" ref="F34:F72" ca="1" si="5">IF(D34&gt;=$C$26,$B$27,IF(AND(D34&gt;=$C$25, D34&lt;$C$26), $B$26, IF(AND(D34&gt;=$C$24,D34 &lt; $C$25), $B$25, $B$24)))</f>
        <v>Alto</v>
      </c>
      <c r="G34" s="136">
        <f ca="1">'Quesiti x SI'!$M7/H$30</f>
        <v>8.5</v>
      </c>
      <c r="H34" s="47" t="str">
        <f t="shared" ca="1" si="1"/>
        <v>Secondo</v>
      </c>
      <c r="I34" s="32" t="str">
        <f t="shared" ref="I34:I72" ca="1" si="6">IF(G34&gt;=$C$26,$B$27,IF(AND(G34&gt;=$C$25, G34&lt;$C$26), $B$26, IF(AND(G34&gt;=$C$24,G34 &lt; $C$25), $B$25, $B$24)))</f>
        <v>Alto</v>
      </c>
      <c r="J34" s="136">
        <f ca="1">'Quesiti x SI'!$W7/K$30</f>
        <v>9.4444444444444446</v>
      </c>
      <c r="K34" s="47" t="str">
        <f t="shared" ca="1" si="2"/>
        <v>Primo</v>
      </c>
      <c r="L34" s="32" t="str">
        <f t="shared" ref="L34:L72" ca="1" si="7">IF(J34&gt;=$C$26,$B$27,IF(AND(J34&gt;=$C$25, J34&lt;$C$26), $B$26, IF(AND(J34&gt;=$C$24,J34 &lt; $C$25), $B$25, $B$24)))</f>
        <v>Alto</v>
      </c>
      <c r="M34" s="136">
        <f ca="1">'Quesiti x SI'!$AG7/N$30</f>
        <v>7.333333333333333</v>
      </c>
      <c r="N34" s="47" t="str">
        <f t="shared" ca="1" si="3"/>
        <v>Secondo</v>
      </c>
      <c r="O34" s="32" t="str">
        <f t="shared" ref="O34:O72" ca="1" si="8">IF(M34&gt;=$C$26,$B$27,IF(AND(M34&gt;=$C$25, M34&lt;$C$26), $B$26, IF(AND(M34&gt;=$C$24,M34 &lt; $C$25), $B$25, $B$24)))</f>
        <v>Alto</v>
      </c>
      <c r="P34" s="136">
        <f ca="1">'Quesiti x SI'!$AU7/Q$30</f>
        <v>7.8461538461538458</v>
      </c>
      <c r="Q34" s="47" t="str">
        <f t="shared" ca="1" si="4"/>
        <v>Secondo</v>
      </c>
      <c r="R34" s="32" t="str">
        <f t="shared" ref="R34:R72" ca="1" si="9">IF(P34&gt;=$C$26,$B$27,IF(AND(P34&gt;=$C$25, P34&lt;$C$26), $B$26, IF(AND(P34&gt;=$C$24,P34 &lt; $C$25), $B$25, $B$24)))</f>
        <v>Alto</v>
      </c>
      <c r="S34" s="4">
        <f t="shared" ref="S34:S72" si="10">S33+1</f>
        <v>3</v>
      </c>
      <c r="T34" s="136">
        <v>0</v>
      </c>
      <c r="U34" s="133">
        <v>1.1111111111111112</v>
      </c>
      <c r="V34" s="160">
        <v>0.22222222222222221</v>
      </c>
      <c r="W34" s="133">
        <v>0</v>
      </c>
      <c r="BB34" s="57"/>
    </row>
    <row r="35" spans="1:54">
      <c r="A35" s="257" t="str">
        <f ca="1">Dati!$A24</f>
        <v xml:space="preserve">Presidenza del Consiglio dei ministri                     </v>
      </c>
      <c r="B35" s="594">
        <f ca="1">Dati!$B24</f>
        <v>22</v>
      </c>
      <c r="C35" s="595">
        <f ca="1">Dati!$C24</f>
        <v>2246</v>
      </c>
      <c r="D35" s="136">
        <f ca="1">'Quesiti x SI'!$AV8/E$30</f>
        <v>6.6341463414634143</v>
      </c>
      <c r="E35" s="47" t="str">
        <f t="shared" ca="1" si="0"/>
        <v>Terzo</v>
      </c>
      <c r="F35" s="32" t="str">
        <f t="shared" ca="1" si="5"/>
        <v>Medio</v>
      </c>
      <c r="G35" s="136">
        <f ca="1">'Quesiti x SI'!$M8/H$30</f>
        <v>7.7</v>
      </c>
      <c r="H35" s="47" t="str">
        <f t="shared" ca="1" si="1"/>
        <v>Terzo</v>
      </c>
      <c r="I35" s="32" t="str">
        <f t="shared" ca="1" si="6"/>
        <v>Alto</v>
      </c>
      <c r="J35" s="136">
        <f ca="1">'Quesiti x SI'!$W8/K$30</f>
        <v>8.8888888888888893</v>
      </c>
      <c r="K35" s="47" t="str">
        <f t="shared" ca="1" si="2"/>
        <v>Secondo</v>
      </c>
      <c r="L35" s="32" t="str">
        <f t="shared" ca="1" si="7"/>
        <v>Alto</v>
      </c>
      <c r="M35" s="136">
        <f ca="1">'Quesiti x SI'!$AG8/N$30</f>
        <v>4.7777777777777777</v>
      </c>
      <c r="N35" s="47" t="str">
        <f t="shared" ca="1" si="3"/>
        <v>Quarto</v>
      </c>
      <c r="O35" s="32" t="str">
        <f t="shared" ca="1" si="8"/>
        <v>Basso</v>
      </c>
      <c r="P35" s="136">
        <f ca="1">'Quesiti x SI'!$AU8/Q$30</f>
        <v>5.5384615384615383</v>
      </c>
      <c r="Q35" s="47" t="str">
        <f t="shared" ca="1" si="4"/>
        <v>Terzo</v>
      </c>
      <c r="R35" s="32" t="str">
        <f t="shared" ca="1" si="9"/>
        <v>Medio</v>
      </c>
      <c r="S35" s="4">
        <f t="shared" si="10"/>
        <v>4</v>
      </c>
      <c r="T35" s="136">
        <v>0.8</v>
      </c>
      <c r="U35" s="133">
        <v>1.1111111111111112</v>
      </c>
      <c r="V35" s="160">
        <v>0.22222222222222221</v>
      </c>
      <c r="W35" s="133">
        <v>0.15384615384615385</v>
      </c>
      <c r="BB35" s="57"/>
    </row>
    <row r="36" spans="1:54">
      <c r="A36" s="257" t="str">
        <f ca="1">Dati!$A25</f>
        <v xml:space="preserve">Ministero degli affari esteri                                           </v>
      </c>
      <c r="B36" s="594">
        <f ca="1">Dati!$B25</f>
        <v>8</v>
      </c>
      <c r="C36" s="595">
        <f ca="1">Dati!$C25</f>
        <v>8678</v>
      </c>
      <c r="D36" s="136">
        <f ca="1">'Quesiti x SI'!$AV9/E$30</f>
        <v>6.6097560975609753</v>
      </c>
      <c r="E36" s="47" t="str">
        <f t="shared" ca="1" si="0"/>
        <v>Terzo</v>
      </c>
      <c r="F36" s="32" t="str">
        <f t="shared" ca="1" si="5"/>
        <v>Medio</v>
      </c>
      <c r="G36" s="136">
        <f ca="1">'Quesiti x SI'!$M9/H$30</f>
        <v>9.1999999999999993</v>
      </c>
      <c r="H36" s="47" t="str">
        <f t="shared" ca="1" si="1"/>
        <v>Primo</v>
      </c>
      <c r="I36" s="32" t="str">
        <f t="shared" ca="1" si="6"/>
        <v>Alto</v>
      </c>
      <c r="J36" s="136">
        <f ca="1">'Quesiti x SI'!$W9/K$30</f>
        <v>8.4444444444444446</v>
      </c>
      <c r="K36" s="47" t="str">
        <f t="shared" ca="1" si="2"/>
        <v>Terzo</v>
      </c>
      <c r="L36" s="32" t="str">
        <f t="shared" ca="1" si="7"/>
        <v>Alto</v>
      </c>
      <c r="M36" s="136">
        <f ca="1">'Quesiti x SI'!$AG9/N$30</f>
        <v>4.7777777777777777</v>
      </c>
      <c r="N36" s="47" t="str">
        <f t="shared" ca="1" si="3"/>
        <v>Quarto</v>
      </c>
      <c r="O36" s="32" t="str">
        <f t="shared" ca="1" si="8"/>
        <v>Basso</v>
      </c>
      <c r="P36" s="136">
        <f ca="1">'Quesiti x SI'!$AU9/Q$30</f>
        <v>4.615384615384615</v>
      </c>
      <c r="Q36" s="47" t="str">
        <f t="shared" ca="1" si="4"/>
        <v>Quarto</v>
      </c>
      <c r="R36" s="32" t="str">
        <f t="shared" ca="1" si="9"/>
        <v>Basso</v>
      </c>
      <c r="S36" s="4">
        <f t="shared" si="10"/>
        <v>5</v>
      </c>
      <c r="T36" s="136">
        <v>1</v>
      </c>
      <c r="U36" s="133">
        <v>2.6666666666666665</v>
      </c>
      <c r="V36" s="160">
        <v>0.22222222222222221</v>
      </c>
      <c r="W36" s="133">
        <v>0.15384615384615385</v>
      </c>
      <c r="BB36" s="57"/>
    </row>
    <row r="37" spans="1:54">
      <c r="A37" s="257" t="str">
        <f ca="1">Dati!$A26</f>
        <v>Ministero dell'ambiente e della tutela del territorio e del mare</v>
      </c>
      <c r="B37" s="594">
        <f ca="1">Dati!$B26</f>
        <v>102</v>
      </c>
      <c r="C37" s="595">
        <f ca="1">Dati!$C26</f>
        <v>708</v>
      </c>
      <c r="D37" s="136">
        <f ca="1">'Quesiti x SI'!$AV10/E$30</f>
        <v>6.4634146341463419</v>
      </c>
      <c r="E37" s="47" t="str">
        <f t="shared" ca="1" si="0"/>
        <v>Terzo</v>
      </c>
      <c r="F37" s="32" t="str">
        <f t="shared" ca="1" si="5"/>
        <v>Medio</v>
      </c>
      <c r="G37" s="136">
        <f ca="1">'Quesiti x SI'!$M10/H$30</f>
        <v>6.7</v>
      </c>
      <c r="H37" s="47" t="str">
        <f t="shared" ca="1" si="1"/>
        <v>Terzo</v>
      </c>
      <c r="I37" s="32" t="str">
        <f t="shared" ca="1" si="6"/>
        <v>Medio</v>
      </c>
      <c r="J37" s="136">
        <f ca="1">'Quesiti x SI'!$W10/K$30</f>
        <v>7.333333333333333</v>
      </c>
      <c r="K37" s="47" t="str">
        <f t="shared" ca="1" si="2"/>
        <v>Quarto</v>
      </c>
      <c r="L37" s="32" t="str">
        <f t="shared" ca="1" si="7"/>
        <v>Alto</v>
      </c>
      <c r="M37" s="136">
        <f ca="1">'Quesiti x SI'!$AG10/N$30</f>
        <v>6.666666666666667</v>
      </c>
      <c r="N37" s="47" t="str">
        <f t="shared" ca="1" si="3"/>
        <v>Terzo</v>
      </c>
      <c r="O37" s="32" t="str">
        <f t="shared" ca="1" si="8"/>
        <v>Medio</v>
      </c>
      <c r="P37" s="136">
        <f ca="1">'Quesiti x SI'!$AU10/Q$30</f>
        <v>5.5384615384615383</v>
      </c>
      <c r="Q37" s="47" t="str">
        <f t="shared" ca="1" si="4"/>
        <v>Terzo</v>
      </c>
      <c r="R37" s="32" t="str">
        <f t="shared" ca="1" si="9"/>
        <v>Medio</v>
      </c>
      <c r="S37" s="4">
        <f t="shared" si="10"/>
        <v>6</v>
      </c>
      <c r="T37" s="136">
        <v>1.8</v>
      </c>
      <c r="U37" s="133">
        <v>3</v>
      </c>
      <c r="V37" s="160">
        <v>2</v>
      </c>
      <c r="W37" s="133">
        <v>0.15384615384615385</v>
      </c>
      <c r="BB37" s="57"/>
    </row>
    <row r="38" spans="1:54">
      <c r="A38" s="257" t="str">
        <f ca="1">Dati!$A27</f>
        <v>Ministero dello sviluppo economico</v>
      </c>
      <c r="B38" s="594">
        <f ca="1">Dati!$B27</f>
        <v>103</v>
      </c>
      <c r="C38" s="595">
        <f ca="1">Dati!$C27</f>
        <v>3314</v>
      </c>
      <c r="D38" s="136">
        <f ca="1">'Quesiti x SI'!$AV11/E$30</f>
        <v>6.3170731707317076</v>
      </c>
      <c r="E38" s="47" t="str">
        <f t="shared" ca="1" si="0"/>
        <v>Terzo</v>
      </c>
      <c r="F38" s="32" t="str">
        <f t="shared" ca="1" si="5"/>
        <v>Medio</v>
      </c>
      <c r="G38" s="136">
        <f ca="1">'Quesiti x SI'!$M11/H$30</f>
        <v>8</v>
      </c>
      <c r="H38" s="47" t="str">
        <f t="shared" ca="1" si="1"/>
        <v>Secondo</v>
      </c>
      <c r="I38" s="32" t="str">
        <f t="shared" ca="1" si="6"/>
        <v>Alto</v>
      </c>
      <c r="J38" s="136">
        <f ca="1">'Quesiti x SI'!$W11/K$30</f>
        <v>7.7777777777777777</v>
      </c>
      <c r="K38" s="47" t="str">
        <f t="shared" ca="1" si="2"/>
        <v>Terzo</v>
      </c>
      <c r="L38" s="32" t="str">
        <f t="shared" ca="1" si="7"/>
        <v>Alto</v>
      </c>
      <c r="M38" s="136">
        <f ca="1">'Quesiti x SI'!$AG11/N$30</f>
        <v>5.8888888888888893</v>
      </c>
      <c r="N38" s="47" t="str">
        <f t="shared" ca="1" si="3"/>
        <v>Terzo</v>
      </c>
      <c r="O38" s="32" t="str">
        <f t="shared" ca="1" si="8"/>
        <v>Medio</v>
      </c>
      <c r="P38" s="136">
        <f ca="1">'Quesiti x SI'!$AU11/Q$30</f>
        <v>4.3076923076923075</v>
      </c>
      <c r="Q38" s="47" t="str">
        <f t="shared" ca="1" si="4"/>
        <v>Quarto</v>
      </c>
      <c r="R38" s="32" t="str">
        <f t="shared" ca="1" si="9"/>
        <v>Basso</v>
      </c>
      <c r="S38" s="4">
        <f t="shared" si="10"/>
        <v>7</v>
      </c>
      <c r="T38" s="136">
        <v>4.4000000000000004</v>
      </c>
      <c r="U38" s="133">
        <v>3.6666666666666665</v>
      </c>
      <c r="V38" s="160">
        <v>2.8888888888888888</v>
      </c>
      <c r="W38" s="133">
        <v>0.15384615384615385</v>
      </c>
      <c r="BB38" s="57"/>
    </row>
    <row r="39" spans="1:54">
      <c r="A39" s="257" t="str">
        <f ca="1">Dati!$A28</f>
        <v xml:space="preserve">Ministero per i beni e le attività culturali                                                     </v>
      </c>
      <c r="B39" s="594">
        <f ca="1">Dati!$B28</f>
        <v>3</v>
      </c>
      <c r="C39" s="595">
        <f ca="1">Dati!$C28</f>
        <v>26652</v>
      </c>
      <c r="D39" s="136">
        <f ca="1">'Quesiti x SI'!$AV12/E$30</f>
        <v>0.34146341463414637</v>
      </c>
      <c r="E39" s="47" t="str">
        <f t="shared" ca="1" si="0"/>
        <v>Quarto</v>
      </c>
      <c r="F39" s="32" t="str">
        <f t="shared" ca="1" si="5"/>
        <v>Scarso</v>
      </c>
      <c r="G39" s="136">
        <f ca="1">'Quesiti x SI'!$M12/H$30</f>
        <v>0</v>
      </c>
      <c r="H39" s="47" t="str">
        <f t="shared" ca="1" si="1"/>
        <v>Quarto</v>
      </c>
      <c r="I39" s="32" t="str">
        <f t="shared" ca="1" si="6"/>
        <v>Scarso</v>
      </c>
      <c r="J39" s="136">
        <f ca="1">'Quesiti x SI'!$W12/K$30</f>
        <v>1.1111111111111112</v>
      </c>
      <c r="K39" s="47" t="str">
        <f t="shared" ca="1" si="2"/>
        <v>Quarto</v>
      </c>
      <c r="L39" s="32" t="str">
        <f t="shared" ca="1" si="7"/>
        <v>Scarso</v>
      </c>
      <c r="M39" s="136">
        <f ca="1">'Quesiti x SI'!$AG12/N$30</f>
        <v>0.22222222222222221</v>
      </c>
      <c r="N39" s="47" t="str">
        <f t="shared" ca="1" si="3"/>
        <v>Quarto</v>
      </c>
      <c r="O39" s="32" t="str">
        <f t="shared" ca="1" si="8"/>
        <v>Scarso</v>
      </c>
      <c r="P39" s="136">
        <f ca="1">'Quesiti x SI'!$AU12/Q$30</f>
        <v>0.15384615384615385</v>
      </c>
      <c r="Q39" s="47" t="str">
        <f t="shared" ca="1" si="4"/>
        <v>Quarto</v>
      </c>
      <c r="R39" s="32" t="str">
        <f t="shared" ca="1" si="9"/>
        <v>Scarso</v>
      </c>
      <c r="S39" s="4">
        <f t="shared" si="10"/>
        <v>8</v>
      </c>
      <c r="T39" s="136">
        <v>4.5999999999999996</v>
      </c>
      <c r="U39" s="133">
        <v>3.8888888888888888</v>
      </c>
      <c r="V39" s="160">
        <v>2.8888888888888888</v>
      </c>
      <c r="W39" s="133">
        <v>0.61538461538461542</v>
      </c>
      <c r="BB39" s="57"/>
    </row>
    <row r="40" spans="1:54">
      <c r="A40" s="257" t="str">
        <f ca="1">Dati!$A29</f>
        <v>Ministero della difesa</v>
      </c>
      <c r="B40" s="594">
        <f ca="1">Dati!$B29</f>
        <v>7</v>
      </c>
      <c r="C40" s="595">
        <f ca="1">Dati!$C29</f>
        <v>221631</v>
      </c>
      <c r="D40" s="136">
        <f ca="1">'Quesiti x SI'!$AV13/E$30</f>
        <v>7.2926829268292686</v>
      </c>
      <c r="E40" s="47" t="str">
        <f t="shared" ca="1" si="0"/>
        <v>Secondo</v>
      </c>
      <c r="F40" s="32" t="str">
        <f t="shared" ca="1" si="5"/>
        <v>Alto</v>
      </c>
      <c r="G40" s="136">
        <f ca="1">'Quesiti x SI'!$M13/H$30</f>
        <v>7.8</v>
      </c>
      <c r="H40" s="47" t="str">
        <f t="shared" ca="1" si="1"/>
        <v>Terzo</v>
      </c>
      <c r="I40" s="32" t="str">
        <f t="shared" ca="1" si="6"/>
        <v>Alto</v>
      </c>
      <c r="J40" s="136">
        <f ca="1">'Quesiti x SI'!$W13/K$30</f>
        <v>7.4444444444444446</v>
      </c>
      <c r="K40" s="47" t="str">
        <f t="shared" ca="1" si="2"/>
        <v>Terzo</v>
      </c>
      <c r="L40" s="32" t="str">
        <f t="shared" ca="1" si="7"/>
        <v>Alto</v>
      </c>
      <c r="M40" s="136">
        <f ca="1">'Quesiti x SI'!$AG13/N$30</f>
        <v>4.666666666666667</v>
      </c>
      <c r="N40" s="47" t="str">
        <f t="shared" ca="1" si="3"/>
        <v>Quarto</v>
      </c>
      <c r="O40" s="32" t="str">
        <f t="shared" ca="1" si="8"/>
        <v>Basso</v>
      </c>
      <c r="P40" s="136">
        <f ca="1">'Quesiti x SI'!$AU13/Q$30</f>
        <v>8.615384615384615</v>
      </c>
      <c r="Q40" s="47" t="str">
        <f t="shared" ca="1" si="4"/>
        <v>Primo</v>
      </c>
      <c r="R40" s="32" t="str">
        <f t="shared" ca="1" si="9"/>
        <v>Alto</v>
      </c>
      <c r="S40" s="4">
        <f t="shared" si="10"/>
        <v>9</v>
      </c>
      <c r="T40" s="136">
        <v>4.8</v>
      </c>
      <c r="U40" s="133">
        <v>4</v>
      </c>
      <c r="V40" s="160">
        <v>3.6666666666666665</v>
      </c>
      <c r="W40" s="133">
        <v>1.0769230769230769</v>
      </c>
      <c r="BB40" s="57"/>
    </row>
    <row r="41" spans="1:54">
      <c r="A41" s="257" t="str">
        <f ca="1">Dati!$A30</f>
        <v>Stato Maggiore Difesa</v>
      </c>
      <c r="B41" s="594">
        <f ca="1">Dati!$B30</f>
        <v>303</v>
      </c>
      <c r="C41" s="595">
        <f ca="1">Dati!$C30</f>
        <v>1000</v>
      </c>
      <c r="D41" s="136">
        <f ca="1">'Quesiti x SI'!$AV14/E$30</f>
        <v>4</v>
      </c>
      <c r="E41" s="47" t="str">
        <f t="shared" ca="1" si="0"/>
        <v>Quarto</v>
      </c>
      <c r="F41" s="32" t="str">
        <f t="shared" ca="1" si="5"/>
        <v>Basso</v>
      </c>
      <c r="G41" s="136">
        <f ca="1">'Quesiti x SI'!$M14/H$30</f>
        <v>4.4000000000000004</v>
      </c>
      <c r="H41" s="47" t="str">
        <f t="shared" ca="1" si="1"/>
        <v>Quarto</v>
      </c>
      <c r="I41" s="32" t="str">
        <f t="shared" ca="1" si="6"/>
        <v>Basso</v>
      </c>
      <c r="J41" s="136">
        <f ca="1">'Quesiti x SI'!$W14/K$30</f>
        <v>8.4444444444444446</v>
      </c>
      <c r="K41" s="47" t="str">
        <f t="shared" ca="1" si="2"/>
        <v>Terzo</v>
      </c>
      <c r="L41" s="32" t="str">
        <f t="shared" ca="1" si="7"/>
        <v>Alto</v>
      </c>
      <c r="M41" s="136">
        <f ca="1">'Quesiti x SI'!$AG14/N$30</f>
        <v>4.666666666666667</v>
      </c>
      <c r="N41" s="47" t="str">
        <f t="shared" ca="1" si="3"/>
        <v>Quarto</v>
      </c>
      <c r="O41" s="32" t="str">
        <f t="shared" ca="1" si="8"/>
        <v>Basso</v>
      </c>
      <c r="P41" s="136">
        <f ca="1">'Quesiti x SI'!$AU14/Q$30</f>
        <v>0.15384615384615385</v>
      </c>
      <c r="Q41" s="47" t="str">
        <f t="shared" ca="1" si="4"/>
        <v>Quarto</v>
      </c>
      <c r="R41" s="32" t="str">
        <f t="shared" ca="1" si="9"/>
        <v>Scarso</v>
      </c>
      <c r="S41" s="4">
        <f t="shared" si="10"/>
        <v>10</v>
      </c>
      <c r="T41" s="136">
        <v>5</v>
      </c>
      <c r="U41" s="133">
        <v>4.333333333333333</v>
      </c>
      <c r="V41" s="160">
        <v>3.6666666666666665</v>
      </c>
      <c r="W41" s="133">
        <v>2.4615384615384617</v>
      </c>
      <c r="BB41" s="57"/>
    </row>
    <row r="42" spans="1:54">
      <c r="A42" s="257" t="str">
        <f ca="1">Dati!$A31</f>
        <v>Stato Maggiore Esercito</v>
      </c>
      <c r="B42" s="594">
        <f ca="1">Dati!$B31</f>
        <v>301</v>
      </c>
      <c r="C42" s="595">
        <f ca="1">Dati!$C31</f>
        <v>1000</v>
      </c>
      <c r="D42" s="136">
        <f ca="1">'Quesiti x SI'!$AV15/E$30</f>
        <v>5.9268292682926829</v>
      </c>
      <c r="E42" s="47" t="str">
        <f t="shared" ca="1" si="0"/>
        <v>Quarto</v>
      </c>
      <c r="F42" s="32" t="str">
        <f t="shared" ca="1" si="5"/>
        <v>Medio</v>
      </c>
      <c r="G42" s="136">
        <f ca="1">'Quesiti x SI'!$M15/H$30</f>
        <v>7.8</v>
      </c>
      <c r="H42" s="47" t="str">
        <f t="shared" ca="1" si="1"/>
        <v>Terzo</v>
      </c>
      <c r="I42" s="32" t="str">
        <f t="shared" ca="1" si="6"/>
        <v>Alto</v>
      </c>
      <c r="J42" s="136">
        <f ca="1">'Quesiti x SI'!$W15/K$30</f>
        <v>5</v>
      </c>
      <c r="K42" s="47" t="str">
        <f t="shared" ca="1" si="2"/>
        <v>Quarto</v>
      </c>
      <c r="L42" s="32" t="str">
        <f t="shared" ca="1" si="7"/>
        <v>Medio</v>
      </c>
      <c r="M42" s="136">
        <f ca="1">'Quesiti x SI'!$AG15/N$30</f>
        <v>5.7777777777777777</v>
      </c>
      <c r="N42" s="47" t="str">
        <f t="shared" ca="1" si="3"/>
        <v>Terzo</v>
      </c>
      <c r="O42" s="32" t="str">
        <f t="shared" ca="1" si="8"/>
        <v>Medio</v>
      </c>
      <c r="P42" s="136">
        <f ca="1">'Quesiti x SI'!$AU15/Q$30</f>
        <v>5.2307692307692308</v>
      </c>
      <c r="Q42" s="47" t="str">
        <f t="shared" ca="1" si="4"/>
        <v>Terzo</v>
      </c>
      <c r="R42" s="32" t="str">
        <f t="shared" ca="1" si="9"/>
        <v>Medio</v>
      </c>
      <c r="S42" s="4">
        <f t="shared" si="10"/>
        <v>11</v>
      </c>
      <c r="T42" s="136">
        <v>5.2</v>
      </c>
      <c r="U42" s="133">
        <v>4.5555555555555554</v>
      </c>
      <c r="V42" s="160">
        <v>4.2222222222222223</v>
      </c>
      <c r="W42" s="133">
        <v>2.6153846153846154</v>
      </c>
      <c r="BB42" s="57"/>
    </row>
    <row r="43" spans="1:54">
      <c r="A43" s="257" t="str">
        <f ca="1">Dati!$A32</f>
        <v>Stato Maggiore Marina</v>
      </c>
      <c r="B43" s="594">
        <f ca="1">Dati!$B32</f>
        <v>302</v>
      </c>
      <c r="C43" s="595">
        <f ca="1">Dati!$C32</f>
        <v>1000</v>
      </c>
      <c r="D43" s="136">
        <f ca="1">'Quesiti x SI'!$AV16/E$30</f>
        <v>6.8048780487804876</v>
      </c>
      <c r="E43" s="47" t="str">
        <f t="shared" ca="1" si="0"/>
        <v>Terzo</v>
      </c>
      <c r="F43" s="32" t="str">
        <f t="shared" ca="1" si="5"/>
        <v>Medio</v>
      </c>
      <c r="G43" s="136">
        <f ca="1">'Quesiti x SI'!$M16/H$30</f>
        <v>7.7</v>
      </c>
      <c r="H43" s="47" t="str">
        <f t="shared" ca="1" si="1"/>
        <v>Terzo</v>
      </c>
      <c r="I43" s="32" t="str">
        <f t="shared" ca="1" si="6"/>
        <v>Alto</v>
      </c>
      <c r="J43" s="136">
        <f ca="1">'Quesiti x SI'!$W16/K$30</f>
        <v>9.5555555555555554</v>
      </c>
      <c r="K43" s="47" t="str">
        <f t="shared" ca="1" si="2"/>
        <v>Primo</v>
      </c>
      <c r="L43" s="32" t="str">
        <f t="shared" ca="1" si="7"/>
        <v>Alto</v>
      </c>
      <c r="M43" s="136">
        <f ca="1">'Quesiti x SI'!$AG16/N$30</f>
        <v>5.5555555555555554</v>
      </c>
      <c r="N43" s="47" t="str">
        <f t="shared" ca="1" si="3"/>
        <v>Terzo</v>
      </c>
      <c r="O43" s="32" t="str">
        <f t="shared" ca="1" si="8"/>
        <v>Medio</v>
      </c>
      <c r="P43" s="136">
        <f ca="1">'Quesiti x SI'!$AU16/Q$30</f>
        <v>5.0769230769230766</v>
      </c>
      <c r="Q43" s="47" t="str">
        <f t="shared" ca="1" si="4"/>
        <v>Terzo</v>
      </c>
      <c r="R43" s="32" t="str">
        <f t="shared" ca="1" si="9"/>
        <v>Medio</v>
      </c>
      <c r="S43" s="4">
        <f t="shared" si="10"/>
        <v>12</v>
      </c>
      <c r="T43" s="136">
        <v>5.4</v>
      </c>
      <c r="U43" s="133">
        <v>4.5555555555555554</v>
      </c>
      <c r="V43" s="160">
        <v>4.2222222222222223</v>
      </c>
      <c r="W43" s="133">
        <v>2.7692307692307692</v>
      </c>
      <c r="BB43" s="57"/>
    </row>
    <row r="44" spans="1:54">
      <c r="A44" s="257" t="str">
        <f ca="1">Dati!$A33</f>
        <v>Stato Maggiore Aeronautica</v>
      </c>
      <c r="B44" s="594">
        <f ca="1">Dati!$B33</f>
        <v>300</v>
      </c>
      <c r="C44" s="595">
        <f ca="1">Dati!$C33</f>
        <v>1000</v>
      </c>
      <c r="D44" s="136">
        <f ca="1">'Quesiti x SI'!$AV17/E$30</f>
        <v>8.7073170731707314</v>
      </c>
      <c r="E44" s="47" t="str">
        <f t="shared" ca="1" si="0"/>
        <v>Primo</v>
      </c>
      <c r="F44" s="32" t="str">
        <f t="shared" ca="1" si="5"/>
        <v>Alto</v>
      </c>
      <c r="G44" s="136">
        <f ca="1">'Quesiti x SI'!$M17/H$30</f>
        <v>8.3000000000000007</v>
      </c>
      <c r="H44" s="47" t="str">
        <f t="shared" ca="1" si="1"/>
        <v>Secondo</v>
      </c>
      <c r="I44" s="32" t="str">
        <f t="shared" ca="1" si="6"/>
        <v>Alto</v>
      </c>
      <c r="J44" s="136">
        <f ca="1">'Quesiti x SI'!$W17/K$30</f>
        <v>9.1111111111111107</v>
      </c>
      <c r="K44" s="47" t="str">
        <f t="shared" ca="1" si="2"/>
        <v>Secondo</v>
      </c>
      <c r="L44" s="32" t="str">
        <f t="shared" ca="1" si="7"/>
        <v>Alto</v>
      </c>
      <c r="M44" s="136">
        <f ca="1">'Quesiti x SI'!$AG17/N$30</f>
        <v>9.1111111111111107</v>
      </c>
      <c r="N44" s="47" t="str">
        <f t="shared" ca="1" si="3"/>
        <v>Primo</v>
      </c>
      <c r="O44" s="32" t="str">
        <f t="shared" ca="1" si="8"/>
        <v>Alto</v>
      </c>
      <c r="P44" s="136">
        <f ca="1">'Quesiti x SI'!$AU17/Q$30</f>
        <v>8.4615384615384617</v>
      </c>
      <c r="Q44" s="47" t="str">
        <f t="shared" ca="1" si="4"/>
        <v>Primo</v>
      </c>
      <c r="R44" s="32" t="str">
        <f t="shared" ca="1" si="9"/>
        <v>Alto</v>
      </c>
      <c r="S44" s="4">
        <f t="shared" si="10"/>
        <v>13</v>
      </c>
      <c r="T44" s="136">
        <v>5.6</v>
      </c>
      <c r="U44" s="133">
        <v>4.5555555555555554</v>
      </c>
      <c r="V44" s="160">
        <v>4.4444444444444446</v>
      </c>
      <c r="W44" s="133">
        <v>2.9230769230769229</v>
      </c>
      <c r="BB44" s="57"/>
    </row>
    <row r="45" spans="1:54">
      <c r="A45" s="257" t="str">
        <f ca="1">Dati!$A34</f>
        <v xml:space="preserve">Arma dei Carabinieri                                 </v>
      </c>
      <c r="B45" s="594">
        <f ca="1">Dati!$B34</f>
        <v>52</v>
      </c>
      <c r="C45" s="595">
        <f ca="1">Dati!$C34</f>
        <v>110070</v>
      </c>
      <c r="D45" s="136">
        <f ca="1">'Quesiti x SI'!$AV18/E$30</f>
        <v>8.4390243902439028</v>
      </c>
      <c r="E45" s="47" t="str">
        <f t="shared" ca="1" si="0"/>
        <v>Primo</v>
      </c>
      <c r="F45" s="32" t="str">
        <f t="shared" ca="1" si="5"/>
        <v>Alto</v>
      </c>
      <c r="G45" s="136">
        <f ca="1">'Quesiti x SI'!$M18/H$30</f>
        <v>7.9</v>
      </c>
      <c r="H45" s="47" t="str">
        <f t="shared" ca="1" si="1"/>
        <v>Secondo</v>
      </c>
      <c r="I45" s="32" t="str">
        <f t="shared" ca="1" si="6"/>
        <v>Alto</v>
      </c>
      <c r="J45" s="136">
        <f ca="1">'Quesiti x SI'!$W18/K$30</f>
        <v>6.5555555555555554</v>
      </c>
      <c r="K45" s="47" t="str">
        <f t="shared" ca="1" si="2"/>
        <v>Quarto</v>
      </c>
      <c r="L45" s="32" t="str">
        <f t="shared" ca="1" si="7"/>
        <v>Medio</v>
      </c>
      <c r="M45" s="136">
        <f ca="1">'Quesiti x SI'!$AG18/N$30</f>
        <v>9.1111111111111107</v>
      </c>
      <c r="N45" s="47" t="str">
        <f t="shared" ca="1" si="3"/>
        <v>Primo</v>
      </c>
      <c r="O45" s="32" t="str">
        <f t="shared" ca="1" si="8"/>
        <v>Alto</v>
      </c>
      <c r="P45" s="136">
        <f ca="1">'Quesiti x SI'!$AU18/Q$30</f>
        <v>9.6923076923076916</v>
      </c>
      <c r="Q45" s="47" t="str">
        <f t="shared" ca="1" si="4"/>
        <v>Primo</v>
      </c>
      <c r="R45" s="32" t="str">
        <f t="shared" ca="1" si="9"/>
        <v>Alto</v>
      </c>
      <c r="S45" s="4">
        <f t="shared" si="10"/>
        <v>14</v>
      </c>
      <c r="T45" s="136">
        <v>5.6</v>
      </c>
      <c r="U45" s="133">
        <v>5.2222222222222223</v>
      </c>
      <c r="V45" s="160">
        <v>4.4444444444444446</v>
      </c>
      <c r="W45" s="133">
        <v>3.2307692307692308</v>
      </c>
      <c r="BB45" s="57"/>
    </row>
    <row r="46" spans="1:54">
      <c r="A46" s="257" t="str">
        <f ca="1">Dati!$A35</f>
        <v>Dipartimento delle Finanze</v>
      </c>
      <c r="B46" s="594">
        <f ca="1">Dati!$B35</f>
        <v>72</v>
      </c>
      <c r="C46" s="595">
        <f ca="1">Dati!$C35</f>
        <v>3271</v>
      </c>
      <c r="D46" s="136">
        <f ca="1">'Quesiti x SI'!$AV19/E$30</f>
        <v>8.7804878048780495</v>
      </c>
      <c r="E46" s="47" t="str">
        <f t="shared" ca="1" si="0"/>
        <v>Primo</v>
      </c>
      <c r="F46" s="32" t="str">
        <f t="shared" ca="1" si="5"/>
        <v>Alto</v>
      </c>
      <c r="G46" s="136">
        <f ca="1">'Quesiti x SI'!$M19/H$30</f>
        <v>7.3</v>
      </c>
      <c r="H46" s="47" t="str">
        <f t="shared" ca="1" si="1"/>
        <v>Terzo</v>
      </c>
      <c r="I46" s="32" t="str">
        <f t="shared" ca="1" si="6"/>
        <v>Alto</v>
      </c>
      <c r="J46" s="136">
        <f ca="1">'Quesiti x SI'!$W19/K$30</f>
        <v>9</v>
      </c>
      <c r="K46" s="47" t="str">
        <f t="shared" ca="1" si="2"/>
        <v>Secondo</v>
      </c>
      <c r="L46" s="32" t="str">
        <f t="shared" ca="1" si="7"/>
        <v>Alto</v>
      </c>
      <c r="M46" s="136">
        <f ca="1">'Quesiti x SI'!$AG19/N$30</f>
        <v>9.5555555555555554</v>
      </c>
      <c r="N46" s="47" t="str">
        <f t="shared" ca="1" si="3"/>
        <v>Primo</v>
      </c>
      <c r="O46" s="32" t="str">
        <f t="shared" ca="1" si="8"/>
        <v>Alto</v>
      </c>
      <c r="P46" s="136">
        <f ca="1">'Quesiti x SI'!$AU19/Q$30</f>
        <v>9.2307692307692299</v>
      </c>
      <c r="Q46" s="47" t="str">
        <f t="shared" ca="1" si="4"/>
        <v>Primo</v>
      </c>
      <c r="R46" s="32" t="str">
        <f t="shared" ca="1" si="9"/>
        <v>Alto</v>
      </c>
      <c r="S46" s="4">
        <f t="shared" si="10"/>
        <v>15</v>
      </c>
      <c r="T46" s="136">
        <v>5.6</v>
      </c>
      <c r="U46" s="133">
        <v>5.4444444444444446</v>
      </c>
      <c r="V46" s="160">
        <v>4.4444444444444446</v>
      </c>
      <c r="W46" s="133">
        <v>3.2307692307692308</v>
      </c>
      <c r="BB46" s="57"/>
    </row>
    <row r="47" spans="1:54">
      <c r="A47" s="257" t="str">
        <f ca="1">Dati!$A36</f>
        <v xml:space="preserve">Ministero dell'economia e finanze - Area tesoro        </v>
      </c>
      <c r="B47" s="594">
        <f ca="1">Dati!$B36</f>
        <v>71</v>
      </c>
      <c r="C47" s="595">
        <f ca="1">Dati!$C36</f>
        <v>11332</v>
      </c>
      <c r="D47" s="136">
        <f ca="1">'Quesiti x SI'!$AV20/E$30</f>
        <v>7.6097560975609753</v>
      </c>
      <c r="E47" s="47" t="str">
        <f t="shared" ca="1" si="0"/>
        <v>Secondo</v>
      </c>
      <c r="F47" s="32" t="str">
        <f t="shared" ca="1" si="5"/>
        <v>Alto</v>
      </c>
      <c r="G47" s="136">
        <f ca="1">'Quesiti x SI'!$M20/H$30</f>
        <v>8.1999999999999993</v>
      </c>
      <c r="H47" s="47" t="str">
        <f t="shared" ca="1" si="1"/>
        <v>Secondo</v>
      </c>
      <c r="I47" s="32" t="str">
        <f t="shared" ca="1" si="6"/>
        <v>Alto</v>
      </c>
      <c r="J47" s="136">
        <f ca="1">'Quesiti x SI'!$W20/K$30</f>
        <v>7.7777777777777777</v>
      </c>
      <c r="K47" s="47" t="str">
        <f t="shared" ca="1" si="2"/>
        <v>Terzo</v>
      </c>
      <c r="L47" s="32" t="str">
        <f t="shared" ca="1" si="7"/>
        <v>Alto</v>
      </c>
      <c r="M47" s="136">
        <f ca="1">'Quesiti x SI'!$AG20/N$30</f>
        <v>7.333333333333333</v>
      </c>
      <c r="N47" s="47" t="str">
        <f t="shared" ca="1" si="3"/>
        <v>Secondo</v>
      </c>
      <c r="O47" s="32" t="str">
        <f t="shared" ca="1" si="8"/>
        <v>Alto</v>
      </c>
      <c r="P47" s="136">
        <f ca="1">'Quesiti x SI'!$AU20/Q$30</f>
        <v>7.2307692307692308</v>
      </c>
      <c r="Q47" s="47" t="str">
        <f t="shared" ca="1" si="4"/>
        <v>Secondo</v>
      </c>
      <c r="R47" s="32" t="str">
        <f t="shared" ca="1" si="9"/>
        <v>Alto</v>
      </c>
      <c r="S47" s="4">
        <f t="shared" si="10"/>
        <v>16</v>
      </c>
      <c r="T47" s="136">
        <v>5.8</v>
      </c>
      <c r="U47" s="133">
        <v>5.666666666666667</v>
      </c>
      <c r="V47" s="160">
        <v>5.1111111111111107</v>
      </c>
      <c r="W47" s="133">
        <v>3.3846153846153846</v>
      </c>
      <c r="BB47" s="57"/>
    </row>
    <row r="48" spans="1:54">
      <c r="A48" s="257" t="str">
        <f ca="1">Dati!$A37</f>
        <v xml:space="preserve">Ministero della giustizia                             </v>
      </c>
      <c r="B48" s="594">
        <f ca="1">Dati!$B37</f>
        <v>11</v>
      </c>
      <c r="C48" s="595">
        <f ca="1">Dati!$C37</f>
        <v>92515</v>
      </c>
      <c r="D48" s="136">
        <f ca="1">'Quesiti x SI'!$AV21/E$30</f>
        <v>7.7560975609756095</v>
      </c>
      <c r="E48" s="47" t="str">
        <f t="shared" ca="1" si="0"/>
        <v>Secondo</v>
      </c>
      <c r="F48" s="32" t="str">
        <f t="shared" ca="1" si="5"/>
        <v>Alto</v>
      </c>
      <c r="G48" s="136">
        <f ca="1">'Quesiti x SI'!$M21/H$30</f>
        <v>8.8000000000000007</v>
      </c>
      <c r="H48" s="47" t="str">
        <f t="shared" ca="1" si="1"/>
        <v>Primo</v>
      </c>
      <c r="I48" s="32" t="str">
        <f t="shared" ca="1" si="6"/>
        <v>Alto</v>
      </c>
      <c r="J48" s="136">
        <f ca="1">'Quesiti x SI'!$W21/K$30</f>
        <v>10</v>
      </c>
      <c r="K48" s="47" t="str">
        <f t="shared" ca="1" si="2"/>
        <v>Primo</v>
      </c>
      <c r="L48" s="32" t="str">
        <f t="shared" ca="1" si="7"/>
        <v>Alto</v>
      </c>
      <c r="M48" s="136">
        <f ca="1">'Quesiti x SI'!$AG21/N$30</f>
        <v>8</v>
      </c>
      <c r="N48" s="47" t="str">
        <f t="shared" ca="1" si="3"/>
        <v>Secondo</v>
      </c>
      <c r="O48" s="32" t="str">
        <f t="shared" ca="1" si="8"/>
        <v>Alto</v>
      </c>
      <c r="P48" s="136">
        <f ca="1">'Quesiti x SI'!$AU21/Q$30</f>
        <v>5.2307692307692308</v>
      </c>
      <c r="Q48" s="47" t="str">
        <f t="shared" ca="1" si="4"/>
        <v>Terzo</v>
      </c>
      <c r="R48" s="32" t="str">
        <f t="shared" ca="1" si="9"/>
        <v>Medio</v>
      </c>
      <c r="S48" s="4">
        <f t="shared" si="10"/>
        <v>17</v>
      </c>
      <c r="T48" s="136">
        <v>6.2</v>
      </c>
      <c r="U48" s="133">
        <v>6.1111111111111107</v>
      </c>
      <c r="V48" s="160">
        <v>5.1111111111111107</v>
      </c>
      <c r="W48" s="133">
        <v>3.5384615384615383</v>
      </c>
      <c r="BB48" s="57"/>
    </row>
    <row r="49" spans="1:54">
      <c r="A49" s="257" t="str">
        <f ca="1">Dati!$A38</f>
        <v xml:space="preserve">Ministero dell'interno                                                                              </v>
      </c>
      <c r="B49" s="594">
        <f ca="1">Dati!$B38</f>
        <v>110</v>
      </c>
      <c r="C49" s="595">
        <f ca="1">Dati!$C38</f>
        <v>159971</v>
      </c>
      <c r="D49" s="136">
        <f ca="1">'Quesiti x SI'!$AV22/E$30</f>
        <v>9.3658536585365848</v>
      </c>
      <c r="E49" s="47" t="str">
        <f t="shared" ca="1" si="0"/>
        <v>Primo</v>
      </c>
      <c r="F49" s="32" t="str">
        <f t="shared" ca="1" si="5"/>
        <v>Alto</v>
      </c>
      <c r="G49" s="136">
        <f ca="1">'Quesiti x SI'!$M22/H$30</f>
        <v>9.1999999999999993</v>
      </c>
      <c r="H49" s="47" t="str">
        <f t="shared" ca="1" si="1"/>
        <v>Primo</v>
      </c>
      <c r="I49" s="32" t="str">
        <f t="shared" ca="1" si="6"/>
        <v>Alto</v>
      </c>
      <c r="J49" s="136">
        <f ca="1">'Quesiti x SI'!$W22/K$30</f>
        <v>9.5555555555555554</v>
      </c>
      <c r="K49" s="47" t="str">
        <f t="shared" ca="1" si="2"/>
        <v>Primo</v>
      </c>
      <c r="L49" s="32" t="str">
        <f t="shared" ca="1" si="7"/>
        <v>Alto</v>
      </c>
      <c r="M49" s="136">
        <f ca="1">'Quesiti x SI'!$AG22/N$30</f>
        <v>9.1111111111111107</v>
      </c>
      <c r="N49" s="47" t="str">
        <f t="shared" ca="1" si="3"/>
        <v>Primo</v>
      </c>
      <c r="O49" s="32" t="str">
        <f t="shared" ca="1" si="8"/>
        <v>Alto</v>
      </c>
      <c r="P49" s="136">
        <f ca="1">'Quesiti x SI'!$AU22/Q$30</f>
        <v>9.5384615384615383</v>
      </c>
      <c r="Q49" s="47" t="str">
        <f t="shared" ca="1" si="4"/>
        <v>Primo</v>
      </c>
      <c r="R49" s="32" t="str">
        <f t="shared" ca="1" si="9"/>
        <v>Alto</v>
      </c>
      <c r="S49" s="4">
        <f t="shared" si="10"/>
        <v>18</v>
      </c>
      <c r="T49" s="136">
        <v>6.2</v>
      </c>
      <c r="U49" s="133">
        <v>6.7777777777777777</v>
      </c>
      <c r="V49" s="160">
        <v>5.4444444444444446</v>
      </c>
      <c r="W49" s="133">
        <v>3.5384615384615383</v>
      </c>
      <c r="BB49" s="57"/>
    </row>
    <row r="50" spans="1:54">
      <c r="A50" s="257" t="str">
        <f ca="1">Dati!$A39</f>
        <v>Ministero dell'interno - Affari Interni e Territoriali - Demografici</v>
      </c>
      <c r="B50" s="594">
        <f ca="1">Dati!$B39</f>
        <v>703</v>
      </c>
      <c r="C50" s="595">
        <f ca="1">Dati!$C39</f>
        <v>1000</v>
      </c>
      <c r="D50" s="136">
        <f ca="1">'Quesiti x SI'!$AV23/E$30</f>
        <v>5.8780487804878048</v>
      </c>
      <c r="E50" s="47" t="str">
        <f t="shared" ca="1" si="0"/>
        <v>Quarto</v>
      </c>
      <c r="F50" s="32" t="str">
        <f t="shared" ca="1" si="5"/>
        <v>Medio</v>
      </c>
      <c r="G50" s="136">
        <f ca="1">'Quesiti x SI'!$M23/H$30</f>
        <v>6.2</v>
      </c>
      <c r="H50" s="47" t="str">
        <f t="shared" ca="1" si="1"/>
        <v>Quarto</v>
      </c>
      <c r="I50" s="32" t="str">
        <f t="shared" ca="1" si="6"/>
        <v>Medio</v>
      </c>
      <c r="J50" s="136">
        <f ca="1">'Quesiti x SI'!$W23/K$30</f>
        <v>7.4444444444444446</v>
      </c>
      <c r="K50" s="47" t="str">
        <f t="shared" ca="1" si="2"/>
        <v>Terzo</v>
      </c>
      <c r="L50" s="32" t="str">
        <f t="shared" ca="1" si="7"/>
        <v>Alto</v>
      </c>
      <c r="M50" s="136">
        <f ca="1">'Quesiti x SI'!$AG23/N$30</f>
        <v>6.2222222222222223</v>
      </c>
      <c r="N50" s="47" t="str">
        <f t="shared" ca="1" si="3"/>
        <v>Terzo</v>
      </c>
      <c r="O50" s="32" t="str">
        <f t="shared" ca="1" si="8"/>
        <v>Medio</v>
      </c>
      <c r="P50" s="136">
        <f ca="1">'Quesiti x SI'!$AU23/Q$30</f>
        <v>4.3076923076923075</v>
      </c>
      <c r="Q50" s="47" t="str">
        <f t="shared" ca="1" si="4"/>
        <v>Quarto</v>
      </c>
      <c r="R50" s="32" t="str">
        <f t="shared" ca="1" si="9"/>
        <v>Basso</v>
      </c>
      <c r="S50" s="4">
        <f t="shared" si="10"/>
        <v>19</v>
      </c>
      <c r="T50" s="136">
        <v>6.5</v>
      </c>
      <c r="U50" s="133">
        <v>6.8888888888888893</v>
      </c>
      <c r="V50" s="160">
        <v>5.5555555555555554</v>
      </c>
      <c r="W50" s="133">
        <v>4</v>
      </c>
      <c r="BB50" s="57"/>
    </row>
    <row r="51" spans="1:54">
      <c r="A51" s="257" t="str">
        <f ca="1">Dati!$A40</f>
        <v>Ministero dell'interno - Affari Interni e Territoriali - Elettorale</v>
      </c>
      <c r="B51" s="594">
        <f ca="1">Dati!$B40</f>
        <v>707</v>
      </c>
      <c r="C51" s="595">
        <f ca="1">Dati!$C40</f>
        <v>1000</v>
      </c>
      <c r="D51" s="136">
        <f ca="1">'Quesiti x SI'!$AV24/E$30</f>
        <v>8.8780487804878057</v>
      </c>
      <c r="E51" s="47" t="str">
        <f t="shared" ca="1" si="0"/>
        <v>Primo</v>
      </c>
      <c r="F51" s="32" t="str">
        <f t="shared" ca="1" si="5"/>
        <v>Alto</v>
      </c>
      <c r="G51" s="136">
        <f ca="1">'Quesiti x SI'!$M24/H$30</f>
        <v>8.1999999999999993</v>
      </c>
      <c r="H51" s="47" t="str">
        <f t="shared" ca="1" si="1"/>
        <v>Secondo</v>
      </c>
      <c r="I51" s="32" t="str">
        <f t="shared" ca="1" si="6"/>
        <v>Alto</v>
      </c>
      <c r="J51" s="136">
        <f ca="1">'Quesiti x SI'!$W24/K$30</f>
        <v>9.5555555555555554</v>
      </c>
      <c r="K51" s="47" t="str">
        <f t="shared" ca="1" si="2"/>
        <v>Primo</v>
      </c>
      <c r="L51" s="32" t="str">
        <f t="shared" ca="1" si="7"/>
        <v>Alto</v>
      </c>
      <c r="M51" s="136">
        <f ca="1">'Quesiti x SI'!$AG24/N$30</f>
        <v>8</v>
      </c>
      <c r="N51" s="47" t="str">
        <f t="shared" ca="1" si="3"/>
        <v>Secondo</v>
      </c>
      <c r="O51" s="32" t="str">
        <f t="shared" ca="1" si="8"/>
        <v>Alto</v>
      </c>
      <c r="P51" s="136">
        <f ca="1">'Quesiti x SI'!$AU24/Q$30</f>
        <v>9.5384615384615383</v>
      </c>
      <c r="Q51" s="47" t="str">
        <f t="shared" ca="1" si="4"/>
        <v>Primo</v>
      </c>
      <c r="R51" s="32" t="str">
        <f t="shared" ca="1" si="9"/>
        <v>Alto</v>
      </c>
      <c r="S51" s="4">
        <f t="shared" si="10"/>
        <v>20</v>
      </c>
      <c r="T51" s="136">
        <v>6.6</v>
      </c>
      <c r="U51" s="133">
        <v>7.333333333333333</v>
      </c>
      <c r="V51" s="160">
        <v>5.5555555555555554</v>
      </c>
      <c r="W51" s="133">
        <v>4.1538461538461542</v>
      </c>
      <c r="BB51" s="57"/>
    </row>
    <row r="52" spans="1:54">
      <c r="A52" s="257" t="str">
        <f ca="1">Dati!$A41</f>
        <v>Ministero dell'interno - Politiche Personale</v>
      </c>
      <c r="B52" s="594">
        <f ca="1">Dati!$B41</f>
        <v>712</v>
      </c>
      <c r="C52" s="595">
        <f ca="1">Dati!$C41</f>
        <v>1000</v>
      </c>
      <c r="D52" s="136">
        <f ca="1">'Quesiti x SI'!$AV25/E$30</f>
        <v>6.6829268292682924</v>
      </c>
      <c r="E52" s="47" t="str">
        <f t="shared" ca="1" si="0"/>
        <v>Terzo</v>
      </c>
      <c r="F52" s="32" t="str">
        <f t="shared" ca="1" si="5"/>
        <v>Medio</v>
      </c>
      <c r="G52" s="136">
        <f ca="1">'Quesiti x SI'!$M25/H$30</f>
        <v>8.6</v>
      </c>
      <c r="H52" s="47" t="str">
        <f t="shared" ca="1" si="1"/>
        <v>Primo</v>
      </c>
      <c r="I52" s="32" t="str">
        <f t="shared" ca="1" si="6"/>
        <v>Alto</v>
      </c>
      <c r="J52" s="136">
        <f ca="1">'Quesiti x SI'!$W25/K$30</f>
        <v>9.5555555555555554</v>
      </c>
      <c r="K52" s="47" t="str">
        <f t="shared" ca="1" si="2"/>
        <v>Primo</v>
      </c>
      <c r="L52" s="32" t="str">
        <f t="shared" ca="1" si="7"/>
        <v>Alto</v>
      </c>
      <c r="M52" s="136">
        <f ca="1">'Quesiti x SI'!$AG25/N$30</f>
        <v>5.7777777777777777</v>
      </c>
      <c r="N52" s="47" t="str">
        <f t="shared" ca="1" si="3"/>
        <v>Terzo</v>
      </c>
      <c r="O52" s="32" t="str">
        <f t="shared" ca="1" si="8"/>
        <v>Medio</v>
      </c>
      <c r="P52" s="136">
        <f ca="1">'Quesiti x SI'!$AU25/Q$30</f>
        <v>3.8461538461538463</v>
      </c>
      <c r="Q52" s="47" t="str">
        <f t="shared" ca="1" si="4"/>
        <v>Quarto</v>
      </c>
      <c r="R52" s="32" t="str">
        <f t="shared" ca="1" si="9"/>
        <v>Scarso</v>
      </c>
      <c r="S52" s="4">
        <f t="shared" si="10"/>
        <v>21</v>
      </c>
      <c r="T52" s="136">
        <v>6.7</v>
      </c>
      <c r="U52" s="133">
        <v>7.333333333333333</v>
      </c>
      <c r="V52" s="160">
        <v>5.5555555555555554</v>
      </c>
      <c r="W52" s="133">
        <v>4.1538461538461542</v>
      </c>
      <c r="BB52" s="57"/>
    </row>
    <row r="53" spans="1:54">
      <c r="A53" s="257" t="str">
        <f ca="1">Dati!$A42</f>
        <v>Ministero dell'interno - Libertà Civili e Immigrazione</v>
      </c>
      <c r="B53" s="594">
        <f ca="1">Dati!$B42</f>
        <v>705</v>
      </c>
      <c r="C53" s="595">
        <f ca="1">Dati!$C42</f>
        <v>1000</v>
      </c>
      <c r="D53" s="136">
        <f ca="1">'Quesiti x SI'!$AV26/E$30</f>
        <v>7.3902439024390247</v>
      </c>
      <c r="E53" s="47" t="str">
        <f t="shared" ca="1" si="0"/>
        <v>Secondo</v>
      </c>
      <c r="F53" s="32" t="str">
        <f t="shared" ca="1" si="5"/>
        <v>Alto</v>
      </c>
      <c r="G53" s="136">
        <f ca="1">'Quesiti x SI'!$M26/H$30</f>
        <v>8.6</v>
      </c>
      <c r="H53" s="47" t="str">
        <f t="shared" ca="1" si="1"/>
        <v>Primo</v>
      </c>
      <c r="I53" s="32" t="str">
        <f t="shared" ca="1" si="6"/>
        <v>Alto</v>
      </c>
      <c r="J53" s="136">
        <f ca="1">'Quesiti x SI'!$W26/K$30</f>
        <v>6.7777777777777777</v>
      </c>
      <c r="K53" s="47" t="str">
        <f t="shared" ca="1" si="2"/>
        <v>Quarto</v>
      </c>
      <c r="L53" s="32" t="str">
        <f t="shared" ca="1" si="7"/>
        <v>Medio</v>
      </c>
      <c r="M53" s="136">
        <f ca="1">'Quesiti x SI'!$AG26/N$30</f>
        <v>5.7777777777777777</v>
      </c>
      <c r="N53" s="47" t="str">
        <f t="shared" ca="1" si="3"/>
        <v>Terzo</v>
      </c>
      <c r="O53" s="32" t="str">
        <f t="shared" ca="1" si="8"/>
        <v>Medio</v>
      </c>
      <c r="P53" s="136">
        <f ca="1">'Quesiti x SI'!$AU26/Q$30</f>
        <v>8</v>
      </c>
      <c r="Q53" s="47" t="str">
        <f t="shared" ca="1" si="4"/>
        <v>Secondo</v>
      </c>
      <c r="R53" s="32" t="str">
        <f t="shared" ca="1" si="9"/>
        <v>Alto</v>
      </c>
      <c r="S53" s="4">
        <f t="shared" si="10"/>
        <v>22</v>
      </c>
      <c r="T53" s="136">
        <v>6.7</v>
      </c>
      <c r="U53" s="133">
        <v>7.333333333333333</v>
      </c>
      <c r="V53" s="160">
        <v>6.2222222222222223</v>
      </c>
      <c r="W53" s="133">
        <v>4.1538461538461542</v>
      </c>
      <c r="BB53" s="57"/>
    </row>
    <row r="54" spans="1:54">
      <c r="A54" s="257" t="str">
        <f ca="1">Dati!$A43</f>
        <v>Ministero dell'interno - Vigili del  Fuoco</v>
      </c>
      <c r="B54" s="594">
        <f ca="1">Dati!$B43</f>
        <v>711</v>
      </c>
      <c r="C54" s="595">
        <f ca="1">Dati!$C43</f>
        <v>1000</v>
      </c>
      <c r="D54" s="136">
        <f ca="1">'Quesiti x SI'!$AV27/E$30</f>
        <v>8.4390243902439028</v>
      </c>
      <c r="E54" s="47" t="str">
        <f t="shared" ca="1" si="0"/>
        <v>Primo</v>
      </c>
      <c r="F54" s="32" t="str">
        <f t="shared" ca="1" si="5"/>
        <v>Alto</v>
      </c>
      <c r="G54" s="136">
        <f ca="1">'Quesiti x SI'!$M27/H$30</f>
        <v>8.3000000000000007</v>
      </c>
      <c r="H54" s="47" t="str">
        <f t="shared" ca="1" si="1"/>
        <v>Secondo</v>
      </c>
      <c r="I54" s="32" t="str">
        <f t="shared" ca="1" si="6"/>
        <v>Alto</v>
      </c>
      <c r="J54" s="136">
        <f ca="1">'Quesiti x SI'!$W27/K$30</f>
        <v>9</v>
      </c>
      <c r="K54" s="47" t="str">
        <f t="shared" ca="1" si="2"/>
        <v>Secondo</v>
      </c>
      <c r="L54" s="32" t="str">
        <f t="shared" ca="1" si="7"/>
        <v>Alto</v>
      </c>
      <c r="M54" s="136">
        <f ca="1">'Quesiti x SI'!$AG27/N$30</f>
        <v>8</v>
      </c>
      <c r="N54" s="47" t="str">
        <f t="shared" ca="1" si="3"/>
        <v>Secondo</v>
      </c>
      <c r="O54" s="32" t="str">
        <f t="shared" ca="1" si="8"/>
        <v>Alto</v>
      </c>
      <c r="P54" s="136">
        <f ca="1">'Quesiti x SI'!$AU27/Q$30</f>
        <v>8.4615384615384617</v>
      </c>
      <c r="Q54" s="47" t="str">
        <f t="shared" ca="1" si="4"/>
        <v>Primo</v>
      </c>
      <c r="R54" s="32" t="str">
        <f t="shared" ca="1" si="9"/>
        <v>Alto</v>
      </c>
      <c r="S54" s="4">
        <f t="shared" si="10"/>
        <v>23</v>
      </c>
      <c r="T54" s="136">
        <v>6.8</v>
      </c>
      <c r="U54" s="133">
        <v>7.4444444444444446</v>
      </c>
      <c r="V54" s="160">
        <v>6.2222222222222223</v>
      </c>
      <c r="W54" s="133">
        <v>4.615384615384615</v>
      </c>
      <c r="BB54" s="57"/>
    </row>
    <row r="55" spans="1:54">
      <c r="A55" s="257" t="str">
        <f ca="1">Dati!$A44</f>
        <v>Ministero dell'interno - P.S. CED PS</v>
      </c>
      <c r="B55" s="594">
        <f ca="1">Dati!$B44</f>
        <v>710</v>
      </c>
      <c r="C55" s="595">
        <f ca="1">Dati!$C44</f>
        <v>1000</v>
      </c>
      <c r="D55" s="136">
        <f ca="1">'Quesiti x SI'!$AV28/E$30</f>
        <v>8.5121951219512191</v>
      </c>
      <c r="E55" s="47" t="str">
        <f t="shared" ca="1" si="0"/>
        <v>Primo</v>
      </c>
      <c r="F55" s="32" t="str">
        <f t="shared" ca="1" si="5"/>
        <v>Alto</v>
      </c>
      <c r="G55" s="136">
        <f ca="1">'Quesiti x SI'!$M28/H$30</f>
        <v>8.3000000000000007</v>
      </c>
      <c r="H55" s="47" t="str">
        <f t="shared" ca="1" si="1"/>
        <v>Secondo</v>
      </c>
      <c r="I55" s="32" t="str">
        <f t="shared" ca="1" si="6"/>
        <v>Alto</v>
      </c>
      <c r="J55" s="136">
        <f ca="1">'Quesiti x SI'!$W28/K$30</f>
        <v>9.5555555555555554</v>
      </c>
      <c r="K55" s="47" t="str">
        <f t="shared" ca="1" si="2"/>
        <v>Primo</v>
      </c>
      <c r="L55" s="32" t="str">
        <f t="shared" ca="1" si="7"/>
        <v>Alto</v>
      </c>
      <c r="M55" s="136">
        <f ca="1">'Quesiti x SI'!$AG28/N$30</f>
        <v>7.7777777777777777</v>
      </c>
      <c r="N55" s="47" t="str">
        <f t="shared" ca="1" si="3"/>
        <v>Secondo</v>
      </c>
      <c r="O55" s="32" t="str">
        <f t="shared" ca="1" si="8"/>
        <v>Alto</v>
      </c>
      <c r="P55" s="136">
        <f ca="1">'Quesiti x SI'!$AU28/Q$30</f>
        <v>8.4615384615384617</v>
      </c>
      <c r="Q55" s="47" t="str">
        <f t="shared" ca="1" si="4"/>
        <v>Primo</v>
      </c>
      <c r="R55" s="32" t="str">
        <f t="shared" ca="1" si="9"/>
        <v>Alto</v>
      </c>
      <c r="S55" s="4">
        <f t="shared" si="10"/>
        <v>24</v>
      </c>
      <c r="T55" s="136">
        <v>6.9</v>
      </c>
      <c r="U55" s="133">
        <v>7.4444444444444446</v>
      </c>
      <c r="V55" s="160">
        <v>6.2222222222222223</v>
      </c>
      <c r="W55" s="133">
        <v>4.7692307692307692</v>
      </c>
      <c r="BB55" s="57"/>
    </row>
    <row r="56" spans="1:54">
      <c r="A56" s="257" t="str">
        <f ca="1">Dati!$A45</f>
        <v xml:space="preserve">Ministero delle infrastrutture e dei trasporti                                            </v>
      </c>
      <c r="B56" s="594">
        <f ca="1">Dati!$B45</f>
        <v>75</v>
      </c>
      <c r="C56" s="595">
        <f ca="1">Dati!$C45</f>
        <v>9032</v>
      </c>
      <c r="D56" s="136">
        <f ca="1">'Quesiti x SI'!$AV29/E$30</f>
        <v>8.3414634146341466</v>
      </c>
      <c r="E56" s="47" t="str">
        <f t="shared" ca="1" si="0"/>
        <v>Primo</v>
      </c>
      <c r="F56" s="32" t="str">
        <f t="shared" ca="1" si="5"/>
        <v>Alto</v>
      </c>
      <c r="G56" s="136">
        <f ca="1">'Quesiti x SI'!$M29/H$30</f>
        <v>8</v>
      </c>
      <c r="H56" s="47" t="str">
        <f t="shared" ca="1" si="1"/>
        <v>Secondo</v>
      </c>
      <c r="I56" s="32" t="str">
        <f t="shared" ca="1" si="6"/>
        <v>Alto</v>
      </c>
      <c r="J56" s="136">
        <f ca="1">'Quesiti x SI'!$W29/K$30</f>
        <v>8.8888888888888893</v>
      </c>
      <c r="K56" s="47" t="str">
        <f t="shared" ca="1" si="2"/>
        <v>Secondo</v>
      </c>
      <c r="L56" s="32" t="str">
        <f t="shared" ca="1" si="7"/>
        <v>Alto</v>
      </c>
      <c r="M56" s="136">
        <f ca="1">'Quesiti x SI'!$AG29/N$30</f>
        <v>9.5555555555555554</v>
      </c>
      <c r="N56" s="47" t="str">
        <f t="shared" ca="1" si="3"/>
        <v>Primo</v>
      </c>
      <c r="O56" s="32" t="str">
        <f t="shared" ca="1" si="8"/>
        <v>Alto</v>
      </c>
      <c r="P56" s="136">
        <f ca="1">'Quesiti x SI'!$AU29/Q$30</f>
        <v>7.384615384615385</v>
      </c>
      <c r="Q56" s="47" t="str">
        <f t="shared" ca="1" si="4"/>
        <v>Secondo</v>
      </c>
      <c r="R56" s="32" t="str">
        <f t="shared" ca="1" si="9"/>
        <v>Alto</v>
      </c>
      <c r="S56" s="4">
        <f t="shared" si="10"/>
        <v>25</v>
      </c>
      <c r="T56" s="136">
        <v>6.9</v>
      </c>
      <c r="U56" s="133">
        <v>7.7777777777777777</v>
      </c>
      <c r="V56" s="160">
        <v>6.5555555555555554</v>
      </c>
      <c r="W56" s="133">
        <v>4.7692307692307692</v>
      </c>
      <c r="BB56" s="57"/>
    </row>
    <row r="57" spans="1:54">
      <c r="A57" s="257" t="str">
        <f ca="1">Dati!$A46</f>
        <v xml:space="preserve">Ministero dell'istruzione, università e ricerca                                               </v>
      </c>
      <c r="B57" s="594">
        <f ca="1">Dati!$B46</f>
        <v>17</v>
      </c>
      <c r="C57" s="595">
        <f ca="1">Dati!$C46</f>
        <v>6082</v>
      </c>
      <c r="D57" s="136">
        <f ca="1">'Quesiti x SI'!$AV30/E$30</f>
        <v>6.2682926829268295</v>
      </c>
      <c r="E57" s="47" t="str">
        <f t="shared" ca="1" si="0"/>
        <v>Terzo</v>
      </c>
      <c r="F57" s="32" t="str">
        <f t="shared" ca="1" si="5"/>
        <v>Medio</v>
      </c>
      <c r="G57" s="136">
        <f ca="1">'Quesiti x SI'!$M30/H$30</f>
        <v>9.1</v>
      </c>
      <c r="H57" s="47" t="str">
        <f t="shared" ca="1" si="1"/>
        <v>Primo</v>
      </c>
      <c r="I57" s="32" t="str">
        <f t="shared" ca="1" si="6"/>
        <v>Alto</v>
      </c>
      <c r="J57" s="136">
        <f ca="1">'Quesiti x SI'!$W30/K$30</f>
        <v>9.1111111111111107</v>
      </c>
      <c r="K57" s="47" t="str">
        <f t="shared" ca="1" si="2"/>
        <v>Secondo</v>
      </c>
      <c r="L57" s="32" t="str">
        <f t="shared" ca="1" si="7"/>
        <v>Alto</v>
      </c>
      <c r="M57" s="136">
        <f ca="1">'Quesiti x SI'!$AG30/N$30</f>
        <v>9.1111111111111107</v>
      </c>
      <c r="N57" s="47" t="str">
        <f t="shared" ca="1" si="3"/>
        <v>Primo</v>
      </c>
      <c r="O57" s="32" t="str">
        <f t="shared" ca="1" si="8"/>
        <v>Alto</v>
      </c>
      <c r="P57" s="136">
        <f ca="1">'Quesiti x SI'!$AU30/Q$30</f>
        <v>0.15384615384615385</v>
      </c>
      <c r="Q57" s="47" t="str">
        <f t="shared" ca="1" si="4"/>
        <v>Quarto</v>
      </c>
      <c r="R57" s="32" t="str">
        <f t="shared" ca="1" si="9"/>
        <v>Scarso</v>
      </c>
      <c r="S57" s="4">
        <f t="shared" si="10"/>
        <v>26</v>
      </c>
      <c r="T57" s="136">
        <v>6.9</v>
      </c>
      <c r="U57" s="133">
        <v>7.8888888888888893</v>
      </c>
      <c r="V57" s="160">
        <v>6.5555555555555554</v>
      </c>
      <c r="W57" s="133">
        <v>5.0769230769230766</v>
      </c>
      <c r="BB57" s="57"/>
    </row>
    <row r="58" spans="1:54">
      <c r="A58" s="257" t="str">
        <f ca="1">Dati!$A47</f>
        <v xml:space="preserve">Ministero delle politiche agricole e forestali                                        </v>
      </c>
      <c r="B58" s="594">
        <f ca="1">Dati!$B47</f>
        <v>111</v>
      </c>
      <c r="C58" s="595">
        <f ca="1">Dati!$C47</f>
        <v>1612</v>
      </c>
      <c r="D58" s="136">
        <f ca="1">'Quesiti x SI'!$AV31/E$30</f>
        <v>7.6585365853658534</v>
      </c>
      <c r="E58" s="47" t="str">
        <f t="shared" ca="1" si="0"/>
        <v>Secondo</v>
      </c>
      <c r="F58" s="32" t="str">
        <f t="shared" ca="1" si="5"/>
        <v>Alto</v>
      </c>
      <c r="G58" s="136">
        <f ca="1">'Quesiti x SI'!$M31/H$30</f>
        <v>6.2</v>
      </c>
      <c r="H58" s="47" t="str">
        <f t="shared" ca="1" si="1"/>
        <v>Quarto</v>
      </c>
      <c r="I58" s="32" t="str">
        <f t="shared" ca="1" si="6"/>
        <v>Medio</v>
      </c>
      <c r="J58" s="136">
        <f ca="1">'Quesiti x SI'!$W31/K$30</f>
        <v>9.5555555555555554</v>
      </c>
      <c r="K58" s="47" t="str">
        <f t="shared" ca="1" si="2"/>
        <v>Primo</v>
      </c>
      <c r="L58" s="32" t="str">
        <f t="shared" ca="1" si="7"/>
        <v>Alto</v>
      </c>
      <c r="M58" s="136">
        <f ca="1">'Quesiti x SI'!$AG31/N$30</f>
        <v>7.7777777777777777</v>
      </c>
      <c r="N58" s="47" t="str">
        <f t="shared" ca="1" si="3"/>
        <v>Secondo</v>
      </c>
      <c r="O58" s="32" t="str">
        <f t="shared" ca="1" si="8"/>
        <v>Alto</v>
      </c>
      <c r="P58" s="136">
        <f ca="1">'Quesiti x SI'!$AU31/Q$30</f>
        <v>7.384615384615385</v>
      </c>
      <c r="Q58" s="47" t="str">
        <f t="shared" ca="1" si="4"/>
        <v>Secondo</v>
      </c>
      <c r="R58" s="32" t="str">
        <f t="shared" ca="1" si="9"/>
        <v>Alto</v>
      </c>
      <c r="S58" s="4">
        <f t="shared" si="10"/>
        <v>27</v>
      </c>
      <c r="T58" s="136">
        <v>7</v>
      </c>
      <c r="U58" s="133">
        <v>7.8888888888888893</v>
      </c>
      <c r="V58" s="160">
        <v>6.666666666666667</v>
      </c>
      <c r="W58" s="133">
        <v>5.5384615384615383</v>
      </c>
      <c r="BB58" s="57"/>
    </row>
    <row r="59" spans="1:54">
      <c r="A59" s="257" t="str">
        <f ca="1">Dati!$A48</f>
        <v xml:space="preserve">Ministero del lavoro e delle politiche sociali           </v>
      </c>
      <c r="B59" s="594">
        <f ca="1">Dati!$B48</f>
        <v>1</v>
      </c>
      <c r="C59" s="595">
        <f ca="1">Dati!$C48</f>
        <v>7940</v>
      </c>
      <c r="D59" s="136">
        <f ca="1">'Quesiti x SI'!$AV32/E$30</f>
        <v>5.6097560975609753</v>
      </c>
      <c r="E59" s="47" t="str">
        <f t="shared" ca="1" si="0"/>
        <v>Quarto</v>
      </c>
      <c r="F59" s="32" t="str">
        <f t="shared" ca="1" si="5"/>
        <v>Medio</v>
      </c>
      <c r="G59" s="136">
        <f ca="1">'Quesiti x SI'!$M32/H$30</f>
        <v>9.1</v>
      </c>
      <c r="H59" s="47" t="str">
        <f t="shared" ca="1" si="1"/>
        <v>Primo</v>
      </c>
      <c r="I59" s="32" t="str">
        <f t="shared" ca="1" si="6"/>
        <v>Alto</v>
      </c>
      <c r="J59" s="136">
        <f ca="1">'Quesiti x SI'!$W32/K$30</f>
        <v>7.4444444444444446</v>
      </c>
      <c r="K59" s="47" t="str">
        <f t="shared" ca="1" si="2"/>
        <v>Terzo</v>
      </c>
      <c r="L59" s="32" t="str">
        <f t="shared" ca="1" si="7"/>
        <v>Alto</v>
      </c>
      <c r="M59" s="136">
        <f ca="1">'Quesiti x SI'!$AG32/N$30</f>
        <v>8</v>
      </c>
      <c r="N59" s="47" t="str">
        <f t="shared" ca="1" si="3"/>
        <v>Secondo</v>
      </c>
      <c r="O59" s="32" t="str">
        <f t="shared" ca="1" si="8"/>
        <v>Alto</v>
      </c>
      <c r="P59" s="136">
        <f ca="1">'Quesiti x SI'!$AU32/Q$30</f>
        <v>0</v>
      </c>
      <c r="Q59" s="47" t="str">
        <f t="shared" ca="1" si="4"/>
        <v>Quarto</v>
      </c>
      <c r="R59" s="32" t="str">
        <f t="shared" ca="1" si="9"/>
        <v>Scarso</v>
      </c>
      <c r="S59" s="4">
        <f t="shared" si="10"/>
        <v>28</v>
      </c>
      <c r="T59" s="136">
        <v>7.1</v>
      </c>
      <c r="U59" s="133">
        <v>7.8888888888888893</v>
      </c>
      <c r="V59" s="160">
        <v>6.666666666666667</v>
      </c>
      <c r="W59" s="133">
        <v>5.5384615384615383</v>
      </c>
      <c r="BB59" s="57"/>
    </row>
    <row r="60" spans="1:54">
      <c r="A60" s="257" t="str">
        <f ca="1">Dati!$A49</f>
        <v xml:space="preserve">Ministero della salute                        </v>
      </c>
      <c r="B60" s="594">
        <f ca="1">Dati!$B49</f>
        <v>20</v>
      </c>
      <c r="C60" s="595">
        <f ca="1">Dati!$C49</f>
        <v>2287</v>
      </c>
      <c r="D60" s="136">
        <f ca="1">'Quesiti x SI'!$AV33/E$30</f>
        <v>8.536585365853659</v>
      </c>
      <c r="E60" s="47" t="str">
        <f t="shared" ca="1" si="0"/>
        <v>Primo</v>
      </c>
      <c r="F60" s="32" t="str">
        <f t="shared" ca="1" si="5"/>
        <v>Alto</v>
      </c>
      <c r="G60" s="136">
        <f ca="1">'Quesiti x SI'!$M33/H$30</f>
        <v>9.6</v>
      </c>
      <c r="H60" s="47" t="str">
        <f t="shared" ca="1" si="1"/>
        <v>Primo</v>
      </c>
      <c r="I60" s="32" t="str">
        <f t="shared" ca="1" si="6"/>
        <v>Alto</v>
      </c>
      <c r="J60" s="136">
        <f ca="1">'Quesiti x SI'!$W33/K$30</f>
        <v>8.8888888888888893</v>
      </c>
      <c r="K60" s="47" t="str">
        <f t="shared" ca="1" si="2"/>
        <v>Secondo</v>
      </c>
      <c r="L60" s="32" t="str">
        <f t="shared" ca="1" si="7"/>
        <v>Alto</v>
      </c>
      <c r="M60" s="136">
        <f ca="1">'Quesiti x SI'!$AG33/N$30</f>
        <v>8.8888888888888893</v>
      </c>
      <c r="N60" s="47" t="str">
        <f t="shared" ca="1" si="3"/>
        <v>Primo</v>
      </c>
      <c r="O60" s="32" t="str">
        <f t="shared" ca="1" si="8"/>
        <v>Alto</v>
      </c>
      <c r="P60" s="136">
        <f ca="1">'Quesiti x SI'!$AU33/Q$30</f>
        <v>7.2307692307692308</v>
      </c>
      <c r="Q60" s="47" t="str">
        <f t="shared" ca="1" si="4"/>
        <v>Secondo</v>
      </c>
      <c r="R60" s="32" t="str">
        <f t="shared" ca="1" si="9"/>
        <v>Alto</v>
      </c>
      <c r="S60" s="4">
        <f t="shared" si="10"/>
        <v>29</v>
      </c>
      <c r="T60" s="136">
        <v>7.1</v>
      </c>
      <c r="U60" s="133">
        <v>8</v>
      </c>
      <c r="V60" s="160">
        <v>6.666666666666667</v>
      </c>
      <c r="W60" s="133">
        <v>5.8461538461538458</v>
      </c>
      <c r="BB60" s="57"/>
    </row>
    <row r="61" spans="1:54">
      <c r="A61" s="257" t="str">
        <f ca="1">Dati!$A50</f>
        <v xml:space="preserve">Automobile club d'Italia                                                                            </v>
      </c>
      <c r="B61" s="594">
        <f ca="1">Dati!$B50</f>
        <v>37</v>
      </c>
      <c r="C61" s="595">
        <f ca="1">Dati!$C50</f>
        <v>3190</v>
      </c>
      <c r="D61" s="136">
        <f ca="1">'Quesiti x SI'!$AV34/E$30</f>
        <v>8.4390243902439028</v>
      </c>
      <c r="E61" s="47" t="str">
        <f t="shared" ca="1" si="0"/>
        <v>Primo</v>
      </c>
      <c r="F61" s="32" t="str">
        <f t="shared" ca="1" si="5"/>
        <v>Alto</v>
      </c>
      <c r="G61" s="136">
        <f ca="1">'Quesiti x SI'!$M34/H$30</f>
        <v>6.2</v>
      </c>
      <c r="H61" s="47" t="str">
        <f t="shared" ca="1" si="1"/>
        <v>Quarto</v>
      </c>
      <c r="I61" s="32" t="str">
        <f t="shared" ca="1" si="6"/>
        <v>Medio</v>
      </c>
      <c r="J61" s="136">
        <f ca="1">'Quesiti x SI'!$W34/K$30</f>
        <v>9.1111111111111107</v>
      </c>
      <c r="K61" s="47" t="str">
        <f t="shared" ca="1" si="2"/>
        <v>Secondo</v>
      </c>
      <c r="L61" s="32" t="str">
        <f t="shared" ca="1" si="7"/>
        <v>Alto</v>
      </c>
      <c r="M61" s="136">
        <f ca="1">'Quesiti x SI'!$AG34/N$30</f>
        <v>8.4444444444444446</v>
      </c>
      <c r="N61" s="47" t="str">
        <f t="shared" ca="1" si="3"/>
        <v>Primo</v>
      </c>
      <c r="O61" s="32" t="str">
        <f t="shared" ca="1" si="8"/>
        <v>Alto</v>
      </c>
      <c r="P61" s="136">
        <f ca="1">'Quesiti x SI'!$AU34/Q$30</f>
        <v>9.6923076923076916</v>
      </c>
      <c r="Q61" s="47" t="str">
        <f t="shared" ca="1" si="4"/>
        <v>Primo</v>
      </c>
      <c r="R61" s="32" t="str">
        <f t="shared" ca="1" si="9"/>
        <v>Alto</v>
      </c>
      <c r="S61" s="4">
        <f t="shared" si="10"/>
        <v>30</v>
      </c>
      <c r="T61" s="136">
        <v>7.2</v>
      </c>
      <c r="U61" s="133">
        <v>8</v>
      </c>
      <c r="V61" s="160">
        <v>6.666666666666667</v>
      </c>
      <c r="W61" s="133">
        <v>5.8461538461538458</v>
      </c>
      <c r="BB61" s="57"/>
    </row>
    <row r="62" spans="1:54">
      <c r="A62" s="257" t="str">
        <f ca="1">Dati!$A51</f>
        <v xml:space="preserve">Agenzia per le erogazioni in agricoltura                                                            </v>
      </c>
      <c r="B62" s="594">
        <f ca="1">Dati!$B51</f>
        <v>113</v>
      </c>
      <c r="C62" s="595">
        <f ca="1">Dati!$C51</f>
        <v>283</v>
      </c>
      <c r="D62" s="136">
        <f ca="1">'Quesiti x SI'!$AV35/E$30</f>
        <v>7.2682926829268295</v>
      </c>
      <c r="E62" s="47" t="str">
        <f t="shared" ca="1" si="0"/>
        <v>Secondo</v>
      </c>
      <c r="F62" s="32" t="str">
        <f t="shared" ca="1" si="5"/>
        <v>Alto</v>
      </c>
      <c r="G62" s="136">
        <f ca="1">'Quesiti x SI'!$M35/H$30</f>
        <v>5.6</v>
      </c>
      <c r="H62" s="47" t="str">
        <f t="shared" ca="1" si="1"/>
        <v>Quarto</v>
      </c>
      <c r="I62" s="32" t="str">
        <f t="shared" ca="1" si="6"/>
        <v>Medio</v>
      </c>
      <c r="J62" s="136">
        <f ca="1">'Quesiti x SI'!$W35/K$30</f>
        <v>9.5555555555555554</v>
      </c>
      <c r="K62" s="47" t="str">
        <f t="shared" ca="1" si="2"/>
        <v>Primo</v>
      </c>
      <c r="L62" s="32" t="str">
        <f t="shared" ca="1" si="7"/>
        <v>Alto</v>
      </c>
      <c r="M62" s="136">
        <f ca="1">'Quesiti x SI'!$AG35/N$30</f>
        <v>6.666666666666667</v>
      </c>
      <c r="N62" s="47" t="str">
        <f t="shared" ca="1" si="3"/>
        <v>Terzo</v>
      </c>
      <c r="O62" s="32" t="str">
        <f t="shared" ca="1" si="8"/>
        <v>Medio</v>
      </c>
      <c r="P62" s="136">
        <f ca="1">'Quesiti x SI'!$AU35/Q$30</f>
        <v>7.384615384615385</v>
      </c>
      <c r="Q62" s="47" t="str">
        <f t="shared" ca="1" si="4"/>
        <v>Secondo</v>
      </c>
      <c r="R62" s="32" t="str">
        <f t="shared" ca="1" si="9"/>
        <v>Alto</v>
      </c>
      <c r="S62" s="4">
        <f t="shared" si="10"/>
        <v>31</v>
      </c>
      <c r="T62" s="136">
        <v>7.4</v>
      </c>
      <c r="U62" s="133">
        <v>8</v>
      </c>
      <c r="V62" s="160">
        <v>6.666666666666667</v>
      </c>
      <c r="W62" s="133">
        <v>6</v>
      </c>
      <c r="BB62" s="57"/>
    </row>
    <row r="63" spans="1:54">
      <c r="A63" s="257" t="str">
        <f ca="1">Dati!$A52</f>
        <v xml:space="preserve">Consiglio nazionale delle ricerche                                                                  </v>
      </c>
      <c r="B63" s="594">
        <f ca="1">Dati!$B52</f>
        <v>114</v>
      </c>
      <c r="C63" s="595">
        <f ca="1">Dati!$C52</f>
        <v>7559</v>
      </c>
      <c r="D63" s="136">
        <f ca="1">'Quesiti x SI'!$AV36/E$30</f>
        <v>5.5853658536585362</v>
      </c>
      <c r="E63" s="47" t="str">
        <f t="shared" ca="1" si="0"/>
        <v>Quarto</v>
      </c>
      <c r="F63" s="32" t="str">
        <f t="shared" ca="1" si="5"/>
        <v>Medio</v>
      </c>
      <c r="G63" s="136">
        <f ca="1">'Quesiti x SI'!$M36/H$30</f>
        <v>5.6</v>
      </c>
      <c r="H63" s="47" t="str">
        <f t="shared" ca="1" si="1"/>
        <v>Quarto</v>
      </c>
      <c r="I63" s="32" t="str">
        <f t="shared" ca="1" si="6"/>
        <v>Medio</v>
      </c>
      <c r="J63" s="136">
        <f ca="1">'Quesiti x SI'!$W36/K$30</f>
        <v>9.5555555555555554</v>
      </c>
      <c r="K63" s="47" t="str">
        <f t="shared" ca="1" si="2"/>
        <v>Primo</v>
      </c>
      <c r="L63" s="32" t="str">
        <f t="shared" ca="1" si="7"/>
        <v>Alto</v>
      </c>
      <c r="M63" s="136">
        <f ca="1">'Quesiti x SI'!$AG36/N$30</f>
        <v>5.4444444444444446</v>
      </c>
      <c r="N63" s="47" t="str">
        <f t="shared" ca="1" si="3"/>
        <v>Quarto</v>
      </c>
      <c r="O63" s="32" t="str">
        <f t="shared" ca="1" si="8"/>
        <v>Medio</v>
      </c>
      <c r="P63" s="136">
        <f ca="1">'Quesiti x SI'!$AU36/Q$30</f>
        <v>2.9230769230769229</v>
      </c>
      <c r="Q63" s="47" t="str">
        <f t="shared" ca="1" si="4"/>
        <v>Quarto</v>
      </c>
      <c r="R63" s="32" t="str">
        <f t="shared" ca="1" si="9"/>
        <v>Scarso</v>
      </c>
      <c r="S63" s="4">
        <f t="shared" si="10"/>
        <v>32</v>
      </c>
      <c r="T63" s="136">
        <v>7.4</v>
      </c>
      <c r="U63" s="133">
        <v>8.2222222222222214</v>
      </c>
      <c r="V63" s="160">
        <v>6.8888888888888893</v>
      </c>
      <c r="W63" s="133">
        <v>6.3076923076923075</v>
      </c>
      <c r="BB63" s="57"/>
    </row>
    <row r="64" spans="1:54">
      <c r="A64" s="257" t="str">
        <f ca="1">Dati!$A53</f>
        <v>Ente Nazionale per l'Aviazione Civile</v>
      </c>
      <c r="B64" s="594">
        <f ca="1">Dati!$B53</f>
        <v>116</v>
      </c>
      <c r="C64" s="595">
        <f ca="1">Dati!$C53</f>
        <v>1015</v>
      </c>
      <c r="D64" s="136">
        <f ca="1">'Quesiti x SI'!$AV37/E$30</f>
        <v>7.1707317073170733</v>
      </c>
      <c r="E64" s="47" t="str">
        <f t="shared" ref="E64:E77" ca="1" si="11">IF(D64&gt;=D$26,"Primo",IF(AND(D64&gt;=D$25, D64&lt;D$26), "Secondo", IF(AND(D64&gt;=D$24,D64 &lt; D$25), "Terzo", "Quarto")))</f>
        <v>Terzo</v>
      </c>
      <c r="F64" s="32" t="str">
        <f t="shared" ca="1" si="5"/>
        <v>Alto</v>
      </c>
      <c r="G64" s="136">
        <f ca="1">'Quesiti x SI'!$M37/H$30</f>
        <v>7.7</v>
      </c>
      <c r="H64" s="47" t="str">
        <f t="shared" ref="H64:H77" ca="1" si="12">IF(G64&gt;=G$26,"Primo",IF(AND(G64&gt;=G$25, G64&lt;G$26), "Secondo", IF(AND(G64&gt;=G$24,G64 &lt; G$25), "Terzo", "Quarto")))</f>
        <v>Terzo</v>
      </c>
      <c r="I64" s="32" t="str">
        <f t="shared" ca="1" si="6"/>
        <v>Alto</v>
      </c>
      <c r="J64" s="136">
        <f ca="1">'Quesiti x SI'!$W37/K$30</f>
        <v>9.4444444444444446</v>
      </c>
      <c r="K64" s="47" t="str">
        <f t="shared" ref="K64:K77" ca="1" si="13">IF(J64&gt;=J$26,"Primo",IF(AND(J64&gt;=J$25, J64&lt;J$26), "Secondo", IF(AND(J64&gt;=J$24,J64 &lt; J$25), "Terzo", "Quarto")))</f>
        <v>Primo</v>
      </c>
      <c r="L64" s="32" t="str">
        <f t="shared" ca="1" si="7"/>
        <v>Alto</v>
      </c>
      <c r="M64" s="136">
        <f ca="1">'Quesiti x SI'!$AG37/N$30</f>
        <v>5.1111111111111107</v>
      </c>
      <c r="N64" s="47" t="str">
        <f t="shared" ref="N64:N77" ca="1" si="14">IF(M64&gt;=M$26,"Primo",IF(AND(M64&gt;=M$25, M64&lt;M$26), "Secondo", IF(AND(M64&gt;=M$24,M64 &lt; M$25), "Terzo", "Quarto")))</f>
        <v>Quarto</v>
      </c>
      <c r="O64" s="32" t="str">
        <f t="shared" ca="1" si="8"/>
        <v>Medio</v>
      </c>
      <c r="P64" s="136">
        <f ca="1">'Quesiti x SI'!$AU37/Q$30</f>
        <v>6.615384615384615</v>
      </c>
      <c r="Q64" s="47" t="str">
        <f t="shared" ref="Q64:Q77" ca="1" si="15">IF(P64&gt;=P$26,"Primo",IF(AND(P64&gt;=P$25, P64&lt;P$26), "Secondo", IF(AND(P64&gt;=P$24,P64 &lt; P$25), "Terzo", "Quarto")))</f>
        <v>Terzo</v>
      </c>
      <c r="R64" s="32" t="str">
        <f t="shared" ca="1" si="9"/>
        <v>Medio</v>
      </c>
      <c r="S64" s="4">
        <f t="shared" si="10"/>
        <v>33</v>
      </c>
      <c r="T64" s="136">
        <v>7.5</v>
      </c>
      <c r="U64" s="133">
        <v>8.2222222222222214</v>
      </c>
      <c r="V64" s="160">
        <v>7.2222222222222223</v>
      </c>
      <c r="W64" s="133">
        <v>6.4615384615384617</v>
      </c>
      <c r="BB64" s="57"/>
    </row>
    <row r="65" spans="1:54">
      <c r="A65" s="257" t="str">
        <f ca="1">Dati!$A54</f>
        <v>Agenzia nazionale per le nuove tecnologie, l'energia e lo sviluppo economico sostenibile</v>
      </c>
      <c r="B65" s="594">
        <f ca="1">Dati!$B54</f>
        <v>202</v>
      </c>
      <c r="C65" s="595">
        <f ca="1">Dati!$C54</f>
        <v>1000</v>
      </c>
      <c r="D65" s="136">
        <f ca="1">'Quesiti x SI'!$AV38/E$30</f>
        <v>6.4390243902439028</v>
      </c>
      <c r="E65" s="47" t="str">
        <f t="shared" ca="1" si="11"/>
        <v>Terzo</v>
      </c>
      <c r="F65" s="32" t="str">
        <f t="shared" ca="1" si="5"/>
        <v>Medio</v>
      </c>
      <c r="G65" s="136">
        <f ca="1">'Quesiti x SI'!$M38/H$30</f>
        <v>5.6</v>
      </c>
      <c r="H65" s="47" t="str">
        <f t="shared" ca="1" si="12"/>
        <v>Quarto</v>
      </c>
      <c r="I65" s="32" t="str">
        <f t="shared" ca="1" si="6"/>
        <v>Medio</v>
      </c>
      <c r="J65" s="136">
        <f ca="1">'Quesiti x SI'!$W38/K$30</f>
        <v>8.8888888888888893</v>
      </c>
      <c r="K65" s="47" t="str">
        <f t="shared" ca="1" si="13"/>
        <v>Secondo</v>
      </c>
      <c r="L65" s="32" t="str">
        <f t="shared" ca="1" si="7"/>
        <v>Alto</v>
      </c>
      <c r="M65" s="136">
        <f ca="1">'Quesiti x SI'!$AG38/N$30</f>
        <v>6.8888888888888893</v>
      </c>
      <c r="N65" s="47" t="str">
        <f t="shared" ca="1" si="14"/>
        <v>Secondo</v>
      </c>
      <c r="O65" s="32" t="str">
        <f t="shared" ca="1" si="8"/>
        <v>Medio</v>
      </c>
      <c r="P65" s="136">
        <f ca="1">'Quesiti x SI'!$AU38/Q$30</f>
        <v>5.0769230769230766</v>
      </c>
      <c r="Q65" s="47" t="str">
        <f t="shared" ca="1" si="15"/>
        <v>Terzo</v>
      </c>
      <c r="R65" s="32" t="str">
        <f t="shared" ca="1" si="9"/>
        <v>Medio</v>
      </c>
      <c r="S65" s="4">
        <f t="shared" si="10"/>
        <v>34</v>
      </c>
      <c r="T65" s="136">
        <v>7.5</v>
      </c>
      <c r="U65" s="133">
        <v>8.4444444444444446</v>
      </c>
      <c r="V65" s="160">
        <v>7.333333333333333</v>
      </c>
      <c r="W65" s="133">
        <v>6.615384615384615</v>
      </c>
      <c r="BB65" s="57"/>
    </row>
    <row r="66" spans="1:54">
      <c r="A66" s="257" t="str">
        <f ca="1">Dati!$A55</f>
        <v>Ente nazionale previdenza assistenza lavoratori dello spettacolo</v>
      </c>
      <c r="B66" s="594">
        <f ca="1">Dati!$B55</f>
        <v>62</v>
      </c>
      <c r="C66" s="595">
        <f ca="1">Dati!$C55</f>
        <v>383</v>
      </c>
      <c r="D66" s="136">
        <f ca="1">'Quesiti x SI'!$AV39/E$30</f>
        <v>7.6829268292682924</v>
      </c>
      <c r="E66" s="47" t="str">
        <f t="shared" ca="1" si="11"/>
        <v>Secondo</v>
      </c>
      <c r="F66" s="32" t="str">
        <f t="shared" ca="1" si="5"/>
        <v>Alto</v>
      </c>
      <c r="G66" s="136">
        <f ca="1">'Quesiti x SI'!$M39/H$30</f>
        <v>8.8000000000000007</v>
      </c>
      <c r="H66" s="47" t="str">
        <f t="shared" ca="1" si="12"/>
        <v>Primo</v>
      </c>
      <c r="I66" s="32" t="str">
        <f t="shared" ca="1" si="6"/>
        <v>Alto</v>
      </c>
      <c r="J66" s="136">
        <f ca="1">'Quesiti x SI'!$W39/K$30</f>
        <v>8.3333333333333339</v>
      </c>
      <c r="K66" s="47" t="str">
        <f t="shared" ca="1" si="13"/>
        <v>Terzo</v>
      </c>
      <c r="L66" s="32" t="str">
        <f t="shared" ca="1" si="7"/>
        <v>Alto</v>
      </c>
      <c r="M66" s="136">
        <f ca="1">'Quesiti x SI'!$AG39/N$30</f>
        <v>6.8888888888888893</v>
      </c>
      <c r="N66" s="47" t="str">
        <f t="shared" ca="1" si="14"/>
        <v>Secondo</v>
      </c>
      <c r="O66" s="32" t="str">
        <f t="shared" ca="1" si="8"/>
        <v>Medio</v>
      </c>
      <c r="P66" s="136">
        <f ca="1">'Quesiti x SI'!$AU39/Q$30</f>
        <v>6.9230769230769234</v>
      </c>
      <c r="Q66" s="47" t="str">
        <f t="shared" ca="1" si="15"/>
        <v>Secondo</v>
      </c>
      <c r="R66" s="32" t="str">
        <f t="shared" ca="1" si="9"/>
        <v>Medio</v>
      </c>
      <c r="S66" s="4">
        <f t="shared" si="10"/>
        <v>35</v>
      </c>
      <c r="T66" s="136">
        <v>7.7</v>
      </c>
      <c r="U66" s="133">
        <v>8.4444444444444446</v>
      </c>
      <c r="V66" s="160">
        <v>7.333333333333333</v>
      </c>
      <c r="W66" s="133">
        <v>6.7692307692307692</v>
      </c>
      <c r="BB66" s="57"/>
    </row>
    <row r="67" spans="1:54">
      <c r="A67" s="257" t="str">
        <f ca="1">Dati!$A56</f>
        <v xml:space="preserve">Istituto nazionale per il commercio estero                                              </v>
      </c>
      <c r="B67" s="594">
        <f ca="1">Dati!$B56</f>
        <v>45</v>
      </c>
      <c r="C67" s="595">
        <f ca="1">Dati!$C56</f>
        <v>1106</v>
      </c>
      <c r="D67" s="136">
        <f ca="1">'Quesiti x SI'!$AV40/E$30</f>
        <v>5.0975609756097562</v>
      </c>
      <c r="E67" s="47" t="str">
        <f t="shared" ca="1" si="11"/>
        <v>Quarto</v>
      </c>
      <c r="F67" s="32" t="str">
        <f t="shared" ca="1" si="5"/>
        <v>Medio</v>
      </c>
      <c r="G67" s="136">
        <f ca="1">'Quesiti x SI'!$M40/H$30</f>
        <v>5.6</v>
      </c>
      <c r="H67" s="47" t="str">
        <f t="shared" ca="1" si="12"/>
        <v>Quarto</v>
      </c>
      <c r="I67" s="32" t="str">
        <f t="shared" ca="1" si="6"/>
        <v>Medio</v>
      </c>
      <c r="J67" s="136">
        <f ca="1">'Quesiti x SI'!$W40/K$30</f>
        <v>7.333333333333333</v>
      </c>
      <c r="K67" s="47" t="str">
        <f t="shared" ca="1" si="13"/>
        <v>Quarto</v>
      </c>
      <c r="L67" s="32" t="str">
        <f t="shared" ca="1" si="7"/>
        <v>Alto</v>
      </c>
      <c r="M67" s="136">
        <f ca="1">'Quesiti x SI'!$AG40/N$30</f>
        <v>5.4444444444444446</v>
      </c>
      <c r="N67" s="47" t="str">
        <f t="shared" ca="1" si="14"/>
        <v>Quarto</v>
      </c>
      <c r="O67" s="32" t="str">
        <f t="shared" ca="1" si="8"/>
        <v>Medio</v>
      </c>
      <c r="P67" s="136">
        <f ca="1">'Quesiti x SI'!$AU40/Q$30</f>
        <v>2.9230769230769229</v>
      </c>
      <c r="Q67" s="47" t="str">
        <f t="shared" ca="1" si="15"/>
        <v>Quarto</v>
      </c>
      <c r="R67" s="32" t="str">
        <f t="shared" ca="1" si="9"/>
        <v>Scarso</v>
      </c>
      <c r="S67" s="4">
        <f t="shared" si="10"/>
        <v>36</v>
      </c>
      <c r="T67" s="136">
        <v>7.7</v>
      </c>
      <c r="U67" s="133">
        <v>8.4444444444444446</v>
      </c>
      <c r="V67" s="160">
        <v>7.333333333333333</v>
      </c>
      <c r="W67" s="133">
        <v>6.9230769230769234</v>
      </c>
      <c r="BB67" s="57"/>
    </row>
    <row r="68" spans="1:54">
      <c r="A68" s="257" t="str">
        <f ca="1">Dati!$A57</f>
        <v>Istituto per lo sviluppo della formazione professionale dei lavoratori</v>
      </c>
      <c r="B68" s="594">
        <f ca="1">Dati!$B57</f>
        <v>120</v>
      </c>
      <c r="C68" s="595">
        <f ca="1">Dati!$C57</f>
        <v>619</v>
      </c>
      <c r="D68" s="136">
        <f ca="1">'Quesiti x SI'!$AV41/E$30</f>
        <v>5.7804878048780486</v>
      </c>
      <c r="E68" s="47" t="str">
        <f t="shared" ca="1" si="11"/>
        <v>Quarto</v>
      </c>
      <c r="F68" s="32" t="str">
        <f t="shared" ca="1" si="5"/>
        <v>Medio</v>
      </c>
      <c r="G68" s="136">
        <f ca="1">'Quesiti x SI'!$M41/H$30</f>
        <v>5.6</v>
      </c>
      <c r="H68" s="47" t="str">
        <f t="shared" ca="1" si="12"/>
        <v>Quarto</v>
      </c>
      <c r="I68" s="32" t="str">
        <f t="shared" ca="1" si="6"/>
        <v>Medio</v>
      </c>
      <c r="J68" s="136">
        <f ca="1">'Quesiti x SI'!$W41/K$30</f>
        <v>3.6666666666666665</v>
      </c>
      <c r="K68" s="47" t="str">
        <f t="shared" ca="1" si="13"/>
        <v>Quarto</v>
      </c>
      <c r="L68" s="32" t="str">
        <f t="shared" ca="1" si="7"/>
        <v>Scarso</v>
      </c>
      <c r="M68" s="136">
        <f ca="1">'Quesiti x SI'!$AG41/N$30</f>
        <v>8.4444444444444446</v>
      </c>
      <c r="N68" s="47" t="str">
        <f t="shared" ca="1" si="14"/>
        <v>Primo</v>
      </c>
      <c r="O68" s="32" t="str">
        <f t="shared" ca="1" si="8"/>
        <v>Alto</v>
      </c>
      <c r="P68" s="136">
        <f ca="1">'Quesiti x SI'!$AU41/Q$30</f>
        <v>5.5384615384615383</v>
      </c>
      <c r="Q68" s="47" t="str">
        <f t="shared" ca="1" si="15"/>
        <v>Terzo</v>
      </c>
      <c r="R68" s="32" t="str">
        <f t="shared" ca="1" si="9"/>
        <v>Medio</v>
      </c>
      <c r="S68" s="4">
        <f t="shared" si="10"/>
        <v>37</v>
      </c>
      <c r="T68" s="136">
        <v>7.7</v>
      </c>
      <c r="U68" s="133">
        <v>8.4444444444444446</v>
      </c>
      <c r="V68" s="160">
        <v>7.333333333333333</v>
      </c>
      <c r="W68" s="133">
        <v>7.2307692307692308</v>
      </c>
      <c r="BB68" s="57"/>
    </row>
    <row r="69" spans="1:54">
      <c r="A69" s="257" t="str">
        <f ca="1">Dati!$A58</f>
        <v xml:space="preserve">Istituto nazionale per l'assicurazione infortuni sul lavoro                </v>
      </c>
      <c r="B69" s="594">
        <f ca="1">Dati!$B58</f>
        <v>46</v>
      </c>
      <c r="C69" s="595">
        <f ca="1">Dati!$C58</f>
        <v>9993</v>
      </c>
      <c r="D69" s="136">
        <f ca="1">'Quesiti x SI'!$AV42/E$30</f>
        <v>8.3658536585365848</v>
      </c>
      <c r="E69" s="47" t="str">
        <f t="shared" ca="1" si="11"/>
        <v>Primo</v>
      </c>
      <c r="F69" s="32" t="str">
        <f t="shared" ca="1" si="5"/>
        <v>Alto</v>
      </c>
      <c r="G69" s="136">
        <f ca="1">'Quesiti x SI'!$M42/H$30</f>
        <v>8.6</v>
      </c>
      <c r="H69" s="47" t="str">
        <f t="shared" ca="1" si="12"/>
        <v>Primo</v>
      </c>
      <c r="I69" s="32" t="str">
        <f t="shared" ca="1" si="6"/>
        <v>Alto</v>
      </c>
      <c r="J69" s="136">
        <f ca="1">'Quesiti x SI'!$W42/K$30</f>
        <v>8.4444444444444446</v>
      </c>
      <c r="K69" s="47" t="str">
        <f t="shared" ca="1" si="13"/>
        <v>Terzo</v>
      </c>
      <c r="L69" s="32" t="str">
        <f t="shared" ca="1" si="7"/>
        <v>Alto</v>
      </c>
      <c r="M69" s="136">
        <f ca="1">'Quesiti x SI'!$AG42/N$30</f>
        <v>9.2222222222222214</v>
      </c>
      <c r="N69" s="47" t="str">
        <f t="shared" ca="1" si="14"/>
        <v>Primo</v>
      </c>
      <c r="O69" s="32" t="str">
        <f t="shared" ca="1" si="8"/>
        <v>Alto</v>
      </c>
      <c r="P69" s="136">
        <f ca="1">'Quesiti x SI'!$AU42/Q$30</f>
        <v>7.5384615384615383</v>
      </c>
      <c r="Q69" s="47" t="str">
        <f t="shared" ca="1" si="15"/>
        <v>Secondo</v>
      </c>
      <c r="R69" s="32" t="str">
        <f t="shared" ca="1" si="9"/>
        <v>Alto</v>
      </c>
      <c r="S69" s="4">
        <f t="shared" si="10"/>
        <v>38</v>
      </c>
      <c r="T69" s="136">
        <v>7.7</v>
      </c>
      <c r="U69" s="133">
        <v>8.5555555555555554</v>
      </c>
      <c r="V69" s="160">
        <v>7.333333333333333</v>
      </c>
      <c r="W69" s="133">
        <v>7.2307692307692308</v>
      </c>
      <c r="BB69" s="57"/>
    </row>
    <row r="70" spans="1:54">
      <c r="A70" s="257" t="str">
        <f ca="1">Dati!$A59</f>
        <v xml:space="preserve">Istituto nazionale di economia agraria                 </v>
      </c>
      <c r="B70" s="594">
        <f ca="1">Dati!$B59</f>
        <v>60</v>
      </c>
      <c r="C70" s="595">
        <f ca="1">Dati!$C59</f>
        <v>237</v>
      </c>
      <c r="D70" s="136">
        <f ca="1">'Quesiti x SI'!$AV43/E$30</f>
        <v>5.8780487804878048</v>
      </c>
      <c r="E70" s="47" t="str">
        <f t="shared" ca="1" si="11"/>
        <v>Quarto</v>
      </c>
      <c r="F70" s="32" t="str">
        <f t="shared" ca="1" si="5"/>
        <v>Medio</v>
      </c>
      <c r="G70" s="136">
        <f ca="1">'Quesiti x SI'!$M43/H$30</f>
        <v>5.5</v>
      </c>
      <c r="H70" s="47" t="str">
        <f t="shared" ca="1" si="12"/>
        <v>Quarto</v>
      </c>
      <c r="I70" s="32" t="str">
        <f t="shared" ca="1" si="6"/>
        <v>Medio</v>
      </c>
      <c r="J70" s="136">
        <f ca="1">'Quesiti x SI'!$W43/K$30</f>
        <v>6.2222222222222223</v>
      </c>
      <c r="K70" s="47" t="str">
        <f t="shared" ca="1" si="13"/>
        <v>Quarto</v>
      </c>
      <c r="L70" s="32" t="str">
        <f t="shared" ca="1" si="7"/>
        <v>Medio</v>
      </c>
      <c r="M70" s="136">
        <f ca="1">'Quesiti x SI'!$AG43/N$30</f>
        <v>6.2222222222222223</v>
      </c>
      <c r="N70" s="47" t="str">
        <f t="shared" ca="1" si="14"/>
        <v>Terzo</v>
      </c>
      <c r="O70" s="32" t="str">
        <f t="shared" ca="1" si="8"/>
        <v>Medio</v>
      </c>
      <c r="P70" s="136">
        <f ca="1">'Quesiti x SI'!$AU43/Q$30</f>
        <v>5.6923076923076925</v>
      </c>
      <c r="Q70" s="47" t="str">
        <f t="shared" ca="1" si="15"/>
        <v>Terzo</v>
      </c>
      <c r="R70" s="32" t="str">
        <f t="shared" ca="1" si="9"/>
        <v>Medio</v>
      </c>
      <c r="S70" s="4">
        <f t="shared" si="10"/>
        <v>39</v>
      </c>
      <c r="T70" s="136">
        <v>7.8</v>
      </c>
      <c r="U70" s="133">
        <v>8.5555555555555554</v>
      </c>
      <c r="V70" s="160">
        <v>7.5555555555555554</v>
      </c>
      <c r="W70" s="133">
        <v>7.2307692307692308</v>
      </c>
      <c r="BB70" s="57"/>
    </row>
    <row r="71" spans="1:54">
      <c r="A71" s="257" t="str">
        <f ca="1">Dati!$A60</f>
        <v>Istituto nazionale di previdenza dei dipendenti dell'amministrazione pubblica</v>
      </c>
      <c r="B71" s="594">
        <f ca="1">Dati!$B60</f>
        <v>48</v>
      </c>
      <c r="C71" s="595">
        <f ca="1">Dati!$C60</f>
        <v>7665</v>
      </c>
      <c r="D71" s="136">
        <f ca="1">'Quesiti x SI'!$AV44/E$30</f>
        <v>8.3414634146341466</v>
      </c>
      <c r="E71" s="47" t="str">
        <f t="shared" ca="1" si="11"/>
        <v>Primo</v>
      </c>
      <c r="F71" s="32" t="str">
        <f t="shared" ca="1" si="5"/>
        <v>Alto</v>
      </c>
      <c r="G71" s="136">
        <f ca="1">'Quesiti x SI'!$M44/H$30</f>
        <v>8.4</v>
      </c>
      <c r="H71" s="47" t="str">
        <f t="shared" ca="1" si="12"/>
        <v>Secondo</v>
      </c>
      <c r="I71" s="32" t="str">
        <f t="shared" ca="1" si="6"/>
        <v>Alto</v>
      </c>
      <c r="J71" s="136">
        <f ca="1">'Quesiti x SI'!$W44/K$30</f>
        <v>9.4444444444444446</v>
      </c>
      <c r="K71" s="47" t="str">
        <f t="shared" ca="1" si="13"/>
        <v>Primo</v>
      </c>
      <c r="L71" s="32" t="str">
        <f t="shared" ca="1" si="7"/>
        <v>Alto</v>
      </c>
      <c r="M71" s="136">
        <f ca="1">'Quesiti x SI'!$AG44/N$30</f>
        <v>8.3333333333333339</v>
      </c>
      <c r="N71" s="47" t="str">
        <f t="shared" ca="1" si="14"/>
        <v>Secondo</v>
      </c>
      <c r="O71" s="32" t="str">
        <f t="shared" ca="1" si="8"/>
        <v>Alto</v>
      </c>
      <c r="P71" s="136">
        <f ca="1">'Quesiti x SI'!$AU44/Q$30</f>
        <v>7.5384615384615383</v>
      </c>
      <c r="Q71" s="47" t="str">
        <f t="shared" ca="1" si="15"/>
        <v>Secondo</v>
      </c>
      <c r="R71" s="32" t="str">
        <f t="shared" ca="1" si="9"/>
        <v>Alto</v>
      </c>
      <c r="S71" s="4">
        <f t="shared" si="10"/>
        <v>40</v>
      </c>
      <c r="T71" s="136">
        <v>8.1</v>
      </c>
      <c r="U71" s="133">
        <v>8.5555555555555554</v>
      </c>
      <c r="V71" s="160">
        <v>7.7777777777777777</v>
      </c>
      <c r="W71" s="133">
        <v>7.5384615384615383</v>
      </c>
      <c r="BB71" s="57"/>
    </row>
    <row r="72" spans="1:54">
      <c r="A72" s="257" t="str">
        <f ca="1">Dati!$A61</f>
        <v xml:space="preserve">Istituto nazionale per la previdenza sociale                                  </v>
      </c>
      <c r="B72" s="594">
        <f ca="1">Dati!$B61</f>
        <v>50</v>
      </c>
      <c r="C72" s="595">
        <f ca="1">Dati!$C61</f>
        <v>28257</v>
      </c>
      <c r="D72" s="136">
        <f ca="1">'Quesiti x SI'!$AV45/E$30</f>
        <v>9.4878048780487809</v>
      </c>
      <c r="E72" s="47" t="str">
        <f t="shared" ca="1" si="11"/>
        <v>Primo</v>
      </c>
      <c r="F72" s="32" t="str">
        <f t="shared" ca="1" si="5"/>
        <v>Alto</v>
      </c>
      <c r="G72" s="136">
        <f ca="1">'Quesiti x SI'!$M45/H$30</f>
        <v>9.1</v>
      </c>
      <c r="H72" s="47" t="str">
        <f t="shared" ca="1" si="12"/>
        <v>Primo</v>
      </c>
      <c r="I72" s="32" t="str">
        <f t="shared" ca="1" si="6"/>
        <v>Alto</v>
      </c>
      <c r="J72" s="136">
        <f ca="1">'Quesiti x SI'!$W45/K$30</f>
        <v>10</v>
      </c>
      <c r="K72" s="47" t="str">
        <f t="shared" ca="1" si="13"/>
        <v>Primo</v>
      </c>
      <c r="L72" s="32" t="str">
        <f t="shared" ca="1" si="7"/>
        <v>Alto</v>
      </c>
      <c r="M72" s="136">
        <f ca="1">'Quesiti x SI'!$AG45/N$30</f>
        <v>10</v>
      </c>
      <c r="N72" s="47" t="str">
        <f t="shared" ca="1" si="14"/>
        <v>Primo</v>
      </c>
      <c r="O72" s="32" t="str">
        <f t="shared" ca="1" si="8"/>
        <v>Alto</v>
      </c>
      <c r="P72" s="136">
        <f ca="1">'Quesiti x SI'!$AU45/Q$30</f>
        <v>9.0769230769230766</v>
      </c>
      <c r="Q72" s="47" t="str">
        <f t="shared" ca="1" si="15"/>
        <v>Primo</v>
      </c>
      <c r="R72" s="32" t="str">
        <f t="shared" ca="1" si="9"/>
        <v>Alto</v>
      </c>
      <c r="S72" s="4">
        <f t="shared" si="10"/>
        <v>41</v>
      </c>
      <c r="T72" s="136">
        <v>8.1</v>
      </c>
      <c r="U72" s="133">
        <v>8.6666666666666661</v>
      </c>
      <c r="V72" s="160">
        <v>7.7777777777777777</v>
      </c>
      <c r="W72" s="133">
        <v>7.5384615384615383</v>
      </c>
      <c r="BB72" s="57"/>
    </row>
    <row r="73" spans="1:54">
      <c r="A73" s="257" t="str">
        <f ca="1">Dati!$A62</f>
        <v xml:space="preserve">Istituto dei postelegrafonici                                                                       </v>
      </c>
      <c r="B73" s="594">
        <f ca="1">Dati!$B62</f>
        <v>36</v>
      </c>
      <c r="C73" s="595">
        <f ca="1">Dati!$C62</f>
        <v>295</v>
      </c>
      <c r="D73" s="136">
        <f ca="1">'Quesiti x SI'!$AV46/E$30</f>
        <v>8.0975609756097562</v>
      </c>
      <c r="E73" s="47" t="str">
        <f t="shared" ca="1" si="11"/>
        <v>Secondo</v>
      </c>
      <c r="F73" s="32" t="str">
        <f ca="1">IF(D73&gt;=$C$26,$B$27,IF(AND(D73&gt;=$C$25, D73&lt;$C$26), $B$26, IF(AND(D73&gt;=$C$24,D73 &lt; $C$25), $B$25, $B$24)))</f>
        <v>Alto</v>
      </c>
      <c r="G73" s="136">
        <f ca="1">'Quesiti x SI'!$M46/H$30</f>
        <v>7.2</v>
      </c>
      <c r="H73" s="47" t="str">
        <f t="shared" ca="1" si="12"/>
        <v>Terzo</v>
      </c>
      <c r="I73" s="32" t="str">
        <f ca="1">IF(G73&gt;=$C$26,$B$27,IF(AND(G73&gt;=$C$25, G73&lt;$C$26), $B$26, IF(AND(G73&gt;=$C$24,G73 &lt; $C$25), $B$25, $B$24)))</f>
        <v>Alto</v>
      </c>
      <c r="J73" s="136">
        <f ca="1">'Quesiti x SI'!$W46/K$30</f>
        <v>8.4444444444444446</v>
      </c>
      <c r="K73" s="47" t="str">
        <f t="shared" ca="1" si="13"/>
        <v>Terzo</v>
      </c>
      <c r="L73" s="32" t="str">
        <f ca="1">IF(J73&gt;=$C$26,$B$27,IF(AND(J73&gt;=$C$25, J73&lt;$C$26), $B$26, IF(AND(J73&gt;=$C$24,J73 &lt; $C$25), $B$25, $B$24)))</f>
        <v>Alto</v>
      </c>
      <c r="M73" s="136">
        <f ca="1">'Quesiti x SI'!$AG46/N$30</f>
        <v>8</v>
      </c>
      <c r="N73" s="47" t="str">
        <f t="shared" ca="1" si="14"/>
        <v>Secondo</v>
      </c>
      <c r="O73" s="32" t="str">
        <f ca="1">IF(M73&gt;=$C$26,$B$27,IF(AND(M73&gt;=$C$25, M73&lt;$C$26), $B$26, IF(AND(M73&gt;=$C$24,M73 &lt; $C$25), $B$25, $B$24)))</f>
        <v>Alto</v>
      </c>
      <c r="P73" s="136">
        <f ca="1">'Quesiti x SI'!$AU46/Q$30</f>
        <v>8.615384615384615</v>
      </c>
      <c r="Q73" s="47" t="str">
        <f t="shared" ca="1" si="15"/>
        <v>Primo</v>
      </c>
      <c r="R73" s="32" t="str">
        <f ca="1">IF(P73&gt;=$C$26,$B$27,IF(AND(P73&gt;=$C$25, P73&lt;$C$26), $B$26, IF(AND(P73&gt;=$C$24,P73 &lt; $C$25), $B$25, $B$24)))</f>
        <v>Alto</v>
      </c>
      <c r="S73" s="4">
        <f>S72+1</f>
        <v>42</v>
      </c>
      <c r="T73" s="136">
        <v>8.3000000000000007</v>
      </c>
      <c r="U73" s="133">
        <v>8.8888888888888893</v>
      </c>
      <c r="V73" s="160">
        <v>8</v>
      </c>
      <c r="W73" s="133">
        <v>7.8461538461538458</v>
      </c>
      <c r="BB73" s="57"/>
    </row>
    <row r="74" spans="1:54">
      <c r="A74" s="257" t="str">
        <f ca="1">Dati!$A63</f>
        <v xml:space="preserve">Istituto per lo sviluppo della formazione professionale dei lavoratori                              </v>
      </c>
      <c r="B74" s="594">
        <f ca="1">Dati!$B63</f>
        <v>120</v>
      </c>
      <c r="C74" s="595">
        <f ca="1">Dati!$C63</f>
        <v>619</v>
      </c>
      <c r="D74" s="136">
        <f ca="1">'Quesiti x SI'!$AV47/E$30</f>
        <v>5.9268292682926829</v>
      </c>
      <c r="E74" s="47" t="str">
        <f t="shared" ca="1" si="11"/>
        <v>Quarto</v>
      </c>
      <c r="F74" s="32" t="str">
        <f ca="1">IF(D74&gt;=$C$26,$B$27,IF(AND(D74&gt;=$C$25, D74&lt;$C$26), $B$26, IF(AND(D74&gt;=$C$24,D74 &lt; $C$25), $B$25, $B$24)))</f>
        <v>Medio</v>
      </c>
      <c r="G74" s="136">
        <f ca="1">'Quesiti x SI'!$M47/H$30</f>
        <v>8.1999999999999993</v>
      </c>
      <c r="H74" s="47" t="str">
        <f t="shared" ca="1" si="12"/>
        <v>Secondo</v>
      </c>
      <c r="I74" s="32" t="str">
        <f ca="1">IF(G74&gt;=$C$26,$B$27,IF(AND(G74&gt;=$C$25, G74&lt;$C$26), $B$26, IF(AND(G74&gt;=$C$24,G74 &lt; $C$25), $B$25, $B$24)))</f>
        <v>Alto</v>
      </c>
      <c r="J74" s="136">
        <f ca="1">'Quesiti x SI'!$W47/K$30</f>
        <v>3.8888888888888888</v>
      </c>
      <c r="K74" s="47" t="str">
        <f t="shared" ca="1" si="13"/>
        <v>Quarto</v>
      </c>
      <c r="L74" s="32" t="str">
        <f ca="1">IF(J74&gt;=$C$26,$B$27,IF(AND(J74&gt;=$C$25, J74&lt;$C$26), $B$26, IF(AND(J74&gt;=$C$24,J74 &lt; $C$25), $B$25, $B$24)))</f>
        <v>Scarso</v>
      </c>
      <c r="M74" s="136">
        <f ca="1">'Quesiti x SI'!$AG47/N$30</f>
        <v>6.666666666666667</v>
      </c>
      <c r="N74" s="47" t="str">
        <f t="shared" ca="1" si="14"/>
        <v>Terzo</v>
      </c>
      <c r="O74" s="32" t="str">
        <f ca="1">IF(M74&gt;=$C$26,$B$27,IF(AND(M74&gt;=$C$25, M74&lt;$C$26), $B$26, IF(AND(M74&gt;=$C$24,M74 &lt; $C$25), $B$25, $B$24)))</f>
        <v>Medio</v>
      </c>
      <c r="P74" s="136">
        <f ca="1">'Quesiti x SI'!$AU47/Q$30</f>
        <v>5.0769230769230766</v>
      </c>
      <c r="Q74" s="47" t="str">
        <f t="shared" ca="1" si="15"/>
        <v>Terzo</v>
      </c>
      <c r="R74" s="32" t="str">
        <f ca="1">IF(P74&gt;=$C$26,$B$27,IF(AND(P74&gt;=$C$25, P74&lt;$C$26), $B$26, IF(AND(P74&gt;=$C$24,P74 &lt; $C$25), $B$25, $B$24)))</f>
        <v>Medio</v>
      </c>
      <c r="S74" s="4">
        <f>S73+1</f>
        <v>43</v>
      </c>
      <c r="T74" s="136">
        <v>8.4</v>
      </c>
      <c r="U74" s="133">
        <v>8.8888888888888893</v>
      </c>
      <c r="V74" s="160">
        <v>8</v>
      </c>
      <c r="W74" s="133">
        <v>8</v>
      </c>
      <c r="BB74" s="57"/>
    </row>
    <row r="75" spans="1:54">
      <c r="A75" s="257" t="str">
        <f ca="1">Dati!$A64</f>
        <v xml:space="preserve">Istituto superiore di sanità                                                                        </v>
      </c>
      <c r="B75" s="594">
        <f ca="1">Dati!$B64</f>
        <v>34</v>
      </c>
      <c r="C75" s="595">
        <f ca="1">Dati!$C64</f>
        <v>1970</v>
      </c>
      <c r="D75" s="136">
        <f ca="1">'Quesiti x SI'!$AV48/E$30</f>
        <v>6.9268292682926829</v>
      </c>
      <c r="E75" s="47" t="str">
        <f t="shared" ca="1" si="11"/>
        <v>Terzo</v>
      </c>
      <c r="F75" s="32" t="str">
        <f ca="1">IF(D75&gt;=$C$26,$B$27,IF(AND(D75&gt;=$C$25, D75&lt;$C$26), $B$26, IF(AND(D75&gt;=$C$24,D75 &lt; $C$25), $B$25, $B$24)))</f>
        <v>Medio</v>
      </c>
      <c r="G75" s="136">
        <f ca="1">'Quesiti x SI'!$M48/H$30</f>
        <v>7</v>
      </c>
      <c r="H75" s="47" t="str">
        <f t="shared" ca="1" si="12"/>
        <v>Terzo</v>
      </c>
      <c r="I75" s="32" t="str">
        <f ca="1">IF(G75&gt;=$C$26,$B$27,IF(AND(G75&gt;=$C$25, G75&lt;$C$26), $B$26, IF(AND(G75&gt;=$C$24,G75 &lt; $C$25), $B$25, $B$24)))</f>
        <v>Alto</v>
      </c>
      <c r="J75" s="136">
        <f ca="1">'Quesiti x SI'!$W48/K$30</f>
        <v>9.3333333333333339</v>
      </c>
      <c r="K75" s="47" t="str">
        <f t="shared" ca="1" si="13"/>
        <v>Secondo</v>
      </c>
      <c r="L75" s="32" t="str">
        <f ca="1">IF(J75&gt;=$C$26,$B$27,IF(AND(J75&gt;=$C$25, J75&lt;$C$26), $B$26, IF(AND(J75&gt;=$C$24,J75 &lt; $C$25), $B$25, $B$24)))</f>
        <v>Alto</v>
      </c>
      <c r="M75" s="136">
        <f ca="1">'Quesiti x SI'!$AG48/N$30</f>
        <v>8.6666666666666661</v>
      </c>
      <c r="N75" s="47" t="str">
        <f t="shared" ca="1" si="14"/>
        <v>Primo</v>
      </c>
      <c r="O75" s="32" t="str">
        <f ca="1">IF(M75&gt;=$C$26,$B$27,IF(AND(M75&gt;=$C$25, M75&lt;$C$26), $B$26, IF(AND(M75&gt;=$C$24,M75 &lt; $C$25), $B$25, $B$24)))</f>
        <v>Alto</v>
      </c>
      <c r="P75" s="136">
        <f ca="1">'Quesiti x SI'!$AU48/Q$30</f>
        <v>4</v>
      </c>
      <c r="Q75" s="47" t="str">
        <f t="shared" ca="1" si="15"/>
        <v>Quarto</v>
      </c>
      <c r="R75" s="32" t="str">
        <f ca="1">IF(P75&gt;=$C$26,$B$27,IF(AND(P75&gt;=$C$25, P75&lt;$C$26), $B$26, IF(AND(P75&gt;=$C$24,P75 &lt; $C$25), $B$25, $B$24)))</f>
        <v>Basso</v>
      </c>
      <c r="S75" s="4">
        <f>S74+1</f>
        <v>44</v>
      </c>
      <c r="T75" s="136">
        <v>8.5</v>
      </c>
      <c r="U75" s="133">
        <v>8.8888888888888893</v>
      </c>
      <c r="V75" s="160">
        <v>8.1111111111111107</v>
      </c>
      <c r="W75" s="133">
        <v>8</v>
      </c>
      <c r="BB75" s="57"/>
    </row>
    <row r="76" spans="1:54">
      <c r="A76" s="257" t="str">
        <f ca="1">Dati!$A65</f>
        <v xml:space="preserve">Istituto nazionale di statistica                                   </v>
      </c>
      <c r="B76" s="594">
        <f ca="1">Dati!$B65</f>
        <v>14</v>
      </c>
      <c r="C76" s="595">
        <f ca="1">Dati!$C65</f>
        <v>2120</v>
      </c>
      <c r="D76" s="136">
        <f ca="1">'Quesiti x SI'!$AV49/E$30</f>
        <v>6.6341463414634143</v>
      </c>
      <c r="E76" s="47" t="str">
        <f t="shared" ca="1" si="11"/>
        <v>Terzo</v>
      </c>
      <c r="F76" s="32" t="str">
        <f ca="1">IF(D76&gt;=$C$26,$B$27,IF(AND(D76&gt;=$C$25, D76&lt;$C$26), $B$26, IF(AND(D76&gt;=$C$24,D76 &lt; $C$25), $B$25, $B$24)))</f>
        <v>Medio</v>
      </c>
      <c r="G76" s="136">
        <f ca="1">'Quesiti x SI'!$M49/H$30</f>
        <v>7.8</v>
      </c>
      <c r="H76" s="47" t="str">
        <f t="shared" ca="1" si="12"/>
        <v>Terzo</v>
      </c>
      <c r="I76" s="32" t="str">
        <f ca="1">IF(G76&gt;=$C$26,$B$27,IF(AND(G76&gt;=$C$25, G76&lt;$C$26), $B$26, IF(AND(G76&gt;=$C$24,G76 &lt; $C$25), $B$25, $B$24)))</f>
        <v>Alto</v>
      </c>
      <c r="J76" s="136">
        <f ca="1">'Quesiti x SI'!$W49/K$30</f>
        <v>8.8888888888888893</v>
      </c>
      <c r="K76" s="47" t="str">
        <f t="shared" ca="1" si="13"/>
        <v>Secondo</v>
      </c>
      <c r="L76" s="32" t="str">
        <f ca="1">IF(J76&gt;=$C$26,$B$27,IF(AND(J76&gt;=$C$25, J76&lt;$C$26), $B$26, IF(AND(J76&gt;=$C$24,J76 &lt; $C$25), $B$25, $B$24)))</f>
        <v>Alto</v>
      </c>
      <c r="M76" s="136">
        <f ca="1">'Quesiti x SI'!$AG49/N$30</f>
        <v>5.5555555555555554</v>
      </c>
      <c r="N76" s="47" t="str">
        <f t="shared" ca="1" si="14"/>
        <v>Terzo</v>
      </c>
      <c r="O76" s="32" t="str">
        <f ca="1">IF(M76&gt;=$C$26,$B$27,IF(AND(M76&gt;=$C$25, M76&lt;$C$26), $B$26, IF(AND(M76&gt;=$C$24,M76 &lt; $C$25), $B$25, $B$24)))</f>
        <v>Medio</v>
      </c>
      <c r="P76" s="136">
        <f ca="1">'Quesiti x SI'!$AU49/Q$30</f>
        <v>4.9230769230769234</v>
      </c>
      <c r="Q76" s="47" t="str">
        <f t="shared" ca="1" si="15"/>
        <v>Quarto</v>
      </c>
      <c r="R76" s="32" t="str">
        <f ca="1">IF(P76&gt;=$C$26,$B$27,IF(AND(P76&gt;=$C$25, P76&lt;$C$26), $B$26, IF(AND(P76&gt;=$C$24,P76 &lt; $C$25), $B$25, $B$24)))</f>
        <v>Basso</v>
      </c>
      <c r="S76" s="4">
        <f>S75+1</f>
        <v>45</v>
      </c>
      <c r="T76" s="136">
        <v>8.5</v>
      </c>
      <c r="U76" s="133">
        <v>9.1111111111111107</v>
      </c>
      <c r="V76" s="160">
        <v>8.4444444444444446</v>
      </c>
      <c r="W76" s="133">
        <v>8.4615384615384617</v>
      </c>
      <c r="BB76" s="57"/>
    </row>
    <row r="77" spans="1:54">
      <c r="A77" s="292" t="str">
        <f ca="1">Dati!$A66</f>
        <v>Unione nazionale incremento razze equine</v>
      </c>
      <c r="B77" s="596">
        <f ca="1">Dati!$B66</f>
        <v>64</v>
      </c>
      <c r="C77" s="597">
        <f ca="1">Dati!$C66</f>
        <v>181</v>
      </c>
      <c r="D77" s="136">
        <f ca="1">'Quesiti x SI'!$AV50/E$30</f>
        <v>4.9024390243902438</v>
      </c>
      <c r="E77" s="47" t="str">
        <f t="shared" ca="1" si="11"/>
        <v>Quarto</v>
      </c>
      <c r="F77" s="32" t="str">
        <f ca="1">IF(D77&gt;=$C$26,$B$27,IF(AND(D77&gt;=$C$25, D77&lt;$C$26), $B$26, IF(AND(D77&gt;=$C$24,D77 &lt; $C$25), $B$25, $B$24)))</f>
        <v>Basso</v>
      </c>
      <c r="G77" s="136">
        <f ca="1">'Quesiti x SI'!$M50/H$30</f>
        <v>6.8</v>
      </c>
      <c r="H77" s="47" t="str">
        <f t="shared" ca="1" si="12"/>
        <v>Terzo</v>
      </c>
      <c r="I77" s="32" t="str">
        <f ca="1">IF(G77&gt;=$C$26,$B$27,IF(AND(G77&gt;=$C$25, G77&lt;$C$26), $B$26, IF(AND(G77&gt;=$C$24,G77 &lt; $C$25), $B$25, $B$24)))</f>
        <v>Medio</v>
      </c>
      <c r="J77" s="136">
        <f ca="1">'Quesiti x SI'!$W50/K$30</f>
        <v>3.6666666666666665</v>
      </c>
      <c r="K77" s="47" t="str">
        <f t="shared" ca="1" si="13"/>
        <v>Quarto</v>
      </c>
      <c r="L77" s="32" t="str">
        <f ca="1">IF(J77&gt;=$C$26,$B$27,IF(AND(J77&gt;=$C$25, J77&lt;$C$26), $B$26, IF(AND(J77&gt;=$C$24,J77 &lt; $C$25), $B$25, $B$24)))</f>
        <v>Scarso</v>
      </c>
      <c r="M77" s="136">
        <f ca="1">'Quesiti x SI'!$AG50/N$30</f>
        <v>3.3333333333333335</v>
      </c>
      <c r="N77" s="47" t="str">
        <f t="shared" ca="1" si="14"/>
        <v>Quarto</v>
      </c>
      <c r="O77" s="32" t="str">
        <f ca="1">IF(M77&gt;=$C$26,$B$27,IF(AND(M77&gt;=$C$25, M77&lt;$C$26), $B$26, IF(AND(M77&gt;=$C$24,M77 &lt; $C$25), $B$25, $B$24)))</f>
        <v>Scarso</v>
      </c>
      <c r="P77" s="136">
        <f ca="1">'Quesiti x SI'!$AU50/Q$30</f>
        <v>5.384615384615385</v>
      </c>
      <c r="Q77" s="47" t="str">
        <f t="shared" ca="1" si="15"/>
        <v>Terzo</v>
      </c>
      <c r="R77" s="32" t="str">
        <f ca="1">IF(P77&gt;=$C$26,$B$27,IF(AND(P77&gt;=$C$25, P77&lt;$C$26), $B$26, IF(AND(P77&gt;=$C$24,P77 &lt; $C$25), $B$25, $B$24)))</f>
        <v>Medio</v>
      </c>
      <c r="S77" s="4">
        <f>S76+1</f>
        <v>46</v>
      </c>
      <c r="T77" s="136">
        <v>8.6</v>
      </c>
      <c r="U77" s="133">
        <v>9.1111111111111107</v>
      </c>
      <c r="V77" s="160">
        <v>8.4444444444444446</v>
      </c>
      <c r="W77" s="133">
        <v>8.4615384615384617</v>
      </c>
      <c r="BB77" s="57"/>
    </row>
    <row r="78" spans="1:54">
      <c r="A78" s="589" t="s">
        <v>275</v>
      </c>
      <c r="B78" s="589"/>
      <c r="C78" s="589"/>
      <c r="D78" s="590">
        <f ca="1">VARA('Quesiti x SI'!C51:L51,'Quesiti x SI'!N51:V51,'Quesiti x SI'!X51:AF51,'Quesiti x SI'!AH51:AT51)</f>
        <v>6223.8439024390191</v>
      </c>
      <c r="E78" s="591">
        <f ca="1">AVERAGE(D32:D77)</f>
        <v>7.0132555673382813</v>
      </c>
      <c r="F78" s="590"/>
      <c r="G78" s="590">
        <f ca="1">VARA('Quesiti x SI'!C51:L51)</f>
        <v>5720.4000000000106</v>
      </c>
      <c r="H78" s="591">
        <f ca="1">AVERAGE(G32:G77)</f>
        <v>7.4304347826086961</v>
      </c>
      <c r="I78" s="590"/>
      <c r="J78" s="590">
        <f ca="1">VARA('Quesiti x SI'!N51:V51)</f>
        <v>3176.111111111124</v>
      </c>
      <c r="K78" s="591">
        <f ca="1">AVERAGE(J32:J77)</f>
        <v>7.9589371980676349</v>
      </c>
      <c r="L78" s="590"/>
      <c r="M78" s="590">
        <f ca="1">VARA('Quesiti x SI'!X51:AF51)</f>
        <v>7793.444444444438</v>
      </c>
      <c r="N78" s="591">
        <f ca="1">AVERAGE(M32:M77)</f>
        <v>6.8743961352657008</v>
      </c>
      <c r="O78" s="590"/>
      <c r="P78" s="590">
        <f ca="1">VARA('Quesiti x SI'!AH51:AT51)</f>
        <v>5612.9743589743548</v>
      </c>
      <c r="Q78" s="591">
        <f ca="1">AVERAGE(P32:P77)</f>
        <v>6.1337792642140467</v>
      </c>
      <c r="R78" s="590"/>
      <c r="S78" s="590"/>
      <c r="T78" s="590"/>
      <c r="U78" s="590"/>
      <c r="V78" s="590"/>
      <c r="W78" s="590"/>
      <c r="AC78" s="536">
        <f>AJ96</f>
        <v>2007</v>
      </c>
      <c r="AD78" s="537">
        <f>AB96</f>
        <v>2008</v>
      </c>
      <c r="AE78" s="537">
        <f>T96</f>
        <v>2009</v>
      </c>
      <c r="AF78" s="537">
        <f>L96</f>
        <v>2010</v>
      </c>
      <c r="AG78" s="536" t="s">
        <v>473</v>
      </c>
      <c r="AH78" s="538" t="s">
        <v>474</v>
      </c>
      <c r="AI78" s="538" t="s">
        <v>502</v>
      </c>
      <c r="AJ78" s="512" t="s">
        <v>503</v>
      </c>
      <c r="AK78" s="401" t="s">
        <v>504</v>
      </c>
      <c r="AL78" s="401" t="s">
        <v>505</v>
      </c>
    </row>
    <row r="79" spans="1:54">
      <c r="F79" s="4" t="s">
        <v>38</v>
      </c>
      <c r="G79" s="57">
        <f ca="1">MIN(G32:G77)</f>
        <v>0</v>
      </c>
      <c r="I79" s="4" t="s">
        <v>38</v>
      </c>
      <c r="J79" s="57">
        <f ca="1">MIN(J32:J77)</f>
        <v>1.1111111111111112</v>
      </c>
      <c r="L79" s="4" t="s">
        <v>38</v>
      </c>
      <c r="M79" s="57">
        <f ca="1">MIN(M32:M77)</f>
        <v>0.22222222222222221</v>
      </c>
      <c r="O79" s="4" t="s">
        <v>38</v>
      </c>
      <c r="P79" s="57">
        <f ca="1">MIN(P32:P77)</f>
        <v>0</v>
      </c>
      <c r="AA79" s="612" t="str">
        <f>L98</f>
        <v>Grandi</v>
      </c>
      <c r="AB79" s="17" t="str">
        <f>N97</f>
        <v>KPI 1</v>
      </c>
      <c r="AC79" s="135">
        <f>$AL$98</f>
        <v>8.4222222222222243</v>
      </c>
      <c r="AD79" s="16">
        <f>$AD$98</f>
        <v>7.3285714285714292</v>
      </c>
      <c r="AE79" s="16">
        <f>$V$98</f>
        <v>8.4</v>
      </c>
      <c r="AF79" s="159">
        <f ca="1">$N$98</f>
        <v>8.5</v>
      </c>
      <c r="AG79" s="513">
        <f t="shared" ref="AG79:AG94" si="16">AD79-AC79</f>
        <v>-1.0936507936507951</v>
      </c>
      <c r="AH79" s="542">
        <f t="shared" ref="AH79:AI90" si="17">AE79-AD79</f>
        <v>1.0714285714285712</v>
      </c>
      <c r="AI79" s="514">
        <f t="shared" ca="1" si="17"/>
        <v>9.9999999999999645E-2</v>
      </c>
      <c r="AJ79" s="544">
        <f>AG79/AC79</f>
        <v>-0.12985299660761415</v>
      </c>
      <c r="AK79" s="545">
        <f>AH79/AD79</f>
        <v>0.14619883040935669</v>
      </c>
      <c r="AL79" s="546">
        <f ca="1">AI79/AE79</f>
        <v>1.1904761904761862E-2</v>
      </c>
      <c r="AO79" s="53" t="s">
        <v>323</v>
      </c>
      <c r="AP79" s="53" t="s">
        <v>395</v>
      </c>
      <c r="AQ79" s="53" t="s">
        <v>396</v>
      </c>
      <c r="AR79" s="53" t="s">
        <v>397</v>
      </c>
      <c r="AS79" s="340" t="s">
        <v>173</v>
      </c>
    </row>
    <row r="80" spans="1:54" ht="12.75" customHeight="1">
      <c r="F80" s="4" t="s">
        <v>39</v>
      </c>
      <c r="G80" s="57">
        <f ca="1">MAX(G32:G77)</f>
        <v>9.6</v>
      </c>
      <c r="I80" s="4" t="s">
        <v>39</v>
      </c>
      <c r="J80" s="57">
        <f ca="1">MAX(J32:J77)</f>
        <v>10</v>
      </c>
      <c r="L80" s="4" t="s">
        <v>39</v>
      </c>
      <c r="M80" s="57">
        <f ca="1">MAX(M32:M77)</f>
        <v>10</v>
      </c>
      <c r="O80" s="4" t="s">
        <v>39</v>
      </c>
      <c r="P80" s="57">
        <f ca="1">MAX(P32:P77)</f>
        <v>9.6923076923076916</v>
      </c>
      <c r="AA80" s="613"/>
      <c r="AB80" s="18" t="str">
        <f>O97</f>
        <v>KPI 2</v>
      </c>
      <c r="AC80" s="136">
        <f>$AM$98</f>
        <v>8.5308641975308639</v>
      </c>
      <c r="AD80" s="12">
        <f>$AE$98</f>
        <v>8.2857142857142865</v>
      </c>
      <c r="AE80" s="12">
        <f>$W$98</f>
        <v>8.7654320987654319</v>
      </c>
      <c r="AF80" s="540">
        <f ca="1">$O$98</f>
        <v>8.5555555555555554</v>
      </c>
      <c r="AG80" s="515">
        <f t="shared" si="16"/>
        <v>-0.24514991181657741</v>
      </c>
      <c r="AH80" s="539">
        <f t="shared" si="17"/>
        <v>0.47971781305114547</v>
      </c>
      <c r="AI80" s="516">
        <f t="shared" ca="1" si="17"/>
        <v>-0.20987654320987659</v>
      </c>
      <c r="AJ80" s="547">
        <f t="shared" ref="AJ80:AJ90" si="18">AG80/AC80</f>
        <v>-2.8736820343187801E-2</v>
      </c>
      <c r="AK80" s="548">
        <f t="shared" ref="AK80:AK90" si="19">AH80/AD80</f>
        <v>5.7896977437207203E-2</v>
      </c>
      <c r="AL80" s="549">
        <f t="shared" ref="AL80:AL90" ca="1" si="20">AI80/AE80</f>
        <v>-2.3943661971830992E-2</v>
      </c>
      <c r="AN80" s="134" t="str">
        <f>G29</f>
        <v>KPI 1</v>
      </c>
      <c r="AO80" s="53">
        <f ca="1">H24</f>
        <v>1</v>
      </c>
      <c r="AP80" s="134">
        <f ca="1">H25</f>
        <v>1</v>
      </c>
      <c r="AQ80" s="134">
        <f ca="1">H26</f>
        <v>12</v>
      </c>
      <c r="AR80" s="134">
        <f ca="1">H27</f>
        <v>32</v>
      </c>
      <c r="AS80" s="4">
        <v>1</v>
      </c>
    </row>
    <row r="81" spans="1:46" ht="14" customHeight="1">
      <c r="AA81" s="613"/>
      <c r="AB81" s="18" t="str">
        <f>P97</f>
        <v>KPI 3</v>
      </c>
      <c r="AC81" s="136">
        <f>$AN$98</f>
        <v>7.8888888888888893</v>
      </c>
      <c r="AD81" s="12">
        <f>$AF$98</f>
        <v>7.4761904761904754</v>
      </c>
      <c r="AE81" s="12">
        <f>$X$98</f>
        <v>8.3950617283950635</v>
      </c>
      <c r="AF81" s="540">
        <f ca="1">$P$98</f>
        <v>8.0370370370370363</v>
      </c>
      <c r="AG81" s="515">
        <f t="shared" si="16"/>
        <v>-0.4126984126984139</v>
      </c>
      <c r="AH81" s="539">
        <f t="shared" si="17"/>
        <v>0.9188712522045881</v>
      </c>
      <c r="AI81" s="516">
        <f t="shared" ca="1" si="17"/>
        <v>-0.35802469135802717</v>
      </c>
      <c r="AJ81" s="547">
        <f t="shared" si="18"/>
        <v>-5.2313883299798941E-2</v>
      </c>
      <c r="AK81" s="548">
        <f t="shared" si="19"/>
        <v>0.1229063458362825</v>
      </c>
      <c r="AL81" s="549">
        <f t="shared" ca="1" si="20"/>
        <v>-4.2647058823529697E-2</v>
      </c>
      <c r="AN81" s="134" t="str">
        <f>J29</f>
        <v>KPI 2</v>
      </c>
      <c r="AO81" s="53">
        <f ca="1">K24</f>
        <v>5</v>
      </c>
      <c r="AP81" s="53">
        <f ca="1">K25</f>
        <v>0</v>
      </c>
      <c r="AQ81" s="53">
        <f ca="1">K26</f>
        <v>4</v>
      </c>
      <c r="AR81" s="53">
        <f ca="1">K27</f>
        <v>37</v>
      </c>
      <c r="AS81" s="4">
        <v>2</v>
      </c>
    </row>
    <row r="82" spans="1:46" ht="14" customHeight="1">
      <c r="AA82" s="614"/>
      <c r="AB82" s="20" t="str">
        <f>Q97</f>
        <v>KPI 4</v>
      </c>
      <c r="AC82" s="510">
        <f>$AO$98</f>
        <v>7.6239316239316235</v>
      </c>
      <c r="AD82" s="511">
        <f>$AG$98</f>
        <v>7.7582417582417582</v>
      </c>
      <c r="AE82" s="511">
        <f>$Y$98</f>
        <v>8.0512820512820511</v>
      </c>
      <c r="AF82" s="541">
        <f ca="1">$Q$98</f>
        <v>8.2307692307692317</v>
      </c>
      <c r="AG82" s="515">
        <f t="shared" si="16"/>
        <v>0.13431013431013472</v>
      </c>
      <c r="AH82" s="539">
        <f t="shared" si="17"/>
        <v>0.29304029304029289</v>
      </c>
      <c r="AI82" s="516">
        <f t="shared" ca="1" si="17"/>
        <v>0.17948717948718063</v>
      </c>
      <c r="AJ82" s="550">
        <f t="shared" si="18"/>
        <v>1.7616912235746372E-2</v>
      </c>
      <c r="AK82" s="551">
        <f t="shared" si="19"/>
        <v>3.7771482530689307E-2</v>
      </c>
      <c r="AL82" s="552">
        <f t="shared" ca="1" si="20"/>
        <v>2.2292993630573389E-2</v>
      </c>
      <c r="AN82" s="134" t="str">
        <f>M29</f>
        <v>KPI 3</v>
      </c>
      <c r="AO82" s="53">
        <f ca="1">N24</f>
        <v>3</v>
      </c>
      <c r="AP82" s="53">
        <f ca="1">N25</f>
        <v>4</v>
      </c>
      <c r="AQ82" s="134">
        <f ca="1">N26</f>
        <v>17</v>
      </c>
      <c r="AR82" s="134">
        <f ca="1">N27</f>
        <v>22</v>
      </c>
      <c r="AS82" s="4">
        <v>3</v>
      </c>
    </row>
    <row r="83" spans="1:46" ht="14" customHeight="1">
      <c r="B83" s="268" t="s">
        <v>276</v>
      </c>
      <c r="C83" s="263" t="str">
        <f ca="1">'Quesiti x SI'!C$4</f>
        <v>KPI 1.1</v>
      </c>
      <c r="D83" s="263" t="str">
        <f ca="1">'Quesiti x SI'!D$4</f>
        <v>KPI 1.2</v>
      </c>
      <c r="E83" s="263" t="str">
        <f ca="1">'Quesiti x SI'!E$4</f>
        <v>KPI 1.3</v>
      </c>
      <c r="F83" s="263" t="str">
        <f ca="1">'Quesiti x SI'!F$4</f>
        <v>KPI 1.3a</v>
      </c>
      <c r="G83" s="263" t="str">
        <f ca="1">'Quesiti x SI'!G$4</f>
        <v>KPI 1.4</v>
      </c>
      <c r="H83" s="263" t="str">
        <f ca="1">'Quesiti x SI'!H$4</f>
        <v>KPI 1.5</v>
      </c>
      <c r="I83" s="263" t="str">
        <f ca="1">'Quesiti x SI'!I$4</f>
        <v>KPI 1.6</v>
      </c>
      <c r="J83" s="263" t="str">
        <f ca="1">'Quesiti x SI'!J$4</f>
        <v>KPI 1.7</v>
      </c>
      <c r="K83" s="263" t="str">
        <f ca="1">'Quesiti x SI'!K$4</f>
        <v>KPI 1.8</v>
      </c>
      <c r="L83" s="264" t="str">
        <f ca="1">'Quesiti x SI'!L$4</f>
        <v>KPI 1.9</v>
      </c>
      <c r="M83" s="265" t="s">
        <v>393</v>
      </c>
      <c r="N83" s="57"/>
      <c r="P83" s="360"/>
      <c r="S83" s="372"/>
      <c r="T83" s="372"/>
      <c r="U83" s="371"/>
      <c r="V83" s="372"/>
      <c r="W83" s="371"/>
      <c r="X83" s="372"/>
      <c r="Y83" s="371"/>
      <c r="AA83" s="612" t="str">
        <f>AB99</f>
        <v>Medie</v>
      </c>
      <c r="AB83" s="17" t="str">
        <f>AD97</f>
        <v>KPI 1</v>
      </c>
      <c r="AC83" s="135">
        <f>$AL$99</f>
        <v>6.9678571428571399</v>
      </c>
      <c r="AD83" s="16">
        <f>$AD$99</f>
        <v>7.2884615384615392</v>
      </c>
      <c r="AE83" s="16">
        <f>$V$99</f>
        <v>7.2227272727272727</v>
      </c>
      <c r="AF83" s="159">
        <f ca="1">$N$99</f>
        <v>7.5666666666666655</v>
      </c>
      <c r="AG83" s="513">
        <f t="shared" si="16"/>
        <v>0.32060439560439935</v>
      </c>
      <c r="AH83" s="542">
        <f t="shared" si="17"/>
        <v>-6.573426573426655E-2</v>
      </c>
      <c r="AI83" s="514">
        <f t="shared" ca="1" si="17"/>
        <v>0.34393939393939288</v>
      </c>
      <c r="AJ83" s="544">
        <f t="shared" si="18"/>
        <v>4.6011907108781065E-2</v>
      </c>
      <c r="AK83" s="545">
        <f t="shared" si="19"/>
        <v>-9.0189493883426394E-3</v>
      </c>
      <c r="AL83" s="546">
        <f t="shared" ca="1" si="20"/>
        <v>4.7619047619047471E-2</v>
      </c>
      <c r="AN83" s="134" t="str">
        <f>P29</f>
        <v>KPI 4</v>
      </c>
      <c r="AO83" s="53">
        <f ca="1">Q24</f>
        <v>7</v>
      </c>
      <c r="AP83" s="53">
        <f ca="1">Q25</f>
        <v>5</v>
      </c>
      <c r="AQ83" s="134">
        <f ca="1">Q26</f>
        <v>13</v>
      </c>
      <c r="AR83" s="134">
        <f ca="1">Q27</f>
        <v>21</v>
      </c>
      <c r="AS83" s="4">
        <v>4</v>
      </c>
    </row>
    <row r="84" spans="1:46" ht="14" customHeight="1">
      <c r="B84" s="268" t="s">
        <v>319</v>
      </c>
      <c r="C84" s="336">
        <f ca="1">'Quesiti x SI'!C$51/$B$17</f>
        <v>6.7826086956521738</v>
      </c>
      <c r="D84" s="336">
        <f ca="1">'Quesiti x SI'!D$51/$B$17</f>
        <v>9.1304347826086953</v>
      </c>
      <c r="E84" s="336">
        <f ca="1">'Quesiti x SI'!E$51/$B$17</f>
        <v>7.1739130434782608</v>
      </c>
      <c r="F84" s="336">
        <f ca="1">'Quesiti x SI'!F$51/$B$17</f>
        <v>4.6956521739130439</v>
      </c>
      <c r="G84" s="336">
        <f ca="1">'Quesiti x SI'!G$51/$B$17</f>
        <v>9.304347826086957</v>
      </c>
      <c r="H84" s="336">
        <f ca="1">'Quesiti x SI'!H$51/$B$17</f>
        <v>7.8695652173913047</v>
      </c>
      <c r="I84" s="336">
        <f ca="1">'Quesiti x SI'!I$51/$B$17</f>
        <v>6.9565217391304346</v>
      </c>
      <c r="J84" s="336">
        <f ca="1">'Quesiti x SI'!J$51/$B$17</f>
        <v>4.9565217391304346</v>
      </c>
      <c r="K84" s="336">
        <f ca="1">'Quesiti x SI'!K$51/$B$17</f>
        <v>8.9565217391304355</v>
      </c>
      <c r="L84" s="336">
        <f ca="1">'Quesiti x SI'!L$51/$B$17</f>
        <v>8.4782608695652169</v>
      </c>
      <c r="M84" s="261">
        <f ca="1">AVERAGE(C84:L84)</f>
        <v>7.4304347826086952</v>
      </c>
      <c r="N84" s="57"/>
      <c r="AA84" s="613"/>
      <c r="AB84" s="18" t="str">
        <f>AE97</f>
        <v>KPI 2</v>
      </c>
      <c r="AC84" s="136">
        <f>$AM$99</f>
        <v>8.0119047619047628</v>
      </c>
      <c r="AD84" s="12">
        <f>$AE$99</f>
        <v>8.2051282051282026</v>
      </c>
      <c r="AE84" s="12">
        <f>$W$99</f>
        <v>8.4393939393939394</v>
      </c>
      <c r="AF84" s="540">
        <f ca="1">$O$99</f>
        <v>8.5111111111111111</v>
      </c>
      <c r="AG84" s="515">
        <f t="shared" si="16"/>
        <v>0.19322344322343987</v>
      </c>
      <c r="AH84" s="539">
        <f t="shared" si="17"/>
        <v>0.23426573426573682</v>
      </c>
      <c r="AI84" s="516">
        <f t="shared" ca="1" si="17"/>
        <v>7.1717171717171624E-2</v>
      </c>
      <c r="AJ84" s="547">
        <f t="shared" si="18"/>
        <v>2.4117041947650738E-2</v>
      </c>
      <c r="AK84" s="548">
        <f t="shared" si="19"/>
        <v>2.8551136363636685E-2</v>
      </c>
      <c r="AL84" s="549">
        <f t="shared" ca="1" si="20"/>
        <v>8.4979054458408036E-3</v>
      </c>
      <c r="AN84" s="520" t="s">
        <v>475</v>
      </c>
      <c r="AO84" s="53">
        <v>4</v>
      </c>
      <c r="AP84" s="134">
        <v>5</v>
      </c>
      <c r="AQ84" s="134">
        <v>7</v>
      </c>
      <c r="AR84" s="134">
        <v>9</v>
      </c>
    </row>
    <row r="85" spans="1:46" ht="14" customHeight="1">
      <c r="B85" s="268" t="s">
        <v>276</v>
      </c>
      <c r="C85" s="266" t="str">
        <f ca="1">'Quesiti x SI'!N$4</f>
        <v>KPI 2.1</v>
      </c>
      <c r="D85" s="263" t="str">
        <f ca="1">'Quesiti x SI'!O$4</f>
        <v>KPI 2.2</v>
      </c>
      <c r="E85" s="263" t="str">
        <f ca="1">'Quesiti x SI'!P$4</f>
        <v>KPI 2.3</v>
      </c>
      <c r="F85" s="263" t="str">
        <f ca="1">'Quesiti x SI'!Q$4</f>
        <v>KPI 2.4</v>
      </c>
      <c r="G85" s="263" t="str">
        <f ca="1">'Quesiti x SI'!R$4</f>
        <v>KPI 2.5</v>
      </c>
      <c r="H85" s="263" t="str">
        <f ca="1">'Quesiti x SI'!S$4</f>
        <v>KPI 2.6</v>
      </c>
      <c r="I85" s="263" t="str">
        <f ca="1">'Quesiti x SI'!T$4</f>
        <v>KPI 2.7</v>
      </c>
      <c r="J85" s="263" t="str">
        <f ca="1">'Quesiti x SI'!U$4</f>
        <v>KPI 2.8</v>
      </c>
      <c r="K85" s="264" t="str">
        <f ca="1">'Quesiti x SI'!V$4</f>
        <v>KPI 2.9</v>
      </c>
      <c r="L85" s="265" t="s">
        <v>393</v>
      </c>
      <c r="M85" s="267"/>
      <c r="N85" s="267"/>
      <c r="O85" s="57"/>
      <c r="AA85" s="613"/>
      <c r="AB85" s="18" t="str">
        <f>AF97</f>
        <v>KPI 3</v>
      </c>
      <c r="AC85" s="136">
        <f>$AN$99</f>
        <v>7</v>
      </c>
      <c r="AD85" s="12">
        <f>$AF$99</f>
        <v>7.0512820512820502</v>
      </c>
      <c r="AE85" s="12">
        <f>$X$99</f>
        <v>6.6515151515151505</v>
      </c>
      <c r="AF85" s="540">
        <f ca="1">$P$99</f>
        <v>7.0333333333333314</v>
      </c>
      <c r="AG85" s="515">
        <f t="shared" si="16"/>
        <v>5.1282051282050212E-2</v>
      </c>
      <c r="AH85" s="539">
        <f t="shared" si="17"/>
        <v>-0.39976689976689972</v>
      </c>
      <c r="AI85" s="516">
        <f t="shared" ca="1" si="17"/>
        <v>0.38181818181818095</v>
      </c>
      <c r="AJ85" s="547">
        <f t="shared" si="18"/>
        <v>7.3260073260071733E-3</v>
      </c>
      <c r="AK85" s="548">
        <f t="shared" si="19"/>
        <v>-5.6694214876033058E-2</v>
      </c>
      <c r="AL85" s="549">
        <f t="shared" ca="1" si="20"/>
        <v>5.7403189066059103E-2</v>
      </c>
      <c r="AN85" s="616" t="s">
        <v>173</v>
      </c>
      <c r="AO85" s="519">
        <v>4</v>
      </c>
      <c r="AP85" s="17">
        <v>4</v>
      </c>
      <c r="AQ85" s="17">
        <v>4</v>
      </c>
      <c r="AR85" s="126">
        <v>4</v>
      </c>
    </row>
    <row r="86" spans="1:46" ht="14" customHeight="1">
      <c r="B86" s="268" t="s">
        <v>320</v>
      </c>
      <c r="C86" s="336">
        <f ca="1">'Quesiti x SI'!N$51/$B$17</f>
        <v>9.1304347826086953</v>
      </c>
      <c r="D86" s="336">
        <f ca="1">'Quesiti x SI'!O$51/$B$17</f>
        <v>8.9130434782608692</v>
      </c>
      <c r="E86" s="336">
        <f ca="1">'Quesiti x SI'!P$51/$B$17</f>
        <v>6.9565217391304346</v>
      </c>
      <c r="F86" s="336">
        <f ca="1">'Quesiti x SI'!Q$51/$B$17</f>
        <v>7.7173913043478262</v>
      </c>
      <c r="G86" s="336">
        <f ca="1">'Quesiti x SI'!R$51/$B$17</f>
        <v>5.5652173913043477</v>
      </c>
      <c r="H86" s="336">
        <f ca="1">'Quesiti x SI'!S$51/$B$17</f>
        <v>7.7826086956521738</v>
      </c>
      <c r="I86" s="336">
        <f ca="1">'Quesiti x SI'!T$51/$B$17</f>
        <v>9.2173913043478262</v>
      </c>
      <c r="J86" s="336">
        <f ca="1">'Quesiti x SI'!U$51/$B$17</f>
        <v>7.3913043478260869</v>
      </c>
      <c r="K86" s="336">
        <f ca="1">'Quesiti x SI'!V$51/$B$17</f>
        <v>8.9565217391304355</v>
      </c>
      <c r="L86" s="261">
        <f ca="1">AVERAGE(C86:K86)</f>
        <v>7.9589371980676322</v>
      </c>
      <c r="M86" s="57"/>
      <c r="N86" s="57"/>
      <c r="O86" s="57"/>
      <c r="AA86" s="614"/>
      <c r="AB86" s="20" t="str">
        <f>AG97</f>
        <v>KPI 4</v>
      </c>
      <c r="AC86" s="510">
        <f>$AO$99</f>
        <v>6.1153846153846132</v>
      </c>
      <c r="AD86" s="511">
        <f>$AG$99</f>
        <v>6.2071005917159772</v>
      </c>
      <c r="AE86" s="511">
        <f>$Y$99</f>
        <v>5.0000000000000009</v>
      </c>
      <c r="AF86" s="541">
        <f ca="1">$Q$99</f>
        <v>5.7794871794871785</v>
      </c>
      <c r="AG86" s="517">
        <f t="shared" si="16"/>
        <v>9.1715976331363969E-2</v>
      </c>
      <c r="AH86" s="543">
        <f t="shared" si="17"/>
        <v>-1.2071005917159763</v>
      </c>
      <c r="AI86" s="518">
        <f t="shared" ca="1" si="17"/>
        <v>0.77948717948717761</v>
      </c>
      <c r="AJ86" s="550">
        <f t="shared" si="18"/>
        <v>1.4997581035317384E-2</v>
      </c>
      <c r="AK86" s="551">
        <f t="shared" si="19"/>
        <v>-0.1944709246901811</v>
      </c>
      <c r="AL86" s="552">
        <f t="shared" ca="1" si="20"/>
        <v>0.15589743589743549</v>
      </c>
      <c r="AN86" s="617"/>
      <c r="AO86" s="18">
        <f>AO85*2</f>
        <v>8</v>
      </c>
      <c r="AP86" s="18">
        <f>AP85*2</f>
        <v>8</v>
      </c>
      <c r="AQ86" s="18">
        <f>AQ85*2</f>
        <v>8</v>
      </c>
      <c r="AR86" s="18">
        <f>AR85*2</f>
        <v>8</v>
      </c>
    </row>
    <row r="87" spans="1:46" ht="14" customHeight="1">
      <c r="B87" s="268" t="s">
        <v>276</v>
      </c>
      <c r="C87" s="266" t="str">
        <f ca="1">'Quesiti x SI'!X$4</f>
        <v>KPI 3.1</v>
      </c>
      <c r="D87" s="263" t="str">
        <f ca="1">'Quesiti x SI'!Y$4</f>
        <v>KPI 3.2</v>
      </c>
      <c r="E87" s="263" t="str">
        <f ca="1">'Quesiti x SI'!Z$4</f>
        <v>KPI 3.3</v>
      </c>
      <c r="F87" s="263" t="str">
        <f ca="1">'Quesiti x SI'!AA$4</f>
        <v>KPI 3.4</v>
      </c>
      <c r="G87" s="263" t="str">
        <f ca="1">'Quesiti x SI'!AB$4</f>
        <v>KPI 3.5</v>
      </c>
      <c r="H87" s="263" t="str">
        <f ca="1">'Quesiti x SI'!AC$4</f>
        <v>KPI 3.6</v>
      </c>
      <c r="I87" s="263" t="str">
        <f ca="1">'Quesiti x SI'!AD$4</f>
        <v>KPI 3.7</v>
      </c>
      <c r="J87" s="263" t="str">
        <f ca="1">'Quesiti x SI'!AE$4</f>
        <v>KPI 3.8</v>
      </c>
      <c r="K87" s="264" t="str">
        <f ca="1">'Quesiti x SI'!AF$4</f>
        <v>KPI 3.9</v>
      </c>
      <c r="L87" s="265" t="s">
        <v>393</v>
      </c>
      <c r="M87" s="57"/>
      <c r="N87" s="57"/>
      <c r="O87" s="57"/>
      <c r="AA87" s="612" t="str">
        <f>AJ100</f>
        <v>Piccole</v>
      </c>
      <c r="AB87" s="17" t="str">
        <f>AL97</f>
        <v>KPI 1</v>
      </c>
      <c r="AC87" s="135">
        <f>$AL$100</f>
        <v>6.5764705882352947</v>
      </c>
      <c r="AD87" s="16">
        <f>$AD$100</f>
        <v>7.3230769230769246</v>
      </c>
      <c r="AE87" s="16">
        <f>$V$100</f>
        <v>7.5272727272727282</v>
      </c>
      <c r="AF87" s="159">
        <f ca="1">$N$100</f>
        <v>7.0888888888888895</v>
      </c>
      <c r="AG87" s="515">
        <f t="shared" si="16"/>
        <v>0.74660633484162986</v>
      </c>
      <c r="AH87" s="539">
        <f t="shared" si="17"/>
        <v>0.20419580419580363</v>
      </c>
      <c r="AI87" s="516">
        <f t="shared" ca="1" si="17"/>
        <v>-0.43838383838383876</v>
      </c>
      <c r="AJ87" s="544">
        <f t="shared" si="18"/>
        <v>0.11352690243566821</v>
      </c>
      <c r="AK87" s="545">
        <f t="shared" si="19"/>
        <v>2.7883880825057213E-2</v>
      </c>
      <c r="AL87" s="546">
        <f t="shared" ca="1" si="20"/>
        <v>-5.8239398819109008E-2</v>
      </c>
      <c r="AN87" s="617"/>
      <c r="AO87" s="18">
        <f>AO85*3</f>
        <v>12</v>
      </c>
      <c r="AP87" s="18">
        <f>AP85*3</f>
        <v>12</v>
      </c>
      <c r="AQ87" s="18">
        <f>AQ85*3</f>
        <v>12</v>
      </c>
      <c r="AR87" s="18">
        <f>AR85*3</f>
        <v>12</v>
      </c>
    </row>
    <row r="88" spans="1:46" ht="14" customHeight="1">
      <c r="B88" s="268" t="s">
        <v>321</v>
      </c>
      <c r="C88" s="336">
        <f ca="1">'Quesiti x SI'!X$51/$B$17</f>
        <v>4.3478260869565215</v>
      </c>
      <c r="D88" s="336">
        <f ca="1">'Quesiti x SI'!Y$51/$B$17</f>
        <v>5.3043478260869561</v>
      </c>
      <c r="E88" s="336">
        <f ca="1">'Quesiti x SI'!Z$51/$B$17</f>
        <v>4</v>
      </c>
      <c r="F88" s="336">
        <f ca="1">'Quesiti x SI'!AA$51/$B$17</f>
        <v>6.5217391304347823</v>
      </c>
      <c r="G88" s="336">
        <f ca="1">'Quesiti x SI'!AB$51/$B$17</f>
        <v>8.0434782608695645</v>
      </c>
      <c r="H88" s="336">
        <f ca="1">'Quesiti x SI'!AC$51/$B$17</f>
        <v>7.8260869565217392</v>
      </c>
      <c r="I88" s="336">
        <f ca="1">'Quesiti x SI'!AD$51/$B$17</f>
        <v>8.4782608695652169</v>
      </c>
      <c r="J88" s="336">
        <f ca="1">'Quesiti x SI'!AE$51/$B$17</f>
        <v>9.3478260869565215</v>
      </c>
      <c r="K88" s="336">
        <f ca="1">'Quesiti x SI'!AF$51/$B$17</f>
        <v>8</v>
      </c>
      <c r="L88" s="262">
        <f ca="1">AVERAGE(C88:K88)</f>
        <v>6.8743961352657008</v>
      </c>
      <c r="M88" s="57"/>
      <c r="N88" s="57"/>
      <c r="O88" s="57"/>
      <c r="P88" s="57"/>
      <c r="Q88" s="57"/>
      <c r="R88" s="57"/>
      <c r="V88" s="370"/>
      <c r="X88" s="44"/>
      <c r="Y88" s="44"/>
      <c r="Z88" s="44"/>
      <c r="AA88" s="613"/>
      <c r="AB88" s="18" t="str">
        <f>AM97</f>
        <v>KPI 2</v>
      </c>
      <c r="AC88" s="136">
        <f>$AM$100</f>
        <v>5.9542483660130712</v>
      </c>
      <c r="AD88" s="12">
        <f>$AE$100</f>
        <v>6.6239316239316244</v>
      </c>
      <c r="AE88" s="12">
        <f>$W$100</f>
        <v>7.424242424242423</v>
      </c>
      <c r="AF88" s="540">
        <f ca="1">$O$100</f>
        <v>6.481481481481481</v>
      </c>
      <c r="AG88" s="515">
        <f t="shared" si="16"/>
        <v>0.66968325791855321</v>
      </c>
      <c r="AH88" s="539">
        <f t="shared" si="17"/>
        <v>0.8003108003107986</v>
      </c>
      <c r="AI88" s="516">
        <f t="shared" ca="1" si="17"/>
        <v>-0.94276094276094202</v>
      </c>
      <c r="AJ88" s="547">
        <f t="shared" si="18"/>
        <v>0.11247150215317087</v>
      </c>
      <c r="AK88" s="548">
        <f t="shared" si="19"/>
        <v>0.1208211143695012</v>
      </c>
      <c r="AL88" s="549">
        <f t="shared" ca="1" si="20"/>
        <v>-0.12698412698412689</v>
      </c>
      <c r="AN88" s="618"/>
      <c r="AO88" s="20">
        <f>AO85*4</f>
        <v>16</v>
      </c>
      <c r="AP88" s="20">
        <f>AP85*4</f>
        <v>16</v>
      </c>
      <c r="AQ88" s="20">
        <f>AQ85*4</f>
        <v>16</v>
      </c>
      <c r="AR88" s="20">
        <f>AR85*4</f>
        <v>16</v>
      </c>
    </row>
    <row r="89" spans="1:46" ht="14" customHeight="1">
      <c r="B89" s="268" t="s">
        <v>276</v>
      </c>
      <c r="C89" s="266" t="str">
        <f ca="1">'Quesiti x SI'!AH$4</f>
        <v>KPI 4.1</v>
      </c>
      <c r="D89" s="263" t="str">
        <f ca="1">'Quesiti x SI'!AI$4</f>
        <v>KPI 4.2</v>
      </c>
      <c r="E89" s="263" t="str">
        <f ca="1">'Quesiti x SI'!AJ$4</f>
        <v>KPI 4.3</v>
      </c>
      <c r="F89" s="263" t="str">
        <f ca="1">'Quesiti x SI'!AK$4</f>
        <v>KPI 4.4</v>
      </c>
      <c r="G89" s="263" t="str">
        <f ca="1">'Quesiti x SI'!AL$4</f>
        <v>KPI 4.5</v>
      </c>
      <c r="H89" s="263" t="str">
        <f ca="1">'Quesiti x SI'!AM$4</f>
        <v>KPI 4.6</v>
      </c>
      <c r="I89" s="263" t="str">
        <f ca="1">'Quesiti x SI'!AN$4</f>
        <v>KPI 4.7</v>
      </c>
      <c r="J89" s="263" t="str">
        <f ca="1">'Quesiti x SI'!AO$4</f>
        <v>KPI 4.8</v>
      </c>
      <c r="K89" s="263" t="str">
        <f ca="1">'Quesiti x SI'!AP$4</f>
        <v>KPI 4.9</v>
      </c>
      <c r="L89" s="263" t="str">
        <f ca="1">'Quesiti x SI'!AQ$4</f>
        <v>KPI 4.10</v>
      </c>
      <c r="M89" s="263" t="str">
        <f ca="1">'Quesiti x SI'!AR$4</f>
        <v>KPI 4.11</v>
      </c>
      <c r="N89" s="263" t="str">
        <f ca="1">'Quesiti x SI'!AS$4</f>
        <v>KPI 4.12</v>
      </c>
      <c r="O89" s="264" t="str">
        <f ca="1">'Quesiti x SI'!AT$4</f>
        <v>KPI 4.13</v>
      </c>
      <c r="P89" s="265" t="s">
        <v>393</v>
      </c>
      <c r="Q89" s="337" t="s">
        <v>122</v>
      </c>
      <c r="R89" s="337" t="s">
        <v>121</v>
      </c>
      <c r="X89" s="44"/>
      <c r="Y89" s="44"/>
      <c r="Z89" s="44"/>
      <c r="AA89" s="613"/>
      <c r="AB89" s="18" t="str">
        <f>AN97</f>
        <v>KPI 3</v>
      </c>
      <c r="AC89" s="136">
        <f>$AN$100</f>
        <v>5.6601307189542496</v>
      </c>
      <c r="AD89" s="12">
        <f>$AF$100</f>
        <v>6.0512820512820529</v>
      </c>
      <c r="AE89" s="12">
        <f>$X$100</f>
        <v>4.7777777777777777</v>
      </c>
      <c r="AF89" s="540">
        <f ca="1">$P$100</f>
        <v>6.3086419753086425</v>
      </c>
      <c r="AG89" s="515">
        <f t="shared" si="16"/>
        <v>0.3911513323278033</v>
      </c>
      <c r="AH89" s="539">
        <f t="shared" si="17"/>
        <v>-1.2735042735042752</v>
      </c>
      <c r="AI89" s="516">
        <f t="shared" ca="1" si="17"/>
        <v>1.5308641975308648</v>
      </c>
      <c r="AJ89" s="547">
        <f t="shared" si="18"/>
        <v>6.9106413217267779E-2</v>
      </c>
      <c r="AK89" s="548">
        <f t="shared" si="19"/>
        <v>-0.21045197740113017</v>
      </c>
      <c r="AL89" s="549">
        <f t="shared" ca="1" si="20"/>
        <v>0.3204134366925066</v>
      </c>
    </row>
    <row r="90" spans="1:46" ht="14" customHeight="1">
      <c r="B90" s="268" t="s">
        <v>322</v>
      </c>
      <c r="C90" s="336">
        <f ca="1">'Quesiti x SI'!AH$51/$B$17</f>
        <v>5.4347826086956523</v>
      </c>
      <c r="D90" s="336">
        <f ca="1">'Quesiti x SI'!AI$51/$B$17</f>
        <v>6.3043478260869561</v>
      </c>
      <c r="E90" s="336">
        <f ca="1">'Quesiti x SI'!AJ$51/$B$17</f>
        <v>4.3478260869565215</v>
      </c>
      <c r="F90" s="336">
        <f ca="1">'Quesiti x SI'!AK$51/$B$17</f>
        <v>6.9565217391304346</v>
      </c>
      <c r="G90" s="336">
        <f ca="1">'Quesiti x SI'!AL$51/$B$17</f>
        <v>6.5217391304347823</v>
      </c>
      <c r="H90" s="336">
        <f ca="1">'Quesiti x SI'!AM$51/$B$17</f>
        <v>7.6086956521739131</v>
      </c>
      <c r="I90" s="336">
        <f ca="1">'Quesiti x SI'!AN$51/$B$17</f>
        <v>7.8260869565217392</v>
      </c>
      <c r="J90" s="336">
        <f ca="1">'Quesiti x SI'!AO$51/$B$17</f>
        <v>7.5217391304347823</v>
      </c>
      <c r="K90" s="336">
        <f ca="1">'Quesiti x SI'!AP$51/$B$17</f>
        <v>8.0434782608695645</v>
      </c>
      <c r="L90" s="336">
        <f ca="1">'Quesiti x SI'!AQ$51/$B$17</f>
        <v>2.7826086956521738</v>
      </c>
      <c r="M90" s="336">
        <f ca="1">'Quesiti x SI'!AR$51/$B$17</f>
        <v>5.7391304347826084</v>
      </c>
      <c r="N90" s="336">
        <f ca="1">'Quesiti x SI'!AS$51/$B$17</f>
        <v>6.7391304347826084</v>
      </c>
      <c r="O90" s="336">
        <f ca="1">'Quesiti x SI'!AT$51/$B$17</f>
        <v>3.9130434782608696</v>
      </c>
      <c r="P90" s="261">
        <f ca="1">AVERAGE(C90:O90)</f>
        <v>6.1337792642140467</v>
      </c>
      <c r="Q90" s="57">
        <v>4</v>
      </c>
      <c r="R90" s="57">
        <v>7.5</v>
      </c>
      <c r="X90" s="138"/>
      <c r="Y90" s="562">
        <v>2005</v>
      </c>
      <c r="Z90" s="563">
        <v>2006</v>
      </c>
      <c r="AA90" s="614"/>
      <c r="AB90" s="20" t="str">
        <f>AO97</f>
        <v>KPI 4</v>
      </c>
      <c r="AC90" s="510">
        <f>$AO$100</f>
        <v>4.4615384615384617</v>
      </c>
      <c r="AD90" s="511">
        <f>$AG$100</f>
        <v>5.1715976331360958</v>
      </c>
      <c r="AE90" s="511">
        <f>$Y$100</f>
        <v>5.104895104895105</v>
      </c>
      <c r="AF90" s="541">
        <f ca="1">$Q$100</f>
        <v>6.5811965811965827</v>
      </c>
      <c r="AG90" s="517">
        <f t="shared" si="16"/>
        <v>0.7100591715976341</v>
      </c>
      <c r="AH90" s="543">
        <f t="shared" si="17"/>
        <v>-6.6702528240990766E-2</v>
      </c>
      <c r="AI90" s="518">
        <f t="shared" ca="1" si="17"/>
        <v>1.4763014763014777</v>
      </c>
      <c r="AJ90" s="550">
        <f t="shared" si="18"/>
        <v>0.15915119363395247</v>
      </c>
      <c r="AK90" s="551">
        <f t="shared" si="19"/>
        <v>-1.2897857291450156E-2</v>
      </c>
      <c r="AL90" s="552">
        <f t="shared" ca="1" si="20"/>
        <v>0.28919330289193329</v>
      </c>
    </row>
    <row r="91" spans="1:46" ht="14" customHeight="1">
      <c r="A91" s="111"/>
      <c r="B91" s="61"/>
      <c r="C91" s="61"/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56"/>
      <c r="Q91" s="56"/>
      <c r="R91" s="56"/>
      <c r="X91" s="138"/>
      <c r="Y91" s="554">
        <v>4.9000000000000004</v>
      </c>
      <c r="Z91" s="555">
        <v>7.33</v>
      </c>
      <c r="AA91" s="612" t="s">
        <v>507</v>
      </c>
      <c r="AB91" s="126" t="s">
        <v>319</v>
      </c>
      <c r="AC91" s="564">
        <f>AL102</f>
        <v>7.322183317771553</v>
      </c>
      <c r="AD91" s="565">
        <f>AD102</f>
        <v>7.3133699633699649</v>
      </c>
      <c r="AE91" s="16">
        <f>V102</f>
        <v>7.7166666666666677</v>
      </c>
      <c r="AF91" s="159">
        <f ca="1">N102</f>
        <v>7.7185185185185183</v>
      </c>
      <c r="AG91" s="515">
        <f t="shared" si="16"/>
        <v>-8.8133544015880361E-3</v>
      </c>
      <c r="AH91" s="539">
        <f t="shared" ref="AH91:AH94" si="21">AE91-AD91</f>
        <v>0.40329670329670275</v>
      </c>
      <c r="AI91" s="516">
        <f t="shared" ref="AI91:AI94" ca="1" si="22">AF91-AE91</f>
        <v>1.851851851850661E-3</v>
      </c>
      <c r="AJ91" s="544">
        <f t="shared" ref="AJ91:AJ94" si="23">AG91/AC91</f>
        <v>-1.2036511541847479E-3</v>
      </c>
      <c r="AK91" s="545">
        <f t="shared" ref="AK91:AK94" si="24">AH91/AD91</f>
        <v>5.5145125341213505E-2</v>
      </c>
      <c r="AL91" s="546">
        <f t="shared" ref="AL91:AL94" ca="1" si="25">AI91/AE91</f>
        <v>2.3998080153572279E-4</v>
      </c>
      <c r="AO91" s="374"/>
    </row>
    <row r="92" spans="1:46" ht="14" customHeight="1">
      <c r="X92" s="138"/>
      <c r="Y92" s="556">
        <v>5.9</v>
      </c>
      <c r="Z92" s="557">
        <v>7.08</v>
      </c>
      <c r="AA92" s="613"/>
      <c r="AB92" s="19" t="s">
        <v>320</v>
      </c>
      <c r="AC92" s="566">
        <f>AM102</f>
        <v>7.4990057751495662</v>
      </c>
      <c r="AD92" s="373">
        <f>AE102</f>
        <v>7.7049247049247045</v>
      </c>
      <c r="AE92" s="12">
        <f>W102</f>
        <v>8.2096894874672639</v>
      </c>
      <c r="AF92" s="540">
        <f ca="1">O102</f>
        <v>7.8493827160493828</v>
      </c>
      <c r="AG92" s="515">
        <f t="shared" si="16"/>
        <v>0.20591892977513826</v>
      </c>
      <c r="AH92" s="539">
        <f t="shared" si="21"/>
        <v>0.50476478254255941</v>
      </c>
      <c r="AI92" s="516">
        <f t="shared" ca="1" si="22"/>
        <v>-0.36030677141788114</v>
      </c>
      <c r="AJ92" s="547">
        <f t="shared" si="23"/>
        <v>2.7459497425314523E-2</v>
      </c>
      <c r="AK92" s="548">
        <f t="shared" si="24"/>
        <v>6.5511968237656149E-2</v>
      </c>
      <c r="AL92" s="549">
        <f t="shared" ca="1" si="25"/>
        <v>-4.3887990156986779E-2</v>
      </c>
      <c r="AO92" s="374"/>
    </row>
    <row r="93" spans="1:46" ht="14" customHeight="1">
      <c r="X93" s="138"/>
      <c r="Y93" s="558">
        <v>6.8</v>
      </c>
      <c r="Z93" s="559">
        <v>5.47</v>
      </c>
      <c r="AA93" s="613"/>
      <c r="AB93" s="19" t="s">
        <v>321</v>
      </c>
      <c r="AC93" s="566">
        <f>AN102</f>
        <v>6.8496732026143796</v>
      </c>
      <c r="AD93" s="375">
        <f>AF102</f>
        <v>6.8595848595848592</v>
      </c>
      <c r="AE93" s="12">
        <f>X102</f>
        <v>6.60811821922933</v>
      </c>
      <c r="AF93" s="540">
        <f ca="1">P102</f>
        <v>7.1263374485596698</v>
      </c>
      <c r="AG93" s="515">
        <f t="shared" si="16"/>
        <v>9.9116569704795765E-3</v>
      </c>
      <c r="AH93" s="539">
        <f t="shared" si="21"/>
        <v>-0.25146664035552924</v>
      </c>
      <c r="AI93" s="516">
        <f t="shared" ca="1" si="22"/>
        <v>0.51821922933033981</v>
      </c>
      <c r="AJ93" s="547">
        <f t="shared" si="23"/>
        <v>1.4470262561864266E-3</v>
      </c>
      <c r="AK93" s="548">
        <f t="shared" si="24"/>
        <v>-3.6659163127657254E-2</v>
      </c>
      <c r="AL93" s="549">
        <f t="shared" ca="1" si="25"/>
        <v>7.8421603872392137E-2</v>
      </c>
      <c r="AO93" s="374"/>
    </row>
    <row r="94" spans="1:46">
      <c r="X94" s="138"/>
      <c r="Y94" s="560">
        <v>4.6500000000000004</v>
      </c>
      <c r="Z94" s="561">
        <v>5.41</v>
      </c>
      <c r="AA94" s="614"/>
      <c r="AB94" s="127" t="s">
        <v>322</v>
      </c>
      <c r="AC94" s="567">
        <f>AO102</f>
        <v>6.0669515669515661</v>
      </c>
      <c r="AD94" s="568">
        <f>AG102</f>
        <v>6.3789799943646104</v>
      </c>
      <c r="AE94" s="511">
        <f>Y102</f>
        <v>6.0520590520590529</v>
      </c>
      <c r="AF94" s="541">
        <f ca="1">Q102</f>
        <v>6.863817663817664</v>
      </c>
      <c r="AG94" s="517">
        <f t="shared" si="16"/>
        <v>0.31202842741304426</v>
      </c>
      <c r="AH94" s="543">
        <f t="shared" si="21"/>
        <v>-0.32692094230555746</v>
      </c>
      <c r="AI94" s="518">
        <f t="shared" ca="1" si="22"/>
        <v>0.81175861175861108</v>
      </c>
      <c r="AJ94" s="550">
        <f t="shared" si="23"/>
        <v>5.1430841992006836E-2</v>
      </c>
      <c r="AK94" s="551">
        <f t="shared" si="24"/>
        <v>-5.1249720581404805E-2</v>
      </c>
      <c r="AL94" s="552">
        <f t="shared" ca="1" si="25"/>
        <v>0.13412932768434102</v>
      </c>
      <c r="AO94" s="374"/>
    </row>
    <row r="95" spans="1:46">
      <c r="X95" s="138"/>
      <c r="Y95" s="138"/>
    </row>
    <row r="96" spans="1:46" ht="12.75" customHeight="1">
      <c r="A96" s="18"/>
      <c r="B96" s="622"/>
      <c r="C96" s="623"/>
      <c r="D96" s="623"/>
      <c r="E96" s="624"/>
      <c r="F96" s="623"/>
      <c r="G96" s="623"/>
      <c r="H96" s="626"/>
      <c r="I96" s="623"/>
      <c r="J96" s="623"/>
      <c r="K96" s="524"/>
      <c r="L96" s="625">
        <v>2010</v>
      </c>
      <c r="M96" s="625"/>
      <c r="N96" s="625"/>
      <c r="O96" s="625"/>
      <c r="P96" s="625"/>
      <c r="Q96" s="625"/>
      <c r="R96" s="625"/>
      <c r="S96" s="525"/>
      <c r="T96" s="625">
        <v>2009</v>
      </c>
      <c r="U96" s="625"/>
      <c r="V96" s="625"/>
      <c r="W96" s="625"/>
      <c r="X96" s="625"/>
      <c r="Y96" s="625"/>
      <c r="Z96" s="625"/>
      <c r="AA96" s="18"/>
      <c r="AB96" s="625">
        <v>2008</v>
      </c>
      <c r="AC96" s="625"/>
      <c r="AD96" s="625"/>
      <c r="AE96" s="625"/>
      <c r="AF96" s="625"/>
      <c r="AG96" s="625"/>
      <c r="AH96" s="625"/>
      <c r="AJ96" s="625">
        <v>2007</v>
      </c>
      <c r="AK96" s="625"/>
      <c r="AL96" s="625"/>
      <c r="AM96" s="625"/>
      <c r="AN96" s="625"/>
      <c r="AO96" s="625"/>
      <c r="AP96" s="625"/>
      <c r="AT96" s="18"/>
    </row>
    <row r="97" spans="1:57" ht="18" customHeight="1">
      <c r="A97" s="161" t="s">
        <v>176</v>
      </c>
      <c r="B97" s="162" t="s">
        <v>276</v>
      </c>
      <c r="C97" s="162" t="s">
        <v>175</v>
      </c>
      <c r="D97" s="162" t="s">
        <v>174</v>
      </c>
      <c r="E97" s="162" t="s">
        <v>319</v>
      </c>
      <c r="F97" s="162" t="s">
        <v>320</v>
      </c>
      <c r="G97" s="162" t="s">
        <v>321</v>
      </c>
      <c r="H97" s="309" t="s">
        <v>322</v>
      </c>
      <c r="I97" s="12"/>
      <c r="J97" s="368" t="s">
        <v>369</v>
      </c>
      <c r="K97" s="310">
        <v>97</v>
      </c>
      <c r="L97" s="322" t="s">
        <v>43</v>
      </c>
      <c r="M97" s="323" t="s">
        <v>180</v>
      </c>
      <c r="N97" s="161" t="s">
        <v>130</v>
      </c>
      <c r="O97" s="162" t="s">
        <v>131</v>
      </c>
      <c r="P97" s="162" t="s">
        <v>5</v>
      </c>
      <c r="Q97" s="309" t="s">
        <v>6</v>
      </c>
      <c r="R97" s="291" t="s">
        <v>174</v>
      </c>
      <c r="S97" s="524"/>
      <c r="T97" s="322" t="s">
        <v>43</v>
      </c>
      <c r="U97" s="401" t="s">
        <v>180</v>
      </c>
      <c r="V97" s="161" t="s">
        <v>130</v>
      </c>
      <c r="W97" s="162" t="s">
        <v>131</v>
      </c>
      <c r="X97" s="162" t="s">
        <v>5</v>
      </c>
      <c r="Y97" s="309" t="s">
        <v>6</v>
      </c>
      <c r="Z97" s="291" t="s">
        <v>174</v>
      </c>
      <c r="AA97" s="290"/>
      <c r="AB97" s="322" t="s">
        <v>43</v>
      </c>
      <c r="AC97" s="401" t="s">
        <v>180</v>
      </c>
      <c r="AD97" s="161" t="s">
        <v>130</v>
      </c>
      <c r="AE97" s="162" t="s">
        <v>131</v>
      </c>
      <c r="AF97" s="162" t="s">
        <v>5</v>
      </c>
      <c r="AG97" s="309" t="s">
        <v>6</v>
      </c>
      <c r="AH97" s="291" t="s">
        <v>174</v>
      </c>
      <c r="AJ97" s="322" t="s">
        <v>43</v>
      </c>
      <c r="AK97" s="401" t="s">
        <v>180</v>
      </c>
      <c r="AL97" s="161" t="s">
        <v>130</v>
      </c>
      <c r="AM97" s="162" t="s">
        <v>131</v>
      </c>
      <c r="AN97" s="162" t="s">
        <v>5</v>
      </c>
      <c r="AO97" s="309" t="s">
        <v>6</v>
      </c>
      <c r="AP97" s="291" t="s">
        <v>174</v>
      </c>
      <c r="AS97" s="134"/>
      <c r="AT97" s="134">
        <v>2007</v>
      </c>
      <c r="AU97" s="615">
        <v>2008</v>
      </c>
      <c r="AV97" s="615"/>
      <c r="AW97" s="615">
        <v>2009</v>
      </c>
      <c r="AX97" s="615"/>
    </row>
    <row r="98" spans="1:57">
      <c r="A98" s="505" t="str">
        <f ca="1">A32</f>
        <v>Avvocatura Generale dello Stato</v>
      </c>
      <c r="B98" s="506">
        <f ca="1">B$40</f>
        <v>7</v>
      </c>
      <c r="C98" s="506">
        <f ca="1">C$40</f>
        <v>221631</v>
      </c>
      <c r="D98" s="507">
        <f ca="1">D$40</f>
        <v>7.2926829268292686</v>
      </c>
      <c r="E98" s="507">
        <f ca="1">G$40</f>
        <v>7.8</v>
      </c>
      <c r="F98" s="507">
        <f ca="1">J$40</f>
        <v>7.4444444444444446</v>
      </c>
      <c r="G98" s="507">
        <f ca="1">M$40</f>
        <v>4.666666666666667</v>
      </c>
      <c r="H98" s="508">
        <f ca="1">P$40</f>
        <v>8.615384615384615</v>
      </c>
      <c r="I98" s="18"/>
      <c r="J98" s="139"/>
      <c r="K98" s="311">
        <v>103</v>
      </c>
      <c r="L98" s="15" t="s">
        <v>177</v>
      </c>
      <c r="M98" s="324">
        <f>K98-K97</f>
        <v>6</v>
      </c>
      <c r="N98" s="135">
        <f ca="1">AVERAGE(INDIRECT("E"&amp;TEXT($K97+1, "0")&amp;":E"&amp;TEXT($K98,"0")))</f>
        <v>8.5</v>
      </c>
      <c r="O98" s="16">
        <f ca="1">AVERAGE(INDIRECT("F"&amp;TEXT($K97+1, "0")&amp;":F"&amp;TEXT($K98,"0")))</f>
        <v>8.5555555555555554</v>
      </c>
      <c r="P98" s="16">
        <f ca="1">AVERAGE(INDIRECT("G"&amp;TEXT($K97+1, "0")&amp;":G"&amp;TEXT($K98,"0")))</f>
        <v>8.0370370370370363</v>
      </c>
      <c r="Q98" s="159">
        <f ca="1">AVERAGE(INDIRECT("H"&amp;TEXT($K97+1, "0")&amp;":H"&amp;TEXT($K98,"0")))</f>
        <v>8.2307692307692317</v>
      </c>
      <c r="R98" s="331">
        <f ca="1">AVERAGE(INDIRECT("D"&amp;TEXT($K97+1, "0")&amp;":D"&amp;TEXT($K98,"0")))</f>
        <v>8.3252032520325212</v>
      </c>
      <c r="S98" s="370"/>
      <c r="T98" s="15" t="s">
        <v>177</v>
      </c>
      <c r="U98" s="324">
        <v>9</v>
      </c>
      <c r="V98" s="135">
        <v>8.4</v>
      </c>
      <c r="W98" s="16">
        <v>8.7654320987654319</v>
      </c>
      <c r="X98" s="16">
        <v>8.3950617283950635</v>
      </c>
      <c r="Y98" s="159">
        <v>8.0512820512820511</v>
      </c>
      <c r="Z98" s="396">
        <v>8.3685636856368557</v>
      </c>
      <c r="AA98" s="18"/>
      <c r="AB98" s="15" t="s">
        <v>177</v>
      </c>
      <c r="AC98" s="324">
        <v>7</v>
      </c>
      <c r="AD98" s="261">
        <v>7.3285714285714292</v>
      </c>
      <c r="AE98" s="261">
        <v>8.2857142857142865</v>
      </c>
      <c r="AF98" s="261">
        <v>7.4761904761904754</v>
      </c>
      <c r="AG98" s="261">
        <v>7.7582417582417582</v>
      </c>
      <c r="AH98" s="396">
        <v>7.7073170731707323</v>
      </c>
      <c r="AJ98" s="15" t="s">
        <v>177</v>
      </c>
      <c r="AK98" s="324">
        <v>9</v>
      </c>
      <c r="AL98" s="135">
        <v>8.4222222222222243</v>
      </c>
      <c r="AM98" s="135">
        <v>8.5308641975308639</v>
      </c>
      <c r="AN98" s="135">
        <v>7.8888888888888893</v>
      </c>
      <c r="AO98" s="135">
        <v>7.6239316239316235</v>
      </c>
      <c r="AP98" s="262">
        <v>8.0758807588075889</v>
      </c>
      <c r="AS98" s="134" t="s">
        <v>177</v>
      </c>
      <c r="AT98" s="261">
        <v>7.6239316239316235</v>
      </c>
      <c r="AU98" s="261">
        <v>7.7582417582417582</v>
      </c>
      <c r="AV98" s="522">
        <f>(AU98-AT98)/AT98</f>
        <v>1.7616912235746372E-2</v>
      </c>
      <c r="AW98" s="261">
        <f ca="1">AVERAGE(INDIRECT("H"&amp;TEXT($K97+1, "0")&amp;":H"&amp;TEXT($K98,"0")))</f>
        <v>8.2307692307692317</v>
      </c>
      <c r="AX98" s="522">
        <f ca="1">(AW98-AU98)/AU98</f>
        <v>6.0906515580736668E-2</v>
      </c>
    </row>
    <row r="99" spans="1:57">
      <c r="A99" s="306" t="str">
        <f ca="1">A$49</f>
        <v xml:space="preserve">Ministero dell'interno                                                                              </v>
      </c>
      <c r="B99" s="366">
        <f ca="1">B$49</f>
        <v>110</v>
      </c>
      <c r="C99" s="366">
        <f ca="1">C$49</f>
        <v>159971</v>
      </c>
      <c r="D99" s="307">
        <f ca="1">D$49</f>
        <v>9.3658536585365848</v>
      </c>
      <c r="E99" s="307">
        <f ca="1">G$49</f>
        <v>9.1999999999999993</v>
      </c>
      <c r="F99" s="307">
        <f ca="1">J$49</f>
        <v>9.5555555555555554</v>
      </c>
      <c r="G99" s="307">
        <f ca="1">M$49</f>
        <v>9.1111111111111107</v>
      </c>
      <c r="H99" s="308">
        <f ca="1">P$49</f>
        <v>9.5384615384615383</v>
      </c>
      <c r="I99" s="18"/>
      <c r="J99" s="139"/>
      <c r="K99" s="311">
        <v>133</v>
      </c>
      <c r="L99" s="11" t="s">
        <v>178</v>
      </c>
      <c r="M99" s="325">
        <f>K99-K98</f>
        <v>30</v>
      </c>
      <c r="N99" s="135">
        <f ca="1">AVERAGE(INDIRECT("E"&amp;TEXT($K98+1, "0")&amp;":E"&amp;TEXT($K99,"0")))</f>
        <v>7.5666666666666655</v>
      </c>
      <c r="O99" s="16">
        <f ca="1">AVERAGE(INDIRECT("F"&amp;TEXT($K98+1, "0")&amp;":F"&amp;TEXT($K99,"0")))</f>
        <v>8.5111111111111111</v>
      </c>
      <c r="P99" s="16">
        <f ca="1">AVERAGE(INDIRECT("G"&amp;TEXT($K98+1, "0")&amp;":G"&amp;TEXT($K99,"0")))</f>
        <v>7.0333333333333314</v>
      </c>
      <c r="Q99" s="159">
        <f ca="1">AVERAGE(INDIRECT("H"&amp;TEXT($K98+1, "0")&amp;":H"&amp;TEXT($K99,"0")))</f>
        <v>5.7794871794871785</v>
      </c>
      <c r="R99" s="331">
        <f ca="1">AVERAGE(INDIRECT("D"&amp;TEXT($K98+1, "0")&amp;":D"&amp;TEXT($K99,"0")))</f>
        <v>7.090243902439024</v>
      </c>
      <c r="S99" s="370"/>
      <c r="T99" s="11" t="s">
        <v>178</v>
      </c>
      <c r="U99" s="325">
        <v>22</v>
      </c>
      <c r="V99" s="135">
        <v>7.2227272727272727</v>
      </c>
      <c r="W99" s="16">
        <v>8.4393939393939394</v>
      </c>
      <c r="X99" s="16">
        <v>6.6515151515151505</v>
      </c>
      <c r="Y99" s="159">
        <v>5.0000000000000009</v>
      </c>
      <c r="Z99" s="396">
        <v>6.6596452328159623</v>
      </c>
      <c r="AA99" s="18"/>
      <c r="AB99" s="11" t="s">
        <v>178</v>
      </c>
      <c r="AC99" s="325">
        <v>26</v>
      </c>
      <c r="AD99" s="261">
        <v>7.2884615384615392</v>
      </c>
      <c r="AE99" s="261">
        <v>8.2051282051282026</v>
      </c>
      <c r="AF99" s="261">
        <v>7.0512820512820502</v>
      </c>
      <c r="AG99" s="261">
        <v>6.2071005917159772</v>
      </c>
      <c r="AH99" s="402">
        <v>7.0947467166979346</v>
      </c>
      <c r="AJ99" s="11" t="s">
        <v>178</v>
      </c>
      <c r="AK99" s="325">
        <v>28</v>
      </c>
      <c r="AL99" s="135">
        <v>6.9678571428571399</v>
      </c>
      <c r="AM99" s="135">
        <v>8.0119047619047628</v>
      </c>
      <c r="AN99" s="135">
        <v>7</v>
      </c>
      <c r="AO99" s="135">
        <v>6.1153846153846132</v>
      </c>
      <c r="AP99" s="262">
        <v>6.9337979094076676</v>
      </c>
      <c r="AS99" s="134" t="s">
        <v>178</v>
      </c>
      <c r="AT99" s="261">
        <v>6.1153846153846132</v>
      </c>
      <c r="AU99" s="261">
        <v>6.2071005917159772</v>
      </c>
      <c r="AV99" s="522">
        <f>(AU99-AT99)/AT99</f>
        <v>1.4997581035317384E-2</v>
      </c>
      <c r="AW99" s="261">
        <f ca="1">AVERAGE(INDIRECT("H"&amp;TEXT($K98+1, "0")&amp;":H"&amp;TEXT($K99,"0")))</f>
        <v>5.7794871794871785</v>
      </c>
      <c r="AX99" s="522">
        <f ca="1">(AW99-AU99)/AU99</f>
        <v>-6.8891007308548108E-2</v>
      </c>
    </row>
    <row r="100" spans="1:57">
      <c r="A100" s="377" t="str">
        <f ca="1">A$45</f>
        <v xml:space="preserve">Arma dei Carabinieri                                 </v>
      </c>
      <c r="B100" s="378">
        <f ca="1">B$45</f>
        <v>52</v>
      </c>
      <c r="C100" s="378">
        <f ca="1">C$45</f>
        <v>110070</v>
      </c>
      <c r="D100" s="379">
        <f ca="1">D$45</f>
        <v>8.4390243902439028</v>
      </c>
      <c r="E100" s="379">
        <f ca="1">G$45</f>
        <v>7.9</v>
      </c>
      <c r="F100" s="379">
        <f ca="1">J$45</f>
        <v>6.5555555555555554</v>
      </c>
      <c r="G100" s="379">
        <f ca="1">M$45</f>
        <v>9.1111111111111107</v>
      </c>
      <c r="H100" s="380">
        <f ca="1">P$45</f>
        <v>9.6923076923076916</v>
      </c>
      <c r="I100" s="18"/>
      <c r="J100" s="139"/>
      <c r="K100" s="311">
        <v>142</v>
      </c>
      <c r="L100" s="11" t="s">
        <v>179</v>
      </c>
      <c r="M100" s="325">
        <f>K100-K99</f>
        <v>9</v>
      </c>
      <c r="N100" s="135">
        <f ca="1">AVERAGE(INDIRECT("E"&amp;TEXT($K99+1, "0")&amp;":E"&amp;TEXT($K100,"0")))</f>
        <v>7.0888888888888895</v>
      </c>
      <c r="O100" s="16">
        <f ca="1">AVERAGE(INDIRECT("F"&amp;TEXT($K99+1, "0")&amp;":F"&amp;TEXT($K100,"0")))</f>
        <v>6.481481481481481</v>
      </c>
      <c r="P100" s="16">
        <f ca="1">AVERAGE(INDIRECT("G"&amp;TEXT($K99+1, "0")&amp;":G"&amp;TEXT($K100,"0")))</f>
        <v>6.3086419753086425</v>
      </c>
      <c r="Q100" s="159">
        <f ca="1">AVERAGE(INDIRECT("H"&amp;TEXT($K99+1, "0")&amp;":H"&amp;TEXT($K100,"0")))</f>
        <v>6.5811965811965827</v>
      </c>
      <c r="R100" s="331">
        <f ca="1">AVERAGE(INDIRECT("D"&amp;TEXT($K99+1, "0")&amp;":D"&amp;TEXT($K100,"0")))</f>
        <v>6.6233062330623307</v>
      </c>
      <c r="S100" s="370"/>
      <c r="T100" s="11" t="s">
        <v>179</v>
      </c>
      <c r="U100" s="325">
        <v>11</v>
      </c>
      <c r="V100" s="135">
        <v>7.5272727272727282</v>
      </c>
      <c r="W100" s="16">
        <v>7.424242424242423</v>
      </c>
      <c r="X100" s="16">
        <v>4.7777777777777777</v>
      </c>
      <c r="Y100" s="159">
        <v>5.104895104895105</v>
      </c>
      <c r="Z100" s="396">
        <v>6.1330376940133045</v>
      </c>
      <c r="AA100" s="18"/>
      <c r="AB100" s="11" t="s">
        <v>179</v>
      </c>
      <c r="AC100" s="325">
        <v>13</v>
      </c>
      <c r="AD100" s="261">
        <v>7.3230769230769246</v>
      </c>
      <c r="AE100" s="261">
        <v>6.6239316239316244</v>
      </c>
      <c r="AF100" s="261">
        <v>6.0512820512820529</v>
      </c>
      <c r="AG100" s="261">
        <v>5.1715976331360958</v>
      </c>
      <c r="AH100" s="402">
        <v>6.2082551594746711</v>
      </c>
      <c r="AJ100" s="11" t="s">
        <v>179</v>
      </c>
      <c r="AK100" s="325">
        <v>17</v>
      </c>
      <c r="AL100" s="135">
        <v>6.5764705882352947</v>
      </c>
      <c r="AM100" s="135">
        <v>5.9542483660130712</v>
      </c>
      <c r="AN100" s="135">
        <v>5.6601307189542496</v>
      </c>
      <c r="AO100" s="135">
        <v>4.4615384615384617</v>
      </c>
      <c r="AP100" s="262">
        <v>5.5681492109038739</v>
      </c>
      <c r="AS100" s="134" t="s">
        <v>179</v>
      </c>
      <c r="AT100" s="261">
        <v>4.4615384615384617</v>
      </c>
      <c r="AU100" s="261">
        <v>5.1715976331360958</v>
      </c>
      <c r="AV100" s="522">
        <f>(AU100-AT100)/AT100</f>
        <v>0.15915119363395247</v>
      </c>
      <c r="AW100" s="261">
        <f ca="1">AVERAGE(INDIRECT("H"&amp;TEXT($K99+1, "0")&amp;":H"&amp;TEXT($K100,"0")))</f>
        <v>6.5811965811965827</v>
      </c>
      <c r="AX100" s="522">
        <f ca="1">(AW100-AU100)/AU100</f>
        <v>0.27256547165013983</v>
      </c>
    </row>
    <row r="101" spans="1:57">
      <c r="A101" s="377" t="str">
        <f ca="1">A$48</f>
        <v xml:space="preserve">Ministero della giustizia                             </v>
      </c>
      <c r="B101" s="378">
        <f ca="1">B$48</f>
        <v>11</v>
      </c>
      <c r="C101" s="378">
        <f ca="1">C$48</f>
        <v>92515</v>
      </c>
      <c r="D101" s="379">
        <f ca="1">D$48</f>
        <v>7.7560975609756095</v>
      </c>
      <c r="E101" s="379">
        <f ca="1">G$48</f>
        <v>8.8000000000000007</v>
      </c>
      <c r="F101" s="379">
        <f ca="1">J$48</f>
        <v>10</v>
      </c>
      <c r="G101" s="379">
        <f ca="1">M$48</f>
        <v>8</v>
      </c>
      <c r="H101" s="380">
        <f ca="1">P$48</f>
        <v>5.2307692307692308</v>
      </c>
      <c r="I101" s="138"/>
      <c r="J101" s="138"/>
      <c r="K101" s="321">
        <v>143</v>
      </c>
      <c r="L101" s="303" t="s">
        <v>44</v>
      </c>
      <c r="M101" s="326">
        <f>K101-K100</f>
        <v>1</v>
      </c>
      <c r="N101" s="397">
        <f ca="1">AVERAGE(INDIRECT("E"&amp;TEXT($K100+1, "0")&amp;":E"&amp;TEXT($K101,"0")))</f>
        <v>0</v>
      </c>
      <c r="O101" s="398">
        <f ca="1">AVERAGE(INDIRECT("F"&amp;TEXT($K100+1, "0")&amp;":F"&amp;TEXT($K101,"0")))</f>
        <v>1.1111111111111112</v>
      </c>
      <c r="P101" s="398">
        <f ca="1">AVERAGE(INDIRECT("G"&amp;TEXT($K100+1, "0")&amp;":G"&amp;TEXT($K101,"0")))</f>
        <v>0.22222222222222221</v>
      </c>
      <c r="Q101" s="399">
        <f ca="1">AVERAGE(INDIRECT("H"&amp;TEXT($K100+1, "0")&amp;":H"&amp;TEXT($K101,"0")))</f>
        <v>0.15384615384615385</v>
      </c>
      <c r="R101" s="400">
        <f ca="1">AVERAGE(INDIRECT("D"&amp;TEXT($K100+1, "0")&amp;":D"&amp;TEXT($K101,"0")))</f>
        <v>0.34146341463414637</v>
      </c>
      <c r="S101" s="534"/>
      <c r="T101" s="303" t="s">
        <v>44</v>
      </c>
      <c r="U101" s="326">
        <v>4</v>
      </c>
      <c r="V101" s="397">
        <v>0.875</v>
      </c>
      <c r="W101" s="398">
        <v>2</v>
      </c>
      <c r="X101" s="398">
        <v>1.0277777777777777</v>
      </c>
      <c r="Y101" s="399">
        <v>0.11538461538461539</v>
      </c>
      <c r="Z101" s="535">
        <v>0.91463414634146345</v>
      </c>
      <c r="AA101" s="18"/>
      <c r="AB101" s="303" t="s">
        <v>44</v>
      </c>
      <c r="AC101" s="326">
        <v>10</v>
      </c>
      <c r="AD101" s="509">
        <v>3.35</v>
      </c>
      <c r="AE101" s="509">
        <v>3.4</v>
      </c>
      <c r="AF101" s="509">
        <v>2.7</v>
      </c>
      <c r="AG101" s="509">
        <v>1.2153846153846153</v>
      </c>
      <c r="AH101" s="403">
        <v>2.5414634146341464</v>
      </c>
      <c r="AJ101" s="303" t="s">
        <v>44</v>
      </c>
      <c r="AK101" s="326">
        <v>7</v>
      </c>
      <c r="AL101" s="397">
        <v>1.4857142857142858</v>
      </c>
      <c r="AM101" s="397">
        <v>3.0634920634920633</v>
      </c>
      <c r="AN101" s="397">
        <v>2.5714285714285716</v>
      </c>
      <c r="AO101" s="397">
        <v>1.2087912087912087</v>
      </c>
      <c r="AP101" s="419">
        <v>1.9825783972125435</v>
      </c>
    </row>
    <row r="102" spans="1:57">
      <c r="A102" s="306" t="str">
        <f ca="1">A$72</f>
        <v xml:space="preserve">Istituto nazionale per la previdenza sociale                                  </v>
      </c>
      <c r="B102" s="366">
        <f ca="1">B$72</f>
        <v>50</v>
      </c>
      <c r="C102" s="366">
        <f ca="1">C$72</f>
        <v>28257</v>
      </c>
      <c r="D102" s="307">
        <f ca="1">D$72</f>
        <v>9.4878048780487809</v>
      </c>
      <c r="E102" s="307">
        <f ca="1">G$72</f>
        <v>9.1</v>
      </c>
      <c r="F102" s="307">
        <f ca="1">J$72</f>
        <v>10</v>
      </c>
      <c r="G102" s="307">
        <f ca="1">M$72</f>
        <v>10</v>
      </c>
      <c r="H102" s="308">
        <f ca="1">P$72</f>
        <v>9.0769230769230766</v>
      </c>
      <c r="I102" s="138"/>
      <c r="J102" s="138"/>
      <c r="K102" s="18"/>
      <c r="L102" s="322" t="s">
        <v>393</v>
      </c>
      <c r="M102" s="395">
        <f>SUM(M98:M101)</f>
        <v>46</v>
      </c>
      <c r="N102" s="327">
        <f ca="1">AVERAGE(N98:N100)</f>
        <v>7.7185185185185183</v>
      </c>
      <c r="O102" s="328">
        <f ca="1">AVERAGE(O98:O100)</f>
        <v>7.8493827160493828</v>
      </c>
      <c r="P102" s="328">
        <f ca="1">AVERAGE(P98:P100)</f>
        <v>7.1263374485596698</v>
      </c>
      <c r="Q102" s="329">
        <f ca="1">AVERAGE(Q98:Q100)</f>
        <v>6.863817663817664</v>
      </c>
      <c r="R102" s="330">
        <f ca="1">AVERAGE(R98:R100)</f>
        <v>7.3462511291779586</v>
      </c>
      <c r="S102" s="370"/>
      <c r="T102" s="322" t="s">
        <v>393</v>
      </c>
      <c r="U102" s="395">
        <v>46</v>
      </c>
      <c r="V102" s="404">
        <v>7.7166666666666677</v>
      </c>
      <c r="W102" s="405">
        <v>8.2096894874672639</v>
      </c>
      <c r="X102" s="405">
        <v>6.60811821922933</v>
      </c>
      <c r="Y102" s="406">
        <v>6.0520590520590529</v>
      </c>
      <c r="Z102" s="407">
        <v>7.0537488708220408</v>
      </c>
      <c r="AA102" s="18"/>
      <c r="AB102" s="322" t="s">
        <v>393</v>
      </c>
      <c r="AC102" s="395">
        <v>56</v>
      </c>
      <c r="AD102" s="404">
        <v>7.3133699633699649</v>
      </c>
      <c r="AE102" s="405">
        <v>7.7049247049247045</v>
      </c>
      <c r="AF102" s="405">
        <v>6.8595848595848592</v>
      </c>
      <c r="AG102" s="406">
        <v>6.3789799943646104</v>
      </c>
      <c r="AH102" s="407">
        <v>7.0034396497811118</v>
      </c>
      <c r="AJ102" s="322" t="s">
        <v>393</v>
      </c>
      <c r="AK102" s="395"/>
      <c r="AL102" s="327">
        <v>7.322183317771553</v>
      </c>
      <c r="AM102" s="328">
        <v>7.4990057751495662</v>
      </c>
      <c r="AN102" s="328">
        <v>6.8496732026143796</v>
      </c>
      <c r="AO102" s="329">
        <v>6.0669515669515661</v>
      </c>
      <c r="AP102" s="330">
        <v>6.8592759597063768</v>
      </c>
    </row>
    <row r="103" spans="1:57">
      <c r="A103" s="306" t="str">
        <f ca="1">A$47</f>
        <v xml:space="preserve">Ministero dell'economia e finanze - Area tesoro        </v>
      </c>
      <c r="B103" s="366">
        <f ca="1">B$47</f>
        <v>71</v>
      </c>
      <c r="C103" s="366">
        <f ca="1">C$47</f>
        <v>11332</v>
      </c>
      <c r="D103" s="307">
        <f ca="1">D$47</f>
        <v>7.6097560975609753</v>
      </c>
      <c r="E103" s="307">
        <f ca="1">G$47</f>
        <v>8.1999999999999993</v>
      </c>
      <c r="F103" s="307">
        <f ca="1">J$47</f>
        <v>7.7777777777777777</v>
      </c>
      <c r="G103" s="307">
        <f ca="1">M$47</f>
        <v>7.333333333333333</v>
      </c>
      <c r="H103" s="308">
        <f ca="1">P$47</f>
        <v>7.2307692307692308</v>
      </c>
      <c r="I103" s="138"/>
      <c r="J103" s="138"/>
      <c r="K103" s="18"/>
      <c r="L103" s="18"/>
      <c r="M103" s="18"/>
      <c r="N103" s="18"/>
      <c r="O103" s="18"/>
      <c r="P103" s="18"/>
      <c r="Q103" s="18"/>
      <c r="R103" s="18"/>
      <c r="S103" s="18"/>
      <c r="AL103" s="18"/>
    </row>
    <row r="104" spans="1:57">
      <c r="A104" s="306" t="str">
        <f ca="1">A$69</f>
        <v xml:space="preserve">Istituto nazionale per l'assicurazione infortuni sul lavoro                </v>
      </c>
      <c r="B104" s="366">
        <f ca="1">B$69</f>
        <v>46</v>
      </c>
      <c r="C104" s="366">
        <f ca="1">C$69</f>
        <v>9993</v>
      </c>
      <c r="D104" s="307">
        <f ca="1">D$69</f>
        <v>8.3658536585365848</v>
      </c>
      <c r="E104" s="307">
        <f ca="1">G$69</f>
        <v>8.6</v>
      </c>
      <c r="F104" s="307">
        <f ca="1">J$69</f>
        <v>8.4444444444444446</v>
      </c>
      <c r="G104" s="307">
        <f ca="1">M$69</f>
        <v>9.2222222222222214</v>
      </c>
      <c r="H104" s="308">
        <f ca="1">P$69</f>
        <v>7.5384615384615383</v>
      </c>
      <c r="I104" s="138"/>
      <c r="J104" s="138"/>
      <c r="BC104" s="18"/>
      <c r="BD104" s="18"/>
      <c r="BE104" s="18"/>
    </row>
    <row r="105" spans="1:57">
      <c r="A105" s="306" t="str">
        <f ca="1">A$56</f>
        <v xml:space="preserve">Ministero delle infrastrutture e dei trasporti                                            </v>
      </c>
      <c r="B105" s="366">
        <f ca="1">B$56</f>
        <v>75</v>
      </c>
      <c r="C105" s="366">
        <f ca="1">C$56</f>
        <v>9032</v>
      </c>
      <c r="D105" s="307">
        <f ca="1">D$56</f>
        <v>8.3414634146341466</v>
      </c>
      <c r="E105" s="307">
        <f ca="1">G$56</f>
        <v>8</v>
      </c>
      <c r="F105" s="307">
        <f ca="1">J$56</f>
        <v>8.8888888888888893</v>
      </c>
      <c r="G105" s="307">
        <f ca="1">M$56</f>
        <v>9.5555555555555554</v>
      </c>
      <c r="H105" s="308">
        <f ca="1">P$56</f>
        <v>7.384615384615385</v>
      </c>
      <c r="I105" s="138"/>
      <c r="J105" s="138"/>
      <c r="BC105" s="18"/>
      <c r="BD105" s="18"/>
      <c r="BE105" s="18"/>
    </row>
    <row r="106" spans="1:57">
      <c r="A106" s="306" t="str">
        <f ca="1">A$36</f>
        <v xml:space="preserve">Ministero degli affari esteri                                           </v>
      </c>
      <c r="B106" s="366">
        <f ca="1">B$36</f>
        <v>8</v>
      </c>
      <c r="C106" s="366">
        <f ca="1">C$36</f>
        <v>8678</v>
      </c>
      <c r="D106" s="307">
        <f ca="1">D$36</f>
        <v>6.6097560975609753</v>
      </c>
      <c r="E106" s="307">
        <f ca="1">G$36</f>
        <v>9.1999999999999993</v>
      </c>
      <c r="F106" s="307">
        <f ca="1">J$36</f>
        <v>8.4444444444444446</v>
      </c>
      <c r="G106" s="307">
        <f ca="1">M$36</f>
        <v>4.7777777777777777</v>
      </c>
      <c r="H106" s="308">
        <f ca="1">P$36</f>
        <v>4.615384615384615</v>
      </c>
      <c r="J106" s="369" t="s">
        <v>370</v>
      </c>
    </row>
    <row r="107" spans="1:57">
      <c r="A107" s="306" t="str">
        <f ca="1">A$59</f>
        <v xml:space="preserve">Ministero del lavoro e delle politiche sociali           </v>
      </c>
      <c r="B107" s="366">
        <f ca="1">B$59</f>
        <v>1</v>
      </c>
      <c r="C107" s="366">
        <f ca="1">C$59</f>
        <v>7940</v>
      </c>
      <c r="D107" s="307">
        <f ca="1">D$59</f>
        <v>5.6097560975609753</v>
      </c>
      <c r="E107" s="307">
        <f ca="1">G$59</f>
        <v>9.1</v>
      </c>
      <c r="F107" s="307">
        <f ca="1">J$59</f>
        <v>7.4444444444444446</v>
      </c>
      <c r="G107" s="307">
        <f ca="1">M$59</f>
        <v>8</v>
      </c>
      <c r="H107" s="308">
        <f ca="1">P$59</f>
        <v>0</v>
      </c>
      <c r="I107" s="138"/>
      <c r="J107" s="138"/>
    </row>
    <row r="108" spans="1:57">
      <c r="A108" s="306" t="str">
        <f ca="1">A$71</f>
        <v>Istituto nazionale di previdenza dei dipendenti dell'amministrazione pubblica</v>
      </c>
      <c r="B108" s="366">
        <f ca="1">B$71</f>
        <v>48</v>
      </c>
      <c r="C108" s="366">
        <f ca="1">C$71</f>
        <v>7665</v>
      </c>
      <c r="D108" s="307">
        <f ca="1">D$71</f>
        <v>8.3414634146341466</v>
      </c>
      <c r="E108" s="307">
        <f ca="1">G$71</f>
        <v>8.4</v>
      </c>
      <c r="F108" s="307">
        <f ca="1">J$71</f>
        <v>9.4444444444444446</v>
      </c>
      <c r="G108" s="307">
        <f ca="1">M$71</f>
        <v>8.3333333333333339</v>
      </c>
      <c r="H108" s="308">
        <f ca="1">P$71</f>
        <v>7.5384615384615383</v>
      </c>
      <c r="I108" s="138"/>
      <c r="J108" s="138"/>
    </row>
    <row r="109" spans="1:57">
      <c r="A109" s="306" t="str">
        <f ca="1">A$63</f>
        <v xml:space="preserve">Consiglio nazionale delle ricerche                                                                  </v>
      </c>
      <c r="B109" s="366">
        <f ca="1">B$63</f>
        <v>114</v>
      </c>
      <c r="C109" s="366">
        <f ca="1">C$63</f>
        <v>7559</v>
      </c>
      <c r="D109" s="307">
        <f ca="1">D$63</f>
        <v>5.5853658536585362</v>
      </c>
      <c r="E109" s="307">
        <f ca="1">G$63</f>
        <v>5.6</v>
      </c>
      <c r="F109" s="307">
        <f ca="1">J$63</f>
        <v>9.5555555555555554</v>
      </c>
      <c r="G109" s="307">
        <f ca="1">M$63</f>
        <v>5.4444444444444446</v>
      </c>
      <c r="H109" s="308">
        <f ca="1">P$63</f>
        <v>2.9230769230769229</v>
      </c>
      <c r="I109" s="138"/>
      <c r="J109" s="138"/>
    </row>
    <row r="110" spans="1:57">
      <c r="A110" s="306" t="str">
        <f ca="1">A$57</f>
        <v xml:space="preserve">Ministero dell'istruzione, università e ricerca                                               </v>
      </c>
      <c r="B110" s="366">
        <f ca="1">B$57</f>
        <v>17</v>
      </c>
      <c r="C110" s="366">
        <f ca="1">C$57</f>
        <v>6082</v>
      </c>
      <c r="D110" s="307">
        <f ca="1">D$57</f>
        <v>6.2682926829268295</v>
      </c>
      <c r="E110" s="307">
        <f ca="1">G$57</f>
        <v>9.1</v>
      </c>
      <c r="F110" s="307">
        <f ca="1">J$57</f>
        <v>9.1111111111111107</v>
      </c>
      <c r="G110" s="307">
        <f ca="1">M$57</f>
        <v>9.1111111111111107</v>
      </c>
      <c r="H110" s="308">
        <f ca="1">P$57</f>
        <v>0.15384615384615385</v>
      </c>
      <c r="I110" s="138"/>
      <c r="J110" s="138"/>
    </row>
    <row r="111" spans="1:57">
      <c r="A111" s="306" t="str">
        <f ca="1">A$38</f>
        <v>Ministero dello sviluppo economico</v>
      </c>
      <c r="B111" s="366">
        <f ca="1">B$38</f>
        <v>103</v>
      </c>
      <c r="C111" s="366">
        <f ca="1">C$38</f>
        <v>3314</v>
      </c>
      <c r="D111" s="307">
        <f ca="1">D$38</f>
        <v>6.3170731707317076</v>
      </c>
      <c r="E111" s="307">
        <f ca="1">G$38</f>
        <v>8</v>
      </c>
      <c r="F111" s="307">
        <f ca="1">J$38</f>
        <v>7.7777777777777777</v>
      </c>
      <c r="G111" s="307">
        <f ca="1">M$38</f>
        <v>5.8888888888888893</v>
      </c>
      <c r="H111" s="308">
        <f ca="1">P$38</f>
        <v>4.3076923076923075</v>
      </c>
      <c r="I111" s="138"/>
      <c r="J111" s="138"/>
    </row>
    <row r="112" spans="1:57">
      <c r="A112" s="306" t="str">
        <f ca="1">A$46</f>
        <v>Dipartimento delle Finanze</v>
      </c>
      <c r="B112" s="366">
        <f ca="1">B$46</f>
        <v>72</v>
      </c>
      <c r="C112" s="366">
        <f ca="1">C$46</f>
        <v>3271</v>
      </c>
      <c r="D112" s="307">
        <f ca="1">D$46</f>
        <v>8.7804878048780495</v>
      </c>
      <c r="E112" s="307">
        <f ca="1">G$46</f>
        <v>7.3</v>
      </c>
      <c r="F112" s="307">
        <f ca="1">J$46</f>
        <v>9</v>
      </c>
      <c r="G112" s="307">
        <f ca="1">M$46</f>
        <v>9.5555555555555554</v>
      </c>
      <c r="H112" s="308">
        <f ca="1">P$46</f>
        <v>9.2307692307692299</v>
      </c>
      <c r="I112" s="138"/>
      <c r="J112" s="138"/>
    </row>
    <row r="113" spans="1:10">
      <c r="A113" s="306" t="str">
        <f ca="1">A$61</f>
        <v xml:space="preserve">Automobile club d'Italia                                                                            </v>
      </c>
      <c r="B113" s="366">
        <f ca="1">B$61</f>
        <v>37</v>
      </c>
      <c r="C113" s="366">
        <f ca="1">C$61</f>
        <v>3190</v>
      </c>
      <c r="D113" s="307">
        <f ca="1">D$61</f>
        <v>8.4390243902439028</v>
      </c>
      <c r="E113" s="307">
        <f ca="1">G$61</f>
        <v>6.2</v>
      </c>
      <c r="F113" s="307">
        <f ca="1">J$61</f>
        <v>9.1111111111111107</v>
      </c>
      <c r="G113" s="307">
        <f ca="1">M$61</f>
        <v>8.4444444444444446</v>
      </c>
      <c r="H113" s="308">
        <f ca="1">P$61</f>
        <v>9.6923076923076916</v>
      </c>
      <c r="I113" s="138"/>
      <c r="J113" s="138"/>
    </row>
    <row r="114" spans="1:10">
      <c r="A114" s="306" t="str">
        <f ca="1">A$34</f>
        <v xml:space="preserve">Corte dei conti                                                                                     </v>
      </c>
      <c r="B114" s="366">
        <f ca="1">B$34</f>
        <v>33</v>
      </c>
      <c r="C114" s="366">
        <f ca="1">C$34</f>
        <v>3155</v>
      </c>
      <c r="D114" s="307">
        <f ca="1">D$34</f>
        <v>8.2439024390243905</v>
      </c>
      <c r="E114" s="307">
        <f ca="1">G$34</f>
        <v>8.5</v>
      </c>
      <c r="F114" s="307">
        <f ca="1">J$34</f>
        <v>9.4444444444444446</v>
      </c>
      <c r="G114" s="307">
        <f ca="1">M$34</f>
        <v>7.333333333333333</v>
      </c>
      <c r="H114" s="308">
        <f ca="1">P$34</f>
        <v>7.8461538461538458</v>
      </c>
      <c r="I114" s="138"/>
      <c r="J114" s="138"/>
    </row>
    <row r="115" spans="1:10">
      <c r="A115" s="306" t="str">
        <f ca="1">A$60</f>
        <v xml:space="preserve">Ministero della salute                        </v>
      </c>
      <c r="B115" s="366">
        <f ca="1">B$60</f>
        <v>20</v>
      </c>
      <c r="C115" s="366">
        <f ca="1">C$60</f>
        <v>2287</v>
      </c>
      <c r="D115" s="307">
        <f ca="1">D$60</f>
        <v>8.536585365853659</v>
      </c>
      <c r="E115" s="307">
        <f ca="1">G$60</f>
        <v>9.6</v>
      </c>
      <c r="F115" s="307">
        <f ca="1">J$60</f>
        <v>8.8888888888888893</v>
      </c>
      <c r="G115" s="307">
        <f ca="1">M$60</f>
        <v>8.8888888888888893</v>
      </c>
      <c r="H115" s="308">
        <f ca="1">P$60</f>
        <v>7.2307692307692308</v>
      </c>
      <c r="I115" s="138"/>
      <c r="J115" s="138"/>
    </row>
    <row r="116" spans="1:10">
      <c r="A116" s="306" t="str">
        <f ca="1">A$35</f>
        <v xml:space="preserve">Presidenza del Consiglio dei ministri                     </v>
      </c>
      <c r="B116" s="366">
        <f ca="1">B$35</f>
        <v>22</v>
      </c>
      <c r="C116" s="366">
        <f ca="1">C$35</f>
        <v>2246</v>
      </c>
      <c r="D116" s="307">
        <f ca="1">D$35</f>
        <v>6.6341463414634143</v>
      </c>
      <c r="E116" s="307">
        <f ca="1">G$35</f>
        <v>7.7</v>
      </c>
      <c r="F116" s="307">
        <f ca="1">J$35</f>
        <v>8.8888888888888893</v>
      </c>
      <c r="G116" s="307">
        <f ca="1">M$35</f>
        <v>4.7777777777777777</v>
      </c>
      <c r="H116" s="308">
        <f ca="1">P$35</f>
        <v>5.5384615384615383</v>
      </c>
      <c r="I116" s="138"/>
      <c r="J116" s="138"/>
    </row>
    <row r="117" spans="1:10">
      <c r="A117" s="377" t="str">
        <f ca="1">A$76</f>
        <v xml:space="preserve">Istituto nazionale di statistica                                   </v>
      </c>
      <c r="B117" s="378">
        <f ca="1">B$76</f>
        <v>14</v>
      </c>
      <c r="C117" s="378">
        <f ca="1">C$76</f>
        <v>2120</v>
      </c>
      <c r="D117" s="379">
        <f ca="1">D$76</f>
        <v>6.6341463414634143</v>
      </c>
      <c r="E117" s="379">
        <f ca="1">G$76</f>
        <v>7.8</v>
      </c>
      <c r="F117" s="379">
        <f ca="1">J$76</f>
        <v>8.8888888888888893</v>
      </c>
      <c r="G117" s="379">
        <f ca="1">M$76</f>
        <v>5.5555555555555554</v>
      </c>
      <c r="H117" s="380">
        <f ca="1">P$76</f>
        <v>4.9230769230769234</v>
      </c>
      <c r="I117" s="138"/>
      <c r="J117" s="138"/>
    </row>
    <row r="118" spans="1:10">
      <c r="A118" s="306" t="str">
        <f ca="1">A$75</f>
        <v xml:space="preserve">Istituto superiore di sanità                                                                        </v>
      </c>
      <c r="B118" s="366">
        <f ca="1">B$75</f>
        <v>34</v>
      </c>
      <c r="C118" s="366">
        <f ca="1">C$75</f>
        <v>1970</v>
      </c>
      <c r="D118" s="307">
        <f ca="1">D$75</f>
        <v>6.9268292682926829</v>
      </c>
      <c r="E118" s="307">
        <f ca="1">G$75</f>
        <v>7</v>
      </c>
      <c r="F118" s="307">
        <f ca="1">J$75</f>
        <v>9.3333333333333339</v>
      </c>
      <c r="G118" s="307">
        <f ca="1">M$75</f>
        <v>8.6666666666666661</v>
      </c>
      <c r="H118" s="308">
        <f ca="1">P$75</f>
        <v>4</v>
      </c>
      <c r="I118" s="138"/>
      <c r="J118" s="138"/>
    </row>
    <row r="119" spans="1:10">
      <c r="A119" s="306" t="str">
        <f ca="1">A$58</f>
        <v xml:space="preserve">Ministero delle politiche agricole e forestali                                        </v>
      </c>
      <c r="B119" s="366">
        <f ca="1">B$58</f>
        <v>111</v>
      </c>
      <c r="C119" s="366">
        <f ca="1">C$58</f>
        <v>1612</v>
      </c>
      <c r="D119" s="307">
        <f ca="1">D$58</f>
        <v>7.6585365853658534</v>
      </c>
      <c r="E119" s="307">
        <f ca="1">G$58</f>
        <v>6.2</v>
      </c>
      <c r="F119" s="307">
        <f ca="1">J$58</f>
        <v>9.5555555555555554</v>
      </c>
      <c r="G119" s="307">
        <f ca="1">M$58</f>
        <v>7.7777777777777777</v>
      </c>
      <c r="H119" s="308">
        <f ca="1">P$58</f>
        <v>7.384615384615385</v>
      </c>
      <c r="I119" s="138"/>
      <c r="J119" s="138"/>
    </row>
    <row r="120" spans="1:10">
      <c r="A120" s="306" t="str">
        <f ca="1">A$32</f>
        <v>Avvocatura Generale dello Stato</v>
      </c>
      <c r="B120" s="366">
        <f ca="1">B$32</f>
        <v>57</v>
      </c>
      <c r="C120" s="366">
        <f ca="1">C$32</f>
        <v>1274</v>
      </c>
      <c r="D120" s="307">
        <f ca="1">D$32</f>
        <v>5.4878048780487809</v>
      </c>
      <c r="E120" s="307">
        <f ca="1">G$32</f>
        <v>5.4</v>
      </c>
      <c r="F120" s="307">
        <f ca="1">J$32</f>
        <v>3.4444444444444446</v>
      </c>
      <c r="G120" s="307">
        <f ca="1">M$32</f>
        <v>5.5555555555555554</v>
      </c>
      <c r="H120" s="308">
        <f ca="1">P$32</f>
        <v>6.9230769230769234</v>
      </c>
      <c r="I120" s="138"/>
      <c r="J120" s="138"/>
    </row>
    <row r="121" spans="1:10">
      <c r="A121" s="306" t="str">
        <f ca="1">A$67</f>
        <v xml:space="preserve">Istituto nazionale per il commercio estero                                              </v>
      </c>
      <c r="B121" s="366">
        <f ca="1">B$67</f>
        <v>45</v>
      </c>
      <c r="C121" s="366">
        <f ca="1">$C$67</f>
        <v>1106</v>
      </c>
      <c r="D121" s="307">
        <f ca="1">D$67</f>
        <v>5.0975609756097562</v>
      </c>
      <c r="E121" s="307">
        <f ca="1">G$67</f>
        <v>5.6</v>
      </c>
      <c r="F121" s="307">
        <f ca="1">J$67</f>
        <v>7.333333333333333</v>
      </c>
      <c r="G121" s="307">
        <f ca="1">M$67</f>
        <v>5.4444444444444446</v>
      </c>
      <c r="H121" s="308">
        <f ca="1">P$67</f>
        <v>2.9230769230769229</v>
      </c>
      <c r="I121" s="138"/>
      <c r="J121" s="138"/>
    </row>
    <row r="122" spans="1:10">
      <c r="A122" s="306" t="str">
        <f ca="1">A$64</f>
        <v>Ente Nazionale per l'Aviazione Civile</v>
      </c>
      <c r="B122" s="366">
        <f ca="1">B$64</f>
        <v>116</v>
      </c>
      <c r="C122" s="366">
        <f ca="1">C$64</f>
        <v>1015</v>
      </c>
      <c r="D122" s="307">
        <f ca="1">D$64</f>
        <v>7.1707317073170733</v>
      </c>
      <c r="E122" s="307">
        <f ca="1">G$64</f>
        <v>7.7</v>
      </c>
      <c r="F122" s="307">
        <f ca="1">J$64</f>
        <v>9.4444444444444446</v>
      </c>
      <c r="G122" s="307">
        <f ca="1">M$64</f>
        <v>5.1111111111111107</v>
      </c>
      <c r="H122" s="308">
        <f ca="1">P$64</f>
        <v>6.615384615384615</v>
      </c>
      <c r="I122" s="138"/>
      <c r="J122" s="138"/>
    </row>
    <row r="123" spans="1:10">
      <c r="A123" s="377" t="str">
        <f ca="1">A$51</f>
        <v>Ministero dell'interno - Affari Interni e Territoriali - Elettorale</v>
      </c>
      <c r="B123" s="378">
        <f ca="1">B$51</f>
        <v>707</v>
      </c>
      <c r="C123" s="378">
        <f ca="1">C$51</f>
        <v>1000</v>
      </c>
      <c r="D123" s="379">
        <f ca="1">D$51</f>
        <v>8.8780487804878057</v>
      </c>
      <c r="E123" s="379">
        <f ca="1">G$51</f>
        <v>8.1999999999999993</v>
      </c>
      <c r="F123" s="379">
        <f ca="1">J$51</f>
        <v>9.5555555555555554</v>
      </c>
      <c r="G123" s="379">
        <f ca="1">M$51</f>
        <v>8</v>
      </c>
      <c r="H123" s="380">
        <f ca="1">P$51</f>
        <v>9.5384615384615383</v>
      </c>
      <c r="I123" s="138"/>
      <c r="J123" s="138"/>
    </row>
    <row r="124" spans="1:10">
      <c r="A124" s="306" t="str">
        <f ca="1">A$44</f>
        <v>Stato Maggiore Aeronautica</v>
      </c>
      <c r="B124" s="366">
        <f ca="1">B$44</f>
        <v>300</v>
      </c>
      <c r="C124" s="366">
        <f ca="1">C$44</f>
        <v>1000</v>
      </c>
      <c r="D124" s="307">
        <f ca="1">D$44</f>
        <v>8.7073170731707314</v>
      </c>
      <c r="E124" s="307">
        <f ca="1">G$44</f>
        <v>8.3000000000000007</v>
      </c>
      <c r="F124" s="307">
        <f ca="1">J$44</f>
        <v>9.1111111111111107</v>
      </c>
      <c r="G124" s="307">
        <f ca="1">M$44</f>
        <v>9.1111111111111107</v>
      </c>
      <c r="H124" s="308">
        <f ca="1">P$44</f>
        <v>8.4615384615384617</v>
      </c>
      <c r="I124" s="138"/>
      <c r="J124" s="138"/>
    </row>
    <row r="125" spans="1:10">
      <c r="A125" s="306" t="str">
        <f ca="1">A$55</f>
        <v>Ministero dell'interno - P.S. CED PS</v>
      </c>
      <c r="B125" s="366">
        <f ca="1">B$55</f>
        <v>710</v>
      </c>
      <c r="C125" s="366">
        <f ca="1">C$55</f>
        <v>1000</v>
      </c>
      <c r="D125" s="307">
        <f ca="1">D$55</f>
        <v>8.5121951219512191</v>
      </c>
      <c r="E125" s="307">
        <f ca="1">G$55</f>
        <v>8.3000000000000007</v>
      </c>
      <c r="F125" s="307">
        <f ca="1">J$55</f>
        <v>9.5555555555555554</v>
      </c>
      <c r="G125" s="307">
        <f ca="1">M$55</f>
        <v>7.7777777777777777</v>
      </c>
      <c r="H125" s="308">
        <f ca="1">P$55</f>
        <v>8.4615384615384617</v>
      </c>
      <c r="I125" s="138"/>
      <c r="J125" s="138" t="s">
        <v>371</v>
      </c>
    </row>
    <row r="126" spans="1:10">
      <c r="A126" s="306" t="str">
        <f ca="1">A$54</f>
        <v>Ministero dell'interno - Vigili del  Fuoco</v>
      </c>
      <c r="B126" s="366">
        <f ca="1">B$54</f>
        <v>711</v>
      </c>
      <c r="C126" s="366">
        <f ca="1">C$54</f>
        <v>1000</v>
      </c>
      <c r="D126" s="307">
        <f ca="1">D$54</f>
        <v>8.4390243902439028</v>
      </c>
      <c r="E126" s="307">
        <f ca="1">G$54</f>
        <v>8.3000000000000007</v>
      </c>
      <c r="F126" s="307">
        <f ca="1">J$54</f>
        <v>9</v>
      </c>
      <c r="G126" s="307">
        <f ca="1">M$54</f>
        <v>8</v>
      </c>
      <c r="H126" s="308">
        <f ca="1">P$54</f>
        <v>8.4615384615384617</v>
      </c>
      <c r="I126" s="138"/>
      <c r="J126" s="138"/>
    </row>
    <row r="127" spans="1:10">
      <c r="A127" s="306" t="str">
        <f ca="1">A$53</f>
        <v>Ministero dell'interno - Libertà Civili e Immigrazione</v>
      </c>
      <c r="B127" s="366">
        <f ca="1">B$53</f>
        <v>705</v>
      </c>
      <c r="C127" s="366">
        <f ca="1">C$53</f>
        <v>1000</v>
      </c>
      <c r="D127" s="307">
        <f ca="1">D$53</f>
        <v>7.3902439024390247</v>
      </c>
      <c r="E127" s="307">
        <f ca="1">G$53</f>
        <v>8.6</v>
      </c>
      <c r="F127" s="307">
        <f ca="1">J$53</f>
        <v>6.7777777777777777</v>
      </c>
      <c r="G127" s="307">
        <f ca="1">M$53</f>
        <v>5.7777777777777777</v>
      </c>
      <c r="H127" s="308">
        <f ca="1">P$53</f>
        <v>8</v>
      </c>
      <c r="I127" s="138"/>
      <c r="J127" s="138"/>
    </row>
    <row r="128" spans="1:10">
      <c r="A128" s="377" t="str">
        <f ca="1">A$43</f>
        <v>Stato Maggiore Marina</v>
      </c>
      <c r="B128" s="378">
        <f ca="1">B$43</f>
        <v>302</v>
      </c>
      <c r="C128" s="378">
        <f ca="1">C$43</f>
        <v>1000</v>
      </c>
      <c r="D128" s="379">
        <f ca="1">D$43</f>
        <v>6.8048780487804876</v>
      </c>
      <c r="E128" s="379">
        <f ca="1">G$43</f>
        <v>7.7</v>
      </c>
      <c r="F128" s="379">
        <f ca="1">J$43</f>
        <v>9.5555555555555554</v>
      </c>
      <c r="G128" s="379">
        <f ca="1">M$43</f>
        <v>5.5555555555555554</v>
      </c>
      <c r="H128" s="380">
        <f ca="1">P$43</f>
        <v>5.0769230769230766</v>
      </c>
      <c r="I128" s="138"/>
      <c r="J128" s="138"/>
    </row>
    <row r="129" spans="1:10">
      <c r="A129" s="306" t="str">
        <f ca="1">A$52</f>
        <v>Ministero dell'interno - Politiche Personale</v>
      </c>
      <c r="B129" s="366">
        <f ca="1">B$52</f>
        <v>712</v>
      </c>
      <c r="C129" s="366">
        <f ca="1">C$52</f>
        <v>1000</v>
      </c>
      <c r="D129" s="307">
        <f ca="1">D$52</f>
        <v>6.6829268292682924</v>
      </c>
      <c r="E129" s="307">
        <f ca="1">G$52</f>
        <v>8.6</v>
      </c>
      <c r="F129" s="307">
        <f ca="1">J$52</f>
        <v>9.5555555555555554</v>
      </c>
      <c r="G129" s="307">
        <f ca="1">M$52</f>
        <v>5.7777777777777777</v>
      </c>
      <c r="H129" s="308">
        <f ca="1">P$52</f>
        <v>3.8461538461538463</v>
      </c>
      <c r="I129" s="138"/>
      <c r="J129" s="138"/>
    </row>
    <row r="130" spans="1:10">
      <c r="A130" s="306" t="str">
        <f ca="1">A$65</f>
        <v>Agenzia nazionale per le nuove tecnologie, l'energia e lo sviluppo economico sostenibile</v>
      </c>
      <c r="B130" s="366">
        <f ca="1">B$65</f>
        <v>202</v>
      </c>
      <c r="C130" s="366">
        <f ca="1">C$65</f>
        <v>1000</v>
      </c>
      <c r="D130" s="307">
        <f ca="1">D$65</f>
        <v>6.4390243902439028</v>
      </c>
      <c r="E130" s="307">
        <f ca="1">G$65</f>
        <v>5.6</v>
      </c>
      <c r="F130" s="307">
        <f ca="1">J$65</f>
        <v>8.8888888888888893</v>
      </c>
      <c r="G130" s="307">
        <f ca="1">M$65</f>
        <v>6.8888888888888893</v>
      </c>
      <c r="H130" s="308">
        <f ca="1">P$65</f>
        <v>5.0769230769230766</v>
      </c>
      <c r="I130" s="138"/>
      <c r="J130" s="138"/>
    </row>
    <row r="131" spans="1:10">
      <c r="A131" s="306" t="str">
        <f ca="1">A$42</f>
        <v>Stato Maggiore Esercito</v>
      </c>
      <c r="B131" s="366">
        <f ca="1">B$42</f>
        <v>301</v>
      </c>
      <c r="C131" s="366">
        <f ca="1">C$42</f>
        <v>1000</v>
      </c>
      <c r="D131" s="307">
        <f ca="1">D$42</f>
        <v>5.9268292682926829</v>
      </c>
      <c r="E131" s="307">
        <f ca="1">G$42</f>
        <v>7.8</v>
      </c>
      <c r="F131" s="307">
        <f ca="1">J$42</f>
        <v>5</v>
      </c>
      <c r="G131" s="307">
        <f ca="1">M$42</f>
        <v>5.7777777777777777</v>
      </c>
      <c r="H131" s="308">
        <f ca="1">P$42</f>
        <v>5.2307692307692308</v>
      </c>
      <c r="I131" s="138"/>
      <c r="J131" s="138"/>
    </row>
    <row r="132" spans="1:10">
      <c r="A132" s="377" t="str">
        <f ca="1">A$50</f>
        <v>Ministero dell'interno - Affari Interni e Territoriali - Demografici</v>
      </c>
      <c r="B132" s="378">
        <f ca="1">B$50</f>
        <v>703</v>
      </c>
      <c r="C132" s="378">
        <f ca="1">C$50</f>
        <v>1000</v>
      </c>
      <c r="D132" s="379">
        <f ca="1">D$50</f>
        <v>5.8780487804878048</v>
      </c>
      <c r="E132" s="379">
        <f ca="1">G$50</f>
        <v>6.2</v>
      </c>
      <c r="F132" s="379">
        <f ca="1">J$50</f>
        <v>7.4444444444444446</v>
      </c>
      <c r="G132" s="379">
        <f ca="1">M$50</f>
        <v>6.2222222222222223</v>
      </c>
      <c r="H132" s="380">
        <f ca="1">P$50</f>
        <v>4.3076923076923075</v>
      </c>
      <c r="I132" s="138"/>
      <c r="J132" s="138"/>
    </row>
    <row r="133" spans="1:10">
      <c r="A133" s="377" t="str">
        <f ca="1">A$41</f>
        <v>Stato Maggiore Difesa</v>
      </c>
      <c r="B133" s="378">
        <f ca="1">B$41</f>
        <v>303</v>
      </c>
      <c r="C133" s="378">
        <f ca="1">C$41</f>
        <v>1000</v>
      </c>
      <c r="D133" s="379">
        <f ca="1">D$41</f>
        <v>4</v>
      </c>
      <c r="E133" s="379">
        <f ca="1">G$41</f>
        <v>4.4000000000000004</v>
      </c>
      <c r="F133" s="379">
        <f ca="1">J$41</f>
        <v>8.4444444444444446</v>
      </c>
      <c r="G133" s="379">
        <f ca="1">M$41</f>
        <v>4.666666666666667</v>
      </c>
      <c r="H133" s="380">
        <f ca="1">P$41</f>
        <v>0.15384615384615385</v>
      </c>
      <c r="I133" s="138"/>
      <c r="J133" s="138"/>
    </row>
    <row r="134" spans="1:10">
      <c r="A134" s="306" t="str">
        <f ca="1">A$33</f>
        <v xml:space="preserve">Consiglio di Stato                                                                    </v>
      </c>
      <c r="B134" s="366">
        <f ca="1">B$33</f>
        <v>101</v>
      </c>
      <c r="C134" s="366">
        <f ca="1">C$33</f>
        <v>839</v>
      </c>
      <c r="D134" s="307">
        <f ca="1">D$33</f>
        <v>7.6097560975609753</v>
      </c>
      <c r="E134" s="307">
        <f ca="1">G$33</f>
        <v>9.4</v>
      </c>
      <c r="F134" s="307">
        <f ca="1">J$33</f>
        <v>7.2222222222222223</v>
      </c>
      <c r="G134" s="307">
        <f ca="1">M$33</f>
        <v>3.8888888888888888</v>
      </c>
      <c r="H134" s="308">
        <f ca="1">P$33</f>
        <v>9.0769230769230766</v>
      </c>
      <c r="I134" s="138"/>
      <c r="J134" s="138"/>
    </row>
    <row r="135" spans="1:10">
      <c r="A135" s="306" t="str">
        <f ca="1">A$37</f>
        <v>Ministero dell'ambiente e della tutela del territorio e del mare</v>
      </c>
      <c r="B135" s="366">
        <f ca="1">B$37</f>
        <v>102</v>
      </c>
      <c r="C135" s="366">
        <f ca="1">C$37</f>
        <v>708</v>
      </c>
      <c r="D135" s="307">
        <f ca="1">D$37</f>
        <v>6.4634146341463419</v>
      </c>
      <c r="E135" s="307">
        <f ca="1">G$37</f>
        <v>6.7</v>
      </c>
      <c r="F135" s="307">
        <f ca="1">J$37</f>
        <v>7.333333333333333</v>
      </c>
      <c r="G135" s="307">
        <f ca="1">M$37</f>
        <v>6.666666666666667</v>
      </c>
      <c r="H135" s="308">
        <f ca="1">P$37</f>
        <v>5.5384615384615383</v>
      </c>
      <c r="I135" s="138"/>
      <c r="J135" s="138"/>
    </row>
    <row r="136" spans="1:10">
      <c r="A136" s="306" t="str">
        <f ca="1">A$74</f>
        <v xml:space="preserve">Istituto per lo sviluppo della formazione professionale dei lavoratori                              </v>
      </c>
      <c r="B136" s="366">
        <f ca="1">B$74</f>
        <v>120</v>
      </c>
      <c r="C136" s="366">
        <f ca="1">C$74</f>
        <v>619</v>
      </c>
      <c r="D136" s="307">
        <f ca="1">D$74</f>
        <v>5.9268292682926829</v>
      </c>
      <c r="E136" s="307">
        <f ca="1">G$74</f>
        <v>8.1999999999999993</v>
      </c>
      <c r="F136" s="307">
        <f ca="1">J$74</f>
        <v>3.8888888888888888</v>
      </c>
      <c r="G136" s="307">
        <f ca="1">M$74</f>
        <v>6.666666666666667</v>
      </c>
      <c r="H136" s="308">
        <f ca="1">P$74</f>
        <v>5.0769230769230766</v>
      </c>
      <c r="I136" s="138"/>
      <c r="J136" s="138"/>
    </row>
    <row r="137" spans="1:10">
      <c r="A137" s="306" t="str">
        <f ca="1">A$68</f>
        <v>Istituto per lo sviluppo della formazione professionale dei lavoratori</v>
      </c>
      <c r="B137" s="366">
        <f ca="1">B$68</f>
        <v>120</v>
      </c>
      <c r="C137" s="366">
        <f ca="1">C$68</f>
        <v>619</v>
      </c>
      <c r="D137" s="307">
        <f ca="1">D$68</f>
        <v>5.7804878048780486</v>
      </c>
      <c r="E137" s="307">
        <f ca="1">G$68</f>
        <v>5.6</v>
      </c>
      <c r="F137" s="307">
        <f ca="1">J$68</f>
        <v>3.6666666666666665</v>
      </c>
      <c r="G137" s="307">
        <f ca="1">M$68</f>
        <v>8.4444444444444446</v>
      </c>
      <c r="H137" s="308">
        <f ca="1">P$68</f>
        <v>5.5384615384615383</v>
      </c>
      <c r="I137" s="138"/>
      <c r="J137" s="138"/>
    </row>
    <row r="138" spans="1:10">
      <c r="A138" s="306" t="str">
        <f ca="1">A$66</f>
        <v>Ente nazionale previdenza assistenza lavoratori dello spettacolo</v>
      </c>
      <c r="B138" s="366">
        <f ca="1">B$66</f>
        <v>62</v>
      </c>
      <c r="C138" s="366">
        <f ca="1">C$66</f>
        <v>383</v>
      </c>
      <c r="D138" s="307">
        <f ca="1">D$66</f>
        <v>7.6829268292682924</v>
      </c>
      <c r="E138" s="307">
        <f ca="1">G$66</f>
        <v>8.8000000000000007</v>
      </c>
      <c r="F138" s="307">
        <f ca="1">J$66</f>
        <v>8.3333333333333339</v>
      </c>
      <c r="G138" s="307">
        <f ca="1">M$66</f>
        <v>6.8888888888888893</v>
      </c>
      <c r="H138" s="308">
        <f ca="1">P$66</f>
        <v>6.9230769230769234</v>
      </c>
      <c r="I138" s="138"/>
      <c r="J138" s="138"/>
    </row>
    <row r="139" spans="1:10">
      <c r="A139" s="306" t="str">
        <f ca="1">A$73</f>
        <v xml:space="preserve">Istituto dei postelegrafonici                                                                       </v>
      </c>
      <c r="B139" s="366">
        <f ca="1">B$73</f>
        <v>36</v>
      </c>
      <c r="C139" s="366">
        <f ca="1">C$73</f>
        <v>295</v>
      </c>
      <c r="D139" s="307">
        <f ca="1">D$73</f>
        <v>8.0975609756097562</v>
      </c>
      <c r="E139" s="307">
        <f ca="1">G$73</f>
        <v>7.2</v>
      </c>
      <c r="F139" s="307">
        <f ca="1">J$73</f>
        <v>8.4444444444444446</v>
      </c>
      <c r="G139" s="307">
        <f ca="1">M$73</f>
        <v>8</v>
      </c>
      <c r="H139" s="308">
        <f ca="1">P$73</f>
        <v>8.615384615384615</v>
      </c>
      <c r="I139" s="138"/>
      <c r="J139" s="138"/>
    </row>
    <row r="140" spans="1:10">
      <c r="A140" s="306" t="str">
        <f ca="1">A$62</f>
        <v xml:space="preserve">Agenzia per le erogazioni in agricoltura                                                            </v>
      </c>
      <c r="B140" s="366">
        <f ca="1">B$62</f>
        <v>113</v>
      </c>
      <c r="C140" s="366">
        <f ca="1">C$62</f>
        <v>283</v>
      </c>
      <c r="D140" s="307">
        <f ca="1">D$62</f>
        <v>7.2682926829268295</v>
      </c>
      <c r="E140" s="307">
        <f ca="1">G$62</f>
        <v>5.6</v>
      </c>
      <c r="F140" s="307">
        <f ca="1">J$62</f>
        <v>9.5555555555555554</v>
      </c>
      <c r="G140" s="307">
        <f ca="1">M$62</f>
        <v>6.666666666666667</v>
      </c>
      <c r="H140" s="308">
        <f ca="1">P$62</f>
        <v>7.384615384615385</v>
      </c>
      <c r="I140" s="138"/>
      <c r="J140" s="369" t="s">
        <v>372</v>
      </c>
    </row>
    <row r="141" spans="1:10">
      <c r="A141" s="377" t="str">
        <f ca="1">A$70</f>
        <v xml:space="preserve">Istituto nazionale di economia agraria                 </v>
      </c>
      <c r="B141" s="378">
        <f ca="1">B$70</f>
        <v>60</v>
      </c>
      <c r="C141" s="378">
        <f ca="1">C$70</f>
        <v>237</v>
      </c>
      <c r="D141" s="379">
        <f ca="1">D$70</f>
        <v>5.8780487804878048</v>
      </c>
      <c r="E141" s="379">
        <f ca="1">G$70</f>
        <v>5.5</v>
      </c>
      <c r="F141" s="379">
        <f ca="1">J$70</f>
        <v>6.2222222222222223</v>
      </c>
      <c r="G141" s="379">
        <f ca="1">M$70</f>
        <v>6.2222222222222223</v>
      </c>
      <c r="H141" s="380">
        <f ca="1">P$70</f>
        <v>5.6923076923076925</v>
      </c>
      <c r="I141" s="138"/>
      <c r="J141" s="138"/>
    </row>
    <row r="142" spans="1:10">
      <c r="A142" s="306" t="str">
        <f ca="1">A$77</f>
        <v>Unione nazionale incremento razze equine</v>
      </c>
      <c r="B142" s="366">
        <f ca="1">B$77</f>
        <v>64</v>
      </c>
      <c r="C142" s="366">
        <f ca="1">C$77</f>
        <v>181</v>
      </c>
      <c r="D142" s="307">
        <f ca="1">D$77</f>
        <v>4.9024390243902438</v>
      </c>
      <c r="E142" s="307">
        <f ca="1">G$77</f>
        <v>6.8</v>
      </c>
      <c r="F142" s="307">
        <f ca="1">J$77</f>
        <v>3.6666666666666665</v>
      </c>
      <c r="G142" s="307">
        <f ca="1">M$77</f>
        <v>3.3333333333333335</v>
      </c>
      <c r="H142" s="308">
        <f ca="1">P$77</f>
        <v>5.384615384615385</v>
      </c>
      <c r="I142" s="138"/>
      <c r="J142" s="138"/>
    </row>
    <row r="143" spans="1:10" s="58" customFormat="1" ht="12" customHeight="1">
      <c r="A143" s="377" t="str">
        <f ca="1">A$39</f>
        <v xml:space="preserve">Ministero per i beni e le attività culturali                                                     </v>
      </c>
      <c r="B143" s="378">
        <f ca="1">B$39</f>
        <v>3</v>
      </c>
      <c r="C143" s="378">
        <v>0</v>
      </c>
      <c r="D143" s="379">
        <f ca="1">D$39</f>
        <v>0.34146341463414637</v>
      </c>
      <c r="E143" s="379">
        <f ca="1">G$39</f>
        <v>0</v>
      </c>
      <c r="F143" s="379">
        <f ca="1">J$39</f>
        <v>1.1111111111111112</v>
      </c>
      <c r="G143" s="379">
        <f ca="1">M$39</f>
        <v>0.22222222222222221</v>
      </c>
      <c r="H143" s="380">
        <f ca="1">P$39</f>
        <v>0.15384615384615385</v>
      </c>
      <c r="I143" s="138"/>
      <c r="J143" s="138"/>
    </row>
    <row r="144" spans="1:10">
      <c r="A144" s="306"/>
      <c r="B144" s="366"/>
      <c r="C144" s="366"/>
      <c r="D144" s="307"/>
      <c r="E144" s="307"/>
      <c r="F144" s="307"/>
      <c r="G144" s="307"/>
      <c r="H144" s="308"/>
      <c r="I144" s="138"/>
      <c r="J144" s="138"/>
    </row>
    <row r="145" spans="1:33">
      <c r="A145" s="306"/>
      <c r="B145" s="366"/>
      <c r="C145" s="366"/>
      <c r="D145" s="307"/>
      <c r="E145" s="307"/>
      <c r="F145" s="307"/>
      <c r="G145" s="307"/>
      <c r="H145" s="308"/>
      <c r="I145" s="138"/>
      <c r="J145" s="138"/>
    </row>
    <row r="146" spans="1:33">
      <c r="A146" s="306"/>
      <c r="B146" s="366"/>
      <c r="C146" s="366"/>
      <c r="D146" s="307"/>
      <c r="E146" s="307"/>
      <c r="F146" s="307"/>
      <c r="G146" s="307"/>
      <c r="H146" s="308"/>
    </row>
    <row r="147" spans="1:33">
      <c r="A147" s="306"/>
      <c r="B147" s="366"/>
      <c r="C147" s="366"/>
      <c r="D147" s="307"/>
      <c r="E147" s="307"/>
      <c r="F147" s="307"/>
      <c r="G147" s="307"/>
      <c r="H147" s="308"/>
    </row>
    <row r="148" spans="1:33">
      <c r="A148" s="306"/>
      <c r="B148" s="366"/>
      <c r="C148" s="366"/>
      <c r="D148" s="307"/>
      <c r="E148" s="307"/>
      <c r="F148" s="307"/>
      <c r="G148" s="307"/>
      <c r="H148" s="308"/>
    </row>
    <row r="149" spans="1:33">
      <c r="A149" s="306"/>
      <c r="B149" s="366"/>
      <c r="C149" s="366"/>
      <c r="D149" s="307"/>
      <c r="E149" s="307"/>
      <c r="F149" s="307"/>
      <c r="G149" s="307"/>
      <c r="H149" s="308"/>
    </row>
    <row r="150" spans="1:33">
      <c r="A150" s="306"/>
      <c r="B150" s="366"/>
      <c r="C150" s="366"/>
      <c r="D150" s="307"/>
      <c r="E150" s="307"/>
      <c r="F150" s="307"/>
      <c r="G150" s="307"/>
      <c r="H150" s="308"/>
    </row>
    <row r="151" spans="1:33">
      <c r="A151" s="306"/>
      <c r="B151" s="366"/>
      <c r="C151" s="366"/>
      <c r="D151" s="307"/>
      <c r="E151" s="307"/>
      <c r="F151" s="307"/>
      <c r="G151" s="307"/>
      <c r="H151" s="308"/>
      <c r="I151" s="58"/>
      <c r="J151" s="58"/>
    </row>
    <row r="152" spans="1:33">
      <c r="A152" s="306"/>
      <c r="B152" s="366"/>
      <c r="C152" s="366"/>
      <c r="D152" s="307"/>
      <c r="E152" s="307"/>
      <c r="F152" s="307"/>
      <c r="G152" s="307"/>
      <c r="H152" s="308"/>
    </row>
    <row r="153" spans="1:33">
      <c r="A153" s="303"/>
      <c r="B153" s="381"/>
      <c r="C153" s="381"/>
      <c r="D153" s="304"/>
      <c r="E153" s="304"/>
      <c r="F153" s="304"/>
      <c r="G153" s="304"/>
      <c r="H153" s="305"/>
    </row>
    <row r="154" spans="1:33">
      <c r="A154" s="131"/>
      <c r="B154" s="376"/>
      <c r="C154" s="376"/>
      <c r="D154" s="130"/>
      <c r="E154" s="130"/>
      <c r="F154" s="130"/>
      <c r="G154" s="130"/>
      <c r="H154" s="130"/>
    </row>
    <row r="155" spans="1:33">
      <c r="A155" s="131">
        <f>168-112</f>
        <v>56</v>
      </c>
      <c r="B155" s="367"/>
      <c r="C155" s="367"/>
      <c r="D155" s="130"/>
      <c r="E155" s="130"/>
      <c r="F155" s="130"/>
      <c r="G155" s="130"/>
      <c r="H155" s="130"/>
    </row>
    <row r="156" spans="1:33">
      <c r="A156" s="131"/>
      <c r="B156" s="367"/>
      <c r="C156" s="367"/>
      <c r="D156" s="130"/>
      <c r="E156" s="130"/>
      <c r="F156" s="130"/>
      <c r="G156" s="130"/>
      <c r="H156" s="130"/>
    </row>
    <row r="157" spans="1:33">
      <c r="E157" s="131"/>
      <c r="F157" s="367"/>
      <c r="G157" s="367"/>
      <c r="H157" s="130"/>
      <c r="I157" s="130"/>
      <c r="J157" s="130"/>
    </row>
    <row r="158" spans="1:33">
      <c r="E158" s="131"/>
      <c r="F158" s="367"/>
      <c r="G158" s="367"/>
      <c r="H158" s="130"/>
      <c r="I158" s="130"/>
      <c r="J158" s="130"/>
      <c r="K158" s="130"/>
      <c r="L158" s="130"/>
    </row>
    <row r="159" spans="1:33" ht="12.75" customHeight="1">
      <c r="A159" s="408" t="s">
        <v>318</v>
      </c>
      <c r="B159" s="408" t="s">
        <v>276</v>
      </c>
      <c r="C159" s="415" t="s">
        <v>175</v>
      </c>
      <c r="D159" s="609" t="s">
        <v>391</v>
      </c>
      <c r="E159" s="610"/>
      <c r="F159" s="610"/>
      <c r="G159" s="610"/>
      <c r="H159" s="610"/>
      <c r="I159" s="611"/>
      <c r="J159" s="606" t="s">
        <v>319</v>
      </c>
      <c r="K159" s="607"/>
      <c r="L159" s="607"/>
      <c r="M159" s="607"/>
      <c r="N159" s="607"/>
      <c r="O159" s="608"/>
      <c r="P159" s="606" t="s">
        <v>320</v>
      </c>
      <c r="Q159" s="607"/>
      <c r="R159" s="607"/>
      <c r="S159" s="607"/>
      <c r="T159" s="607"/>
      <c r="U159" s="608"/>
      <c r="V159" s="606" t="s">
        <v>321</v>
      </c>
      <c r="W159" s="607"/>
      <c r="X159" s="607"/>
      <c r="Y159" s="607"/>
      <c r="Z159" s="607"/>
      <c r="AA159" s="608"/>
      <c r="AB159" s="606" t="s">
        <v>322</v>
      </c>
      <c r="AC159" s="607"/>
      <c r="AD159" s="607"/>
      <c r="AE159" s="607"/>
      <c r="AF159" s="607"/>
      <c r="AG159" s="608"/>
    </row>
    <row r="160" spans="1:33">
      <c r="A160" s="409"/>
      <c r="B160" s="409"/>
      <c r="C160" s="410"/>
      <c r="D160" s="409">
        <v>2005</v>
      </c>
      <c r="E160" s="494">
        <v>2006</v>
      </c>
      <c r="F160" s="494">
        <v>2007</v>
      </c>
      <c r="G160" s="494">
        <v>2008</v>
      </c>
      <c r="H160" s="527">
        <v>2009</v>
      </c>
      <c r="I160" s="410">
        <v>2010</v>
      </c>
      <c r="J160" s="409">
        <v>2005</v>
      </c>
      <c r="K160" s="494">
        <v>2006</v>
      </c>
      <c r="L160" s="494">
        <v>2007</v>
      </c>
      <c r="M160" s="494">
        <v>2008</v>
      </c>
      <c r="N160" s="527">
        <v>2009</v>
      </c>
      <c r="O160" s="410">
        <v>2010</v>
      </c>
      <c r="P160" s="409">
        <v>2005</v>
      </c>
      <c r="Q160" s="494">
        <v>2006</v>
      </c>
      <c r="R160" s="494">
        <v>2007</v>
      </c>
      <c r="S160" s="494">
        <v>2008</v>
      </c>
      <c r="T160" s="528">
        <v>2009</v>
      </c>
      <c r="U160" s="410">
        <v>2010</v>
      </c>
      <c r="V160" s="409">
        <v>2005</v>
      </c>
      <c r="W160" s="494">
        <v>2006</v>
      </c>
      <c r="X160" s="494">
        <v>2007</v>
      </c>
      <c r="Y160" s="494">
        <v>2008</v>
      </c>
      <c r="Z160" s="527">
        <v>2009</v>
      </c>
      <c r="AA160" s="410">
        <v>2010</v>
      </c>
      <c r="AB160" s="409">
        <v>2005</v>
      </c>
      <c r="AC160" s="494">
        <v>2006</v>
      </c>
      <c r="AD160" s="494">
        <v>2007</v>
      </c>
      <c r="AE160" s="494">
        <v>2008</v>
      </c>
      <c r="AF160" s="527">
        <v>2009</v>
      </c>
      <c r="AG160" s="410">
        <v>2010</v>
      </c>
    </row>
    <row r="161" spans="1:36">
      <c r="A161" s="256" t="str">
        <f t="shared" ref="A161:C180" ca="1" si="26">A32</f>
        <v>Avvocatura Generale dello Stato</v>
      </c>
      <c r="B161" s="15">
        <f t="shared" ca="1" si="26"/>
        <v>57</v>
      </c>
      <c r="C161" s="126">
        <f t="shared" ca="1" si="26"/>
        <v>1274</v>
      </c>
      <c r="D161" s="411">
        <f ca="1">IFERROR(VLOOKUP(B161,'Risultati 2005'!$B$68:$G$111, 2, FALSE), 0)</f>
        <v>4.8</v>
      </c>
      <c r="E161" s="412">
        <f ca="1">IFERROR(VLOOKUP(B161,'Risultati 2006'!$B$75:$G$125, 2, FALSE),0)</f>
        <v>6.083333333333333</v>
      </c>
      <c r="F161" s="412">
        <f ca="1">IFERROR(VLOOKUP(B161,'Risultati 2007'!$C$86:$H$147, 2, FALSE),0)</f>
        <v>4.4146341463414638</v>
      </c>
      <c r="G161" s="412">
        <f ca="1">IFERROR(VLOOKUP(B161,'Risultati 2008'!$C$81:$D$137, 2, FALSE),0)</f>
        <v>4.3658536585365857</v>
      </c>
      <c r="H161" s="412">
        <f ca="1">IFERROR(VLOOKUP($B161,'Risultati 2009'!$C$81:$G$141,2, FALSE), 0)</f>
        <v>5.5853658536585362</v>
      </c>
      <c r="I161" s="499">
        <f t="shared" ref="I161:I206" ca="1" si="27">D32</f>
        <v>5.4878048780487809</v>
      </c>
      <c r="J161" s="411">
        <f ca="1">IFERROR(VLOOKUP(B161,'Risultati 2005'!$B$68:$G$111, 3, FALSE),0)</f>
        <v>4.583333333333333</v>
      </c>
      <c r="K161" s="412">
        <f ca="1">IFERROR(VLOOKUP(B161,'Risultati 2006'!$B$75:$G$125, 3, FALSE),0)</f>
        <v>7.5</v>
      </c>
      <c r="L161" s="412">
        <f ca="1">IFERROR(VLOOKUP(B161,'Risultati 2007'!$C$86:$H$147, 3, FALSE), 0)</f>
        <v>4.4000000000000004</v>
      </c>
      <c r="M161" s="412">
        <f ca="1">IFERROR(VLOOKUP(B161,'Risultati 2008'!$C$81:$G$142, 3, FALSE), 0)</f>
        <v>4.5999999999999996</v>
      </c>
      <c r="N161" s="412">
        <f ca="1">IFERROR(VLOOKUP($B161,'Risultati 2009'!$C$81:$G$141, 3, FALSE), 0)</f>
        <v>6.6</v>
      </c>
      <c r="O161" s="418">
        <f t="shared" ref="O161:O206" ca="1" si="28">G32</f>
        <v>5.4</v>
      </c>
      <c r="P161" s="411">
        <f ca="1">IFERROR(VLOOKUP(B161,'Risultati 2005'!$B$68:$G$111, 4, FALSE),0)</f>
        <v>5.8571428571428568</v>
      </c>
      <c r="Q161" s="412">
        <f ca="1">IFERROR(VLOOKUP(B161,'Risultati 2006'!$B$75:$G$125, 4, FALSE),0)</f>
        <v>7</v>
      </c>
      <c r="R161" s="412">
        <f ca="1">IFERROR(VLOOKUP(B161,'Risultati 2007'!$C$86:$H$147, 4, FALSE),0)</f>
        <v>6.333333333333333</v>
      </c>
      <c r="S161" s="412">
        <f ca="1">IFERROR(VLOOKUP(B161,'Risultati 2008'!$C$81:$G$142, 4, FALSE), 0)</f>
        <v>4.5555555555555554</v>
      </c>
      <c r="T161" s="412">
        <f ca="1">IFERROR(VLOOKUP($B161,'Risultati 2009'!$C$81:$G$141, 4, FALSE), 0)</f>
        <v>5.666666666666667</v>
      </c>
      <c r="U161" s="418">
        <f t="shared" ref="U161:U206" ca="1" si="29">J32</f>
        <v>3.4444444444444446</v>
      </c>
      <c r="V161" s="411">
        <f ca="1">IFERROR(VLOOKUP(B161,'Risultati 2005'!$B$68:$G$111, 5, FALSE),0)</f>
        <v>2.5</v>
      </c>
      <c r="W161" s="412">
        <f ca="1">IFERROR(VLOOKUP(B161,'Risultati 2006'!$B$75:$G$125, 5, FALSE),0)</f>
        <v>3.7777777777777777</v>
      </c>
      <c r="X161" s="412">
        <f ca="1">IFERROR(VLOOKUP(B161,'Risultati 2007'!$C$86:$H$147, 5, FALSE),0)</f>
        <v>5.1111111111111107</v>
      </c>
      <c r="Y161" s="412">
        <f ca="1">IFERROR(VLOOKUP(B161,'Risultati 2008'!$C$81:$G$142, 5, FALSE), 0)</f>
        <v>5.1111111111111107</v>
      </c>
      <c r="Z161" s="412">
        <f ca="1">IFERROR(VLOOKUP($B161,'Risultati 2009'!$C$81:$G$141, 5, FALSE), 0)</f>
        <v>7.7777777777777777</v>
      </c>
      <c r="AA161" s="418">
        <f t="shared" ref="AA161:AA206" ca="1" si="30">M32</f>
        <v>5.5555555555555554</v>
      </c>
      <c r="AB161" s="411">
        <f ca="1">IFERROR(VLOOKUP(B161,'Risultati 2005'!$B$68:$G$111, 6, FALSE),0)</f>
        <v>5.0588235294117645</v>
      </c>
      <c r="AC161" s="412">
        <f ca="1">IFERROR(VLOOKUP(B161,'Risultati 2006'!$B$75:$G$125, 6, FALSE),0)</f>
        <v>6.384615384615385</v>
      </c>
      <c r="AD161" s="412">
        <f ca="1">IFERROR(VLOOKUP(B161,'Risultati 2007'!$C$86:$H$147, 6, FALSE),0)</f>
        <v>2.6153846153846154</v>
      </c>
      <c r="AE161" s="412">
        <f ca="1">IFERROR(VLOOKUP(B161,'Risultati 2008'!$C$81:$H$142, 6, FALSE), 0)</f>
        <v>3.5384615384615383</v>
      </c>
      <c r="AF161" s="412">
        <f ca="1">IFERROR(VLOOKUP($B161,'Risultati 2009'!$C$81:$H$141, 6, FALSE), 0)</f>
        <v>3.2307692307692308</v>
      </c>
      <c r="AG161" s="418">
        <f t="shared" ref="AG161:AG206" ca="1" si="31">P32</f>
        <v>6.9230769230769234</v>
      </c>
      <c r="AH161" s="413"/>
      <c r="AI161" s="413"/>
      <c r="AJ161" s="413"/>
    </row>
    <row r="162" spans="1:36">
      <c r="A162" s="257" t="str">
        <f t="shared" ca="1" si="26"/>
        <v xml:space="preserve">Consiglio di Stato                                                                    </v>
      </c>
      <c r="B162" s="11">
        <f t="shared" ca="1" si="26"/>
        <v>101</v>
      </c>
      <c r="C162" s="19">
        <f t="shared" ca="1" si="26"/>
        <v>839</v>
      </c>
      <c r="D162" s="416">
        <f ca="1">IFERROR(VLOOKUP(B162,'Risultati 2005'!$B$68:$G$111, 2, FALSE), 0)</f>
        <v>0</v>
      </c>
      <c r="E162" s="413">
        <f ca="1">IFERROR(VLOOKUP(B162,'Risultati 2006'!$B$75:$G$125, 2, FALSE),0)</f>
        <v>6.4722222222222223</v>
      </c>
      <c r="F162" s="413">
        <f ca="1">IFERROR(VLOOKUP(B162,'Risultati 2007'!$C$86:$H$147, 2, FALSE),0)</f>
        <v>4.6097560975609753</v>
      </c>
      <c r="G162" s="413">
        <f ca="1">IFERROR(VLOOKUP(B162,'Risultati 2008'!$C$81:$D$137, 2, FALSE),0)</f>
        <v>4.5853658536585362</v>
      </c>
      <c r="H162" s="413">
        <f ca="1">IFERROR(VLOOKUP($B162,'Risultati 2009'!$C$81:$G$141,2, FALSE), 0)</f>
        <v>5.9024390243902438</v>
      </c>
      <c r="I162" s="500">
        <f t="shared" ca="1" si="27"/>
        <v>7.6097560975609753</v>
      </c>
      <c r="J162" s="416">
        <f ca="1">IFERROR(VLOOKUP(B162,'Risultati 2005'!$B$68:$G$111, 3, FALSE),0)</f>
        <v>0</v>
      </c>
      <c r="K162" s="413">
        <f ca="1">IFERROR(VLOOKUP(B162,'Risultati 2006'!$B$75:$G$125, 3, FALSE),0)</f>
        <v>6</v>
      </c>
      <c r="L162" s="413">
        <f ca="1">IFERROR(VLOOKUP(B162,'Risultati 2007'!$C$86:$H$147, 3, FALSE), 0)</f>
        <v>5.6</v>
      </c>
      <c r="M162" s="413">
        <f ca="1">IFERROR(VLOOKUP(B162,'Risultati 2008'!$C$81:$G$142, 3, FALSE), 0)</f>
        <v>7.4</v>
      </c>
      <c r="N162" s="413">
        <f ca="1">IFERROR(VLOOKUP($B162,'Risultati 2009'!$C$81:$G$141, 3, FALSE), 0)</f>
        <v>9</v>
      </c>
      <c r="O162" s="417">
        <f t="shared" ca="1" si="28"/>
        <v>9.4</v>
      </c>
      <c r="P162" s="416">
        <f ca="1">IFERROR(VLOOKUP(B162,'Risultati 2005'!$B$68:$G$111, 4, FALSE),0)</f>
        <v>0</v>
      </c>
      <c r="Q162" s="413">
        <f ca="1">IFERROR(VLOOKUP(B162,'Risultati 2006'!$B$75:$G$125, 4, FALSE),0)</f>
        <v>5.666666666666667</v>
      </c>
      <c r="R162" s="413">
        <f ca="1">IFERROR(VLOOKUP(B162,'Risultati 2007'!$C$86:$H$147, 4, FALSE),0)</f>
        <v>3.8888888888888888</v>
      </c>
      <c r="S162" s="413">
        <f ca="1">IFERROR(VLOOKUP(B162,'Risultati 2008'!$C$81:$G$142, 4, FALSE), 0)</f>
        <v>4</v>
      </c>
      <c r="T162" s="413">
        <f ca="1">IFERROR(VLOOKUP($B162,'Risultati 2009'!$C$81:$G$141, 4, FALSE), 0)</f>
        <v>7.2222222222222223</v>
      </c>
      <c r="U162" s="417">
        <f t="shared" ca="1" si="29"/>
        <v>7.2222222222222223</v>
      </c>
      <c r="V162" s="416">
        <f ca="1">IFERROR(VLOOKUP(B162,'Risultati 2005'!$B$68:$G$111, 5, FALSE),0)</f>
        <v>0</v>
      </c>
      <c r="W162" s="413">
        <f ca="1">IFERROR(VLOOKUP(B162,'Risultati 2006'!$B$75:$G$125, 5, FALSE),0)</f>
        <v>7.5555555555555554</v>
      </c>
      <c r="X162" s="413">
        <f ca="1">IFERROR(VLOOKUP(B162,'Risultati 2007'!$C$86:$H$147, 5, FALSE),0)</f>
        <v>2.8888888888888888</v>
      </c>
      <c r="Y162" s="413">
        <f ca="1">IFERROR(VLOOKUP(B162,'Risultati 2008'!$C$81:$G$142, 5, FALSE), 0)</f>
        <v>2</v>
      </c>
      <c r="Z162" s="413">
        <f ca="1">IFERROR(VLOOKUP($B162,'Risultati 2009'!$C$81:$G$141, 5, FALSE), 0)</f>
        <v>2.1111111111111112</v>
      </c>
      <c r="AA162" s="417">
        <f t="shared" ca="1" si="30"/>
        <v>3.8888888888888888</v>
      </c>
      <c r="AB162" s="416">
        <f ca="1">IFERROR(VLOOKUP(B162,'Risultati 2005'!$B$68:$G$111, 6, FALSE),0)</f>
        <v>0</v>
      </c>
      <c r="AC162" s="413">
        <f ca="1">IFERROR(VLOOKUP(B162,'Risultati 2006'!$B$75:$G$125, 6, FALSE),0)</f>
        <v>6.384615384615385</v>
      </c>
      <c r="AD162" s="413">
        <f ca="1">IFERROR(VLOOKUP(B162,'Risultati 2007'!$C$86:$H$147, 6, FALSE),0)</f>
        <v>5.5384615384615383</v>
      </c>
      <c r="AE162" s="413">
        <f ca="1">IFERROR(VLOOKUP(B162,'Risultati 2008'!$C$81:$H$142, 6, FALSE), 0)</f>
        <v>4.615384615384615</v>
      </c>
      <c r="AF162" s="413">
        <f ca="1">IFERROR(VLOOKUP($B162,'Risultati 2009'!$C$81:$H$141, 6, FALSE), 0)</f>
        <v>5.2307692307692308</v>
      </c>
      <c r="AG162" s="417">
        <f t="shared" ca="1" si="31"/>
        <v>9.0769230769230766</v>
      </c>
      <c r="AH162" s="413"/>
      <c r="AI162" s="413"/>
      <c r="AJ162" s="413"/>
    </row>
    <row r="163" spans="1:36">
      <c r="A163" s="257" t="str">
        <f t="shared" ca="1" si="26"/>
        <v xml:space="preserve">Corte dei conti                                                                                     </v>
      </c>
      <c r="B163" s="11">
        <f t="shared" ca="1" si="26"/>
        <v>33</v>
      </c>
      <c r="C163" s="19">
        <f t="shared" ca="1" si="26"/>
        <v>3155</v>
      </c>
      <c r="D163" s="416">
        <f ca="1">IFERROR(VLOOKUP(B163,'Risultati 2005'!$B$68:$G$111, 2, FALSE), 0)</f>
        <v>5.7</v>
      </c>
      <c r="E163" s="413">
        <f ca="1">IFERROR(VLOOKUP(B163,'Risultati 2006'!$B$75:$G$125, 2, FALSE),0)</f>
        <v>7.0277777777777777</v>
      </c>
      <c r="F163" s="413">
        <f ca="1">IFERROR(VLOOKUP(B163,'Risultati 2007'!$C$86:$H$147, 2, FALSE),0)</f>
        <v>7.9268292682926829</v>
      </c>
      <c r="G163" s="413">
        <f ca="1">IFERROR(VLOOKUP(B163,'Risultati 2008'!$C$81:$D$137, 2, FALSE),0)</f>
        <v>7.0731707317073171</v>
      </c>
      <c r="H163" s="413">
        <f ca="1">IFERROR(VLOOKUP($B163,'Risultati 2009'!$C$81:$G$141,2, FALSE), 0)</f>
        <v>6.9268292682926829</v>
      </c>
      <c r="I163" s="500">
        <f t="shared" ca="1" si="27"/>
        <v>8.2439024390243905</v>
      </c>
      <c r="J163" s="416">
        <f ca="1">IFERROR(VLOOKUP(B163,'Risultati 2005'!$B$68:$G$111, 3, FALSE),0)</f>
        <v>6.833333333333333</v>
      </c>
      <c r="K163" s="413">
        <f ca="1">IFERROR(VLOOKUP(B163,'Risultati 2006'!$B$75:$G$125, 3, FALSE),0)</f>
        <v>8.75</v>
      </c>
      <c r="L163" s="413">
        <f ca="1">IFERROR(VLOOKUP(B163,'Risultati 2007'!$C$86:$H$147, 3, FALSE), 0)</f>
        <v>8.1</v>
      </c>
      <c r="M163" s="413">
        <f ca="1">IFERROR(VLOOKUP(B163,'Risultati 2008'!$C$81:$G$142, 3, FALSE), 0)</f>
        <v>7.7</v>
      </c>
      <c r="N163" s="413">
        <f ca="1">IFERROR(VLOOKUP($B163,'Risultati 2009'!$C$81:$G$141, 3, FALSE), 0)</f>
        <v>8.6999999999999993</v>
      </c>
      <c r="O163" s="417">
        <f t="shared" ca="1" si="28"/>
        <v>8.5</v>
      </c>
      <c r="P163" s="416">
        <f ca="1">IFERROR(VLOOKUP(B163,'Risultati 2005'!$B$68:$G$111, 4, FALSE),0)</f>
        <v>9.2857142857142865</v>
      </c>
      <c r="Q163" s="413">
        <f ca="1">IFERROR(VLOOKUP(B163,'Risultati 2006'!$B$75:$G$125, 4, FALSE),0)</f>
        <v>10</v>
      </c>
      <c r="R163" s="413">
        <f ca="1">IFERROR(VLOOKUP(B163,'Risultati 2007'!$C$86:$H$147, 4, FALSE),0)</f>
        <v>10</v>
      </c>
      <c r="S163" s="413">
        <f ca="1">IFERROR(VLOOKUP(B163,'Risultati 2008'!$C$81:$G$142, 4, FALSE), 0)</f>
        <v>9.4444444444444446</v>
      </c>
      <c r="T163" s="413">
        <f ca="1">IFERROR(VLOOKUP($B163,'Risultati 2009'!$C$81:$G$141, 4, FALSE), 0)</f>
        <v>9.4444444444444446</v>
      </c>
      <c r="U163" s="417">
        <f t="shared" ca="1" si="29"/>
        <v>9.4444444444444446</v>
      </c>
      <c r="V163" s="416">
        <f ca="1">IFERROR(VLOOKUP(B163,'Risultati 2005'!$B$68:$G$111, 5, FALSE),0)</f>
        <v>10</v>
      </c>
      <c r="W163" s="413">
        <f ca="1">IFERROR(VLOOKUP(B163,'Risultati 2006'!$B$75:$G$125, 5, FALSE),0)</f>
        <v>6.333333333333333</v>
      </c>
      <c r="X163" s="413">
        <f ca="1">IFERROR(VLOOKUP(B163,'Risultati 2007'!$C$86:$H$147, 5, FALSE),0)</f>
        <v>7.7777777777777777</v>
      </c>
      <c r="Y163" s="413">
        <f ca="1">IFERROR(VLOOKUP(B163,'Risultati 2008'!$C$81:$G$142, 5, FALSE), 0)</f>
        <v>7.333333333333333</v>
      </c>
      <c r="Z163" s="413">
        <f ca="1">IFERROR(VLOOKUP($B163,'Risultati 2009'!$C$81:$G$141, 5, FALSE), 0)</f>
        <v>7.333333333333333</v>
      </c>
      <c r="AA163" s="417">
        <f t="shared" ca="1" si="30"/>
        <v>7.333333333333333</v>
      </c>
      <c r="AB163" s="416">
        <f ca="1">IFERROR(VLOOKUP(B163,'Risultati 2005'!$B$68:$G$111, 6, FALSE),0)</f>
        <v>2.4117647058823528</v>
      </c>
      <c r="AC163" s="413">
        <f ca="1">IFERROR(VLOOKUP(B163,'Risultati 2006'!$B$75:$G$125, 6, FALSE),0)</f>
        <v>5.0769230769230766</v>
      </c>
      <c r="AD163" s="413">
        <f ca="1">IFERROR(VLOOKUP(B163,'Risultati 2007'!$C$86:$H$147, 6, FALSE),0)</f>
        <v>6.4615384615384617</v>
      </c>
      <c r="AE163" s="413">
        <f ca="1">IFERROR(VLOOKUP(B163,'Risultati 2008'!$C$81:$H$142, 6, FALSE), 0)</f>
        <v>4.7692307692307692</v>
      </c>
      <c r="AF163" s="413">
        <f ca="1">IFERROR(VLOOKUP($B163,'Risultati 2009'!$C$81:$H$141, 6, FALSE), 0)</f>
        <v>3.5384615384615383</v>
      </c>
      <c r="AG163" s="417">
        <f t="shared" ca="1" si="31"/>
        <v>7.8461538461538458</v>
      </c>
      <c r="AH163" s="413"/>
      <c r="AI163" s="413"/>
      <c r="AJ163" s="413"/>
    </row>
    <row r="164" spans="1:36">
      <c r="A164" s="257" t="str">
        <f t="shared" ca="1" si="26"/>
        <v xml:space="preserve">Presidenza del Consiglio dei ministri                     </v>
      </c>
      <c r="B164" s="11">
        <f t="shared" ca="1" si="26"/>
        <v>22</v>
      </c>
      <c r="C164" s="19">
        <f t="shared" ca="1" si="26"/>
        <v>2246</v>
      </c>
      <c r="D164" s="416">
        <f ca="1">IFERROR(VLOOKUP(B164,'Risultati 2005'!$B$68:$G$111, 2, FALSE), 0)</f>
        <v>5.35</v>
      </c>
      <c r="E164" s="413">
        <f ca="1">IFERROR(VLOOKUP(B164,'Risultati 2006'!$B$75:$G$125, 2, FALSE),0)</f>
        <v>6</v>
      </c>
      <c r="F164" s="413">
        <f ca="1">IFERROR(VLOOKUP(B164,'Risultati 2007'!$C$86:$H$147, 2, FALSE),0)</f>
        <v>6.0487804878048781</v>
      </c>
      <c r="G164" s="413">
        <f ca="1">IFERROR(VLOOKUP(B164,'Risultati 2008'!$C$81:$D$137, 2, FALSE),0)</f>
        <v>6.1219512195121952</v>
      </c>
      <c r="H164" s="413">
        <f ca="1">IFERROR(VLOOKUP($B164,'Risultati 2009'!$C$81:$G$141,2, FALSE), 0)</f>
        <v>7.7317073170731705</v>
      </c>
      <c r="I164" s="500">
        <f t="shared" ca="1" si="27"/>
        <v>6.6341463414634143</v>
      </c>
      <c r="J164" s="416">
        <f ca="1">IFERROR(VLOOKUP(B164,'Risultati 2005'!$B$68:$G$111, 3, FALSE),0)</f>
        <v>4.666666666666667</v>
      </c>
      <c r="K164" s="413">
        <f ca="1">IFERROR(VLOOKUP(B164,'Risultati 2006'!$B$75:$G$125, 3, FALSE),0)</f>
        <v>7.5</v>
      </c>
      <c r="L164" s="413">
        <f ca="1">IFERROR(VLOOKUP(B164,'Risultati 2007'!$C$86:$H$147, 3, FALSE), 0)</f>
        <v>6.9</v>
      </c>
      <c r="M164" s="413">
        <f ca="1">IFERROR(VLOOKUP(B164,'Risultati 2008'!$C$81:$G$142, 3, FALSE), 0)</f>
        <v>7.4</v>
      </c>
      <c r="N164" s="413">
        <f ca="1">IFERROR(VLOOKUP($B164,'Risultati 2009'!$C$81:$G$141, 3, FALSE), 0)</f>
        <v>7.9</v>
      </c>
      <c r="O164" s="417">
        <f t="shared" ca="1" si="28"/>
        <v>7.7</v>
      </c>
      <c r="P164" s="416">
        <f ca="1">IFERROR(VLOOKUP(B164,'Risultati 2005'!$B$68:$G$111, 4, FALSE),0)</f>
        <v>9.2857142857142865</v>
      </c>
      <c r="Q164" s="413">
        <f ca="1">IFERROR(VLOOKUP(B164,'Risultati 2006'!$B$75:$G$125, 4, FALSE),0)</f>
        <v>7.666666666666667</v>
      </c>
      <c r="R164" s="413">
        <f ca="1">IFERROR(VLOOKUP(B164,'Risultati 2007'!$C$86:$H$147, 4, FALSE),0)</f>
        <v>6.7777777777777777</v>
      </c>
      <c r="S164" s="413">
        <f ca="1">IFERROR(VLOOKUP(B164,'Risultati 2008'!$C$81:$G$142, 4, FALSE), 0)</f>
        <v>7.4444444444444446</v>
      </c>
      <c r="T164" s="413">
        <f ca="1">IFERROR(VLOOKUP($B164,'Risultati 2009'!$C$81:$G$141, 4, FALSE), 0)</f>
        <v>9.1111111111111107</v>
      </c>
      <c r="U164" s="417">
        <f t="shared" ca="1" si="29"/>
        <v>8.8888888888888893</v>
      </c>
      <c r="V164" s="416">
        <f ca="1">IFERROR(VLOOKUP(B164,'Risultati 2005'!$B$68:$G$111, 5, FALSE),0)</f>
        <v>10</v>
      </c>
      <c r="W164" s="413">
        <f ca="1">IFERROR(VLOOKUP(B164,'Risultati 2006'!$B$75:$G$125, 5, FALSE),0)</f>
        <v>5.2222222222222223</v>
      </c>
      <c r="X164" s="413">
        <f ca="1">IFERROR(VLOOKUP(B164,'Risultati 2007'!$C$86:$H$147, 5, FALSE),0)</f>
        <v>5.7777777777777777</v>
      </c>
      <c r="Y164" s="413">
        <f ca="1">IFERROR(VLOOKUP(B164,'Risultati 2008'!$C$81:$G$142, 5, FALSE), 0)</f>
        <v>7.333333333333333</v>
      </c>
      <c r="Z164" s="413">
        <f ca="1">IFERROR(VLOOKUP($B164,'Risultati 2009'!$C$81:$G$141, 5, FALSE), 0)</f>
        <v>6.666666666666667</v>
      </c>
      <c r="AA164" s="417">
        <f t="shared" ca="1" si="30"/>
        <v>4.7777777777777777</v>
      </c>
      <c r="AB164" s="416">
        <f ca="1">IFERROR(VLOOKUP(B164,'Risultati 2005'!$B$68:$G$111, 6, FALSE),0)</f>
        <v>3.1176470588235294</v>
      </c>
      <c r="AC164" s="413">
        <f ca="1">IFERROR(VLOOKUP(B164,'Risultati 2006'!$B$75:$G$125, 6, FALSE),0)</f>
        <v>4.8461538461538458</v>
      </c>
      <c r="AD164" s="413">
        <f ca="1">IFERROR(VLOOKUP(B164,'Risultati 2007'!$C$86:$H$147, 6, FALSE),0)</f>
        <v>5.0769230769230766</v>
      </c>
      <c r="AE164" s="413">
        <f ca="1">IFERROR(VLOOKUP(B164,'Risultati 2008'!$C$81:$H$142, 6, FALSE), 0)</f>
        <v>3.3846153846153846</v>
      </c>
      <c r="AF164" s="413">
        <f ca="1">IFERROR(VLOOKUP($B164,'Risultati 2009'!$C$81:$H$141, 6, FALSE), 0)</f>
        <v>7.384615384615385</v>
      </c>
      <c r="AG164" s="417">
        <f t="shared" ca="1" si="31"/>
        <v>5.5384615384615383</v>
      </c>
      <c r="AH164" s="413"/>
      <c r="AI164" s="413"/>
      <c r="AJ164" s="413"/>
    </row>
    <row r="165" spans="1:36">
      <c r="A165" s="257" t="str">
        <f t="shared" ca="1" si="26"/>
        <v xml:space="preserve">Ministero degli affari esteri                                           </v>
      </c>
      <c r="B165" s="11">
        <f t="shared" ca="1" si="26"/>
        <v>8</v>
      </c>
      <c r="C165" s="19">
        <f t="shared" ca="1" si="26"/>
        <v>8678</v>
      </c>
      <c r="D165" s="416">
        <f ca="1">IFERROR(VLOOKUP(B165,'Risultati 2005'!$B$68:$G$111, 2, FALSE), 0)</f>
        <v>5.45</v>
      </c>
      <c r="E165" s="413">
        <f ca="1">IFERROR(VLOOKUP(B165,'Risultati 2006'!$B$75:$G$125, 2, FALSE),0)</f>
        <v>5.8611111111111107</v>
      </c>
      <c r="F165" s="413">
        <f ca="1">IFERROR(VLOOKUP(B165,'Risultati 2007'!$C$86:$H$147, 2, FALSE),0)</f>
        <v>7.1707317073170733</v>
      </c>
      <c r="G165" s="413">
        <f ca="1">IFERROR(VLOOKUP(B165,'Risultati 2008'!$C$81:$D$137, 2, FALSE),0)</f>
        <v>7.5121951219512191</v>
      </c>
      <c r="H165" s="413">
        <f ca="1">IFERROR(VLOOKUP($B165,'Risultati 2009'!$C$81:$G$141,2, FALSE), 0)</f>
        <v>7.2682926829268295</v>
      </c>
      <c r="I165" s="500">
        <f t="shared" ca="1" si="27"/>
        <v>6.6097560975609753</v>
      </c>
      <c r="J165" s="416">
        <f ca="1">IFERROR(VLOOKUP(B165,'Risultati 2005'!$B$68:$G$111, 3, FALSE),0)</f>
        <v>2.8333333333333335</v>
      </c>
      <c r="K165" s="413">
        <f ca="1">IFERROR(VLOOKUP(B165,'Risultati 2006'!$B$75:$G$125, 3, FALSE),0)</f>
        <v>8.5</v>
      </c>
      <c r="L165" s="413">
        <f ca="1">IFERROR(VLOOKUP(B165,'Risultati 2007'!$C$86:$H$147, 3, FALSE), 0)</f>
        <v>8.8000000000000007</v>
      </c>
      <c r="M165" s="413">
        <f ca="1">IFERROR(VLOOKUP(B165,'Risultati 2008'!$C$81:$G$142, 3, FALSE), 0)</f>
        <v>10</v>
      </c>
      <c r="N165" s="413">
        <f ca="1">IFERROR(VLOOKUP($B165,'Risultati 2009'!$C$81:$G$141, 3, FALSE), 0)</f>
        <v>10</v>
      </c>
      <c r="O165" s="417">
        <f t="shared" ca="1" si="28"/>
        <v>9.1999999999999993</v>
      </c>
      <c r="P165" s="416">
        <f ca="1">IFERROR(VLOOKUP(B165,'Risultati 2005'!$B$68:$G$111, 4, FALSE),0)</f>
        <v>5.8571428571428568</v>
      </c>
      <c r="Q165" s="413">
        <f ca="1">IFERROR(VLOOKUP(B165,'Risultati 2006'!$B$75:$G$125, 4, FALSE),0)</f>
        <v>8.6666666666666661</v>
      </c>
      <c r="R165" s="413">
        <f ca="1">IFERROR(VLOOKUP(B165,'Risultati 2007'!$C$86:$H$147, 4, FALSE),0)</f>
        <v>8</v>
      </c>
      <c r="S165" s="413">
        <f ca="1">IFERROR(VLOOKUP(B165,'Risultati 2008'!$C$81:$G$142, 4, FALSE), 0)</f>
        <v>8</v>
      </c>
      <c r="T165" s="413">
        <f ca="1">IFERROR(VLOOKUP($B165,'Risultati 2009'!$C$81:$G$141, 4, FALSE), 0)</f>
        <v>8.4444444444444446</v>
      </c>
      <c r="U165" s="417">
        <f t="shared" ca="1" si="29"/>
        <v>8.4444444444444446</v>
      </c>
      <c r="V165" s="416">
        <f ca="1">IFERROR(VLOOKUP(B165,'Risultati 2005'!$B$68:$G$111, 5, FALSE),0)</f>
        <v>10</v>
      </c>
      <c r="W165" s="413">
        <f ca="1">IFERROR(VLOOKUP(B165,'Risultati 2006'!$B$75:$G$125, 5, FALSE),0)</f>
        <v>4.4444444444444446</v>
      </c>
      <c r="X165" s="413">
        <f ca="1">IFERROR(VLOOKUP(B165,'Risultati 2007'!$C$86:$H$147, 5, FALSE),0)</f>
        <v>6.666666666666667</v>
      </c>
      <c r="Y165" s="413">
        <f ca="1">IFERROR(VLOOKUP(B165,'Risultati 2008'!$C$81:$G$142, 5, FALSE), 0)</f>
        <v>6.666666666666667</v>
      </c>
      <c r="Z165" s="413">
        <f ca="1">IFERROR(VLOOKUP($B165,'Risultati 2009'!$C$81:$G$141, 5, FALSE), 0)</f>
        <v>6.666666666666667</v>
      </c>
      <c r="AA165" s="417">
        <f t="shared" ca="1" si="30"/>
        <v>4.7777777777777777</v>
      </c>
      <c r="AB165" s="416">
        <f ca="1">IFERROR(VLOOKUP(B165,'Risultati 2005'!$B$68:$G$111, 6, FALSE),0)</f>
        <v>6.0588235294117645</v>
      </c>
      <c r="AC165" s="413">
        <f ca="1">IFERROR(VLOOKUP(B165,'Risultati 2006'!$B$75:$G$125, 6, FALSE),0)</f>
        <v>3.9230769230769229</v>
      </c>
      <c r="AD165" s="413">
        <f ca="1">IFERROR(VLOOKUP(B165,'Risultati 2007'!$C$86:$H$147, 6, FALSE),0)</f>
        <v>5.6923076923076925</v>
      </c>
      <c r="AE165" s="413">
        <f ca="1">IFERROR(VLOOKUP(B165,'Risultati 2008'!$C$81:$H$142, 6, FALSE), 0)</f>
        <v>5.8461538461538458</v>
      </c>
      <c r="AF165" s="413">
        <f ca="1">IFERROR(VLOOKUP($B165,'Risultati 2009'!$C$81:$H$141, 6, FALSE), 0)</f>
        <v>4.7692307692307692</v>
      </c>
      <c r="AG165" s="417">
        <f t="shared" ca="1" si="31"/>
        <v>4.615384615384615</v>
      </c>
      <c r="AH165" s="413"/>
      <c r="AI165" s="413"/>
      <c r="AJ165" s="413"/>
    </row>
    <row r="166" spans="1:36">
      <c r="A166" s="257" t="str">
        <f t="shared" ca="1" si="26"/>
        <v>Ministero dell'ambiente e della tutela del territorio e del mare</v>
      </c>
      <c r="B166" s="11">
        <f t="shared" ca="1" si="26"/>
        <v>102</v>
      </c>
      <c r="C166" s="19">
        <f t="shared" ca="1" si="26"/>
        <v>708</v>
      </c>
      <c r="D166" s="416">
        <f ca="1">IFERROR(VLOOKUP(B166,'Risultati 2005'!$B$68:$G$111, 2, FALSE), 0)</f>
        <v>0</v>
      </c>
      <c r="E166" s="413">
        <f ca="1">IFERROR(VLOOKUP(B166,'Risultati 2006'!$B$75:$G$125, 2, FALSE),0)</f>
        <v>5.3888888888888893</v>
      </c>
      <c r="F166" s="413">
        <f ca="1">IFERROR(VLOOKUP(B166,'Risultati 2007'!$C$86:$H$147, 2, FALSE),0)</f>
        <v>5.7317073170731705</v>
      </c>
      <c r="G166" s="413">
        <f ca="1">IFERROR(VLOOKUP(B166,'Risultati 2008'!$C$81:$D$137, 2, FALSE),0)</f>
        <v>5.7317073170731705</v>
      </c>
      <c r="H166" s="413">
        <f ca="1">IFERROR(VLOOKUP($B166,'Risultati 2009'!$C$81:$G$141,2, FALSE), 0)</f>
        <v>5.7317073170731705</v>
      </c>
      <c r="I166" s="500">
        <f t="shared" ca="1" si="27"/>
        <v>6.4634146341463419</v>
      </c>
      <c r="J166" s="416">
        <f ca="1">IFERROR(VLOOKUP(B166,'Risultati 2005'!$B$68:$G$111, 3, FALSE),0)</f>
        <v>0</v>
      </c>
      <c r="K166" s="413">
        <f ca="1">IFERROR(VLOOKUP(B166,'Risultati 2006'!$B$75:$G$125, 3, FALSE),0)</f>
        <v>7.5</v>
      </c>
      <c r="L166" s="413">
        <f ca="1">IFERROR(VLOOKUP(B166,'Risultati 2007'!$C$86:$H$147, 3, FALSE), 0)</f>
        <v>8.5</v>
      </c>
      <c r="M166" s="413">
        <f ca="1">IFERROR(VLOOKUP(B166,'Risultati 2008'!$C$81:$G$142, 3, FALSE), 0)</f>
        <v>8.5</v>
      </c>
      <c r="N166" s="413">
        <f ca="1">IFERROR(VLOOKUP($B166,'Risultati 2009'!$C$81:$G$141, 3, FALSE), 0)</f>
        <v>7.5</v>
      </c>
      <c r="O166" s="417">
        <f t="shared" ca="1" si="28"/>
        <v>6.7</v>
      </c>
      <c r="P166" s="416">
        <f ca="1">IFERROR(VLOOKUP(B166,'Risultati 2005'!$B$68:$G$111, 4, FALSE),0)</f>
        <v>0</v>
      </c>
      <c r="Q166" s="413">
        <f ca="1">IFERROR(VLOOKUP(B166,'Risultati 2006'!$B$75:$G$125, 4, FALSE),0)</f>
        <v>7.666666666666667</v>
      </c>
      <c r="R166" s="413">
        <f ca="1">IFERROR(VLOOKUP(B166,'Risultati 2007'!$C$86:$H$147, 4, FALSE),0)</f>
        <v>7.333333333333333</v>
      </c>
      <c r="S166" s="413">
        <f ca="1">IFERROR(VLOOKUP(B166,'Risultati 2008'!$C$81:$G$142, 4, FALSE), 0)</f>
        <v>7.333333333333333</v>
      </c>
      <c r="T166" s="413">
        <f ca="1">IFERROR(VLOOKUP($B166,'Risultati 2009'!$C$81:$G$141, 4, FALSE), 0)</f>
        <v>7.333333333333333</v>
      </c>
      <c r="U166" s="417">
        <f t="shared" ca="1" si="29"/>
        <v>7.333333333333333</v>
      </c>
      <c r="V166" s="416">
        <f ca="1">IFERROR(VLOOKUP(B166,'Risultati 2005'!$B$68:$G$111, 5, FALSE),0)</f>
        <v>0</v>
      </c>
      <c r="W166" s="413">
        <f ca="1">IFERROR(VLOOKUP(B166,'Risultati 2006'!$B$75:$G$125, 5, FALSE),0)</f>
        <v>5.2222222222222223</v>
      </c>
      <c r="X166" s="413">
        <f ca="1">IFERROR(VLOOKUP(B166,'Risultati 2007'!$C$86:$H$147, 5, FALSE),0)</f>
        <v>5.1111111111111107</v>
      </c>
      <c r="Y166" s="413">
        <f ca="1">IFERROR(VLOOKUP(B166,'Risultati 2008'!$C$81:$G$142, 5, FALSE), 0)</f>
        <v>5.1111111111111107</v>
      </c>
      <c r="Z166" s="413">
        <f ca="1">IFERROR(VLOOKUP($B166,'Risultati 2009'!$C$81:$G$141, 5, FALSE), 0)</f>
        <v>6.2222222222222223</v>
      </c>
      <c r="AA166" s="417">
        <f t="shared" ca="1" si="30"/>
        <v>6.666666666666667</v>
      </c>
      <c r="AB166" s="416">
        <f ca="1">IFERROR(VLOOKUP(B166,'Risultati 2005'!$B$68:$G$111, 6, FALSE),0)</f>
        <v>0</v>
      </c>
      <c r="AC166" s="413">
        <f ca="1">IFERROR(VLOOKUP(B166,'Risultati 2006'!$B$75:$G$125, 6, FALSE),0)</f>
        <v>3.1538461538461537</v>
      </c>
      <c r="AD166" s="413">
        <f ca="1">IFERROR(VLOOKUP(B166,'Risultati 2007'!$C$86:$H$147, 6, FALSE),0)</f>
        <v>2.9230769230769229</v>
      </c>
      <c r="AE166" s="413">
        <f ca="1">IFERROR(VLOOKUP(B166,'Risultati 2008'!$C$81:$H$142, 6, FALSE), 0)</f>
        <v>2.9230769230769229</v>
      </c>
      <c r="AF166" s="413">
        <f ca="1">IFERROR(VLOOKUP($B166,'Risultati 2009'!$C$81:$H$141, 6, FALSE), 0)</f>
        <v>2.9230769230769229</v>
      </c>
      <c r="AG166" s="417">
        <f t="shared" ca="1" si="31"/>
        <v>5.5384615384615383</v>
      </c>
      <c r="AH166" s="413"/>
      <c r="AI166" s="413"/>
      <c r="AJ166" s="413"/>
    </row>
    <row r="167" spans="1:36">
      <c r="A167" s="257" t="str">
        <f t="shared" ca="1" si="26"/>
        <v>Ministero dello sviluppo economico</v>
      </c>
      <c r="B167" s="11">
        <f t="shared" ca="1" si="26"/>
        <v>103</v>
      </c>
      <c r="C167" s="19">
        <f t="shared" ca="1" si="26"/>
        <v>3314</v>
      </c>
      <c r="D167" s="416">
        <f ca="1">IFERROR(VLOOKUP(B167,'Risultati 2005'!$B$68:$G$111, 2, FALSE), 0)</f>
        <v>0</v>
      </c>
      <c r="E167" s="413">
        <f ca="1">IFERROR(VLOOKUP(B167,'Risultati 2006'!$B$75:$G$125, 2, FALSE),0)</f>
        <v>4.583333333333333</v>
      </c>
      <c r="F167" s="413">
        <f ca="1">IFERROR(VLOOKUP(B167,'Risultati 2007'!$C$86:$H$147, 2, FALSE),0)</f>
        <v>6.6341463414634143</v>
      </c>
      <c r="G167" s="413">
        <f ca="1">IFERROR(VLOOKUP(B167,'Risultati 2008'!$C$81:$D$137, 2, FALSE),0)</f>
        <v>5.2439024390243905</v>
      </c>
      <c r="H167" s="413">
        <f ca="1">IFERROR(VLOOKUP($B167,'Risultati 2009'!$C$81:$G$141,2, FALSE), 0)</f>
        <v>5.9512195121951219</v>
      </c>
      <c r="I167" s="500">
        <f t="shared" ca="1" si="27"/>
        <v>6.3170731707317076</v>
      </c>
      <c r="J167" s="416">
        <f ca="1">IFERROR(VLOOKUP(B167,'Risultati 2005'!$B$68:$G$111, 3, FALSE),0)</f>
        <v>0</v>
      </c>
      <c r="K167" s="413">
        <f ca="1">IFERROR(VLOOKUP(B167,'Risultati 2006'!$B$75:$G$125, 3, FALSE),0)</f>
        <v>7.25</v>
      </c>
      <c r="L167" s="413">
        <f ca="1">IFERROR(VLOOKUP(B167,'Risultati 2007'!$C$86:$H$147, 3, FALSE), 0)</f>
        <v>9.1999999999999993</v>
      </c>
      <c r="M167" s="413">
        <f ca="1">IFERROR(VLOOKUP(B167,'Risultati 2008'!$C$81:$G$142, 3, FALSE), 0)</f>
        <v>8.8000000000000007</v>
      </c>
      <c r="N167" s="413">
        <f ca="1">IFERROR(VLOOKUP($B167,'Risultati 2009'!$C$81:$G$141, 3, FALSE), 0)</f>
        <v>5.9</v>
      </c>
      <c r="O167" s="417">
        <f t="shared" ca="1" si="28"/>
        <v>8</v>
      </c>
      <c r="P167" s="416">
        <f ca="1">IFERROR(VLOOKUP(B167,'Risultati 2005'!$B$68:$G$111, 4, FALSE),0)</f>
        <v>0</v>
      </c>
      <c r="Q167" s="413">
        <f ca="1">IFERROR(VLOOKUP(B167,'Risultati 2006'!$B$75:$G$125, 4, FALSE),0)</f>
        <v>7.666666666666667</v>
      </c>
      <c r="R167" s="413">
        <f ca="1">IFERROR(VLOOKUP(B167,'Risultati 2007'!$C$86:$H$147, 4, FALSE),0)</f>
        <v>8.4444444444444446</v>
      </c>
      <c r="S167" s="413">
        <f ca="1">IFERROR(VLOOKUP(B167,'Risultati 2008'!$C$81:$G$142, 4, FALSE), 0)</f>
        <v>6.1111111111111107</v>
      </c>
      <c r="T167" s="413">
        <f ca="1">IFERROR(VLOOKUP($B167,'Risultati 2009'!$C$81:$G$141, 4, FALSE), 0)</f>
        <v>8.8888888888888893</v>
      </c>
      <c r="U167" s="417">
        <f t="shared" ca="1" si="29"/>
        <v>7.7777777777777777</v>
      </c>
      <c r="V167" s="416">
        <f ca="1">IFERROR(VLOOKUP(B167,'Risultati 2005'!$B$68:$G$111, 5, FALSE),0)</f>
        <v>0</v>
      </c>
      <c r="W167" s="413">
        <f ca="1">IFERROR(VLOOKUP(B167,'Risultati 2006'!$B$75:$G$125, 5, FALSE),0)</f>
        <v>6.1111111111111107</v>
      </c>
      <c r="X167" s="413">
        <f ca="1">IFERROR(VLOOKUP(B167,'Risultati 2007'!$C$86:$H$147, 5, FALSE),0)</f>
        <v>8.8888888888888893</v>
      </c>
      <c r="Y167" s="413">
        <f ca="1">IFERROR(VLOOKUP(B167,'Risultati 2008'!$C$81:$G$142, 5, FALSE), 0)</f>
        <v>8</v>
      </c>
      <c r="Z167" s="413">
        <f ca="1">IFERROR(VLOOKUP($B167,'Risultati 2009'!$C$81:$G$141, 5, FALSE), 0)</f>
        <v>7</v>
      </c>
      <c r="AA167" s="417">
        <f t="shared" ca="1" si="30"/>
        <v>5.8888888888888893</v>
      </c>
      <c r="AB167" s="416">
        <f ca="1">IFERROR(VLOOKUP(B167,'Risultati 2005'!$B$68:$G$111, 6, FALSE),0)</f>
        <v>0</v>
      </c>
      <c r="AC167" s="413">
        <f ca="1">IFERROR(VLOOKUP(B167,'Risultati 2006'!$B$75:$G$125, 6, FALSE),0)</f>
        <v>0.46153846153846156</v>
      </c>
      <c r="AD167" s="413">
        <f ca="1">IFERROR(VLOOKUP(B167,'Risultati 2007'!$C$86:$H$147, 6, FALSE),0)</f>
        <v>1.8461538461538463</v>
      </c>
      <c r="AE167" s="413">
        <f ca="1">IFERROR(VLOOKUP(B167,'Risultati 2008'!$C$81:$H$142, 6, FALSE), 0)</f>
        <v>0</v>
      </c>
      <c r="AF167" s="413">
        <f ca="1">IFERROR(VLOOKUP($B167,'Risultati 2009'!$C$81:$H$141, 6, FALSE), 0)</f>
        <v>3.2307692307692308</v>
      </c>
      <c r="AG167" s="417">
        <f t="shared" ca="1" si="31"/>
        <v>4.3076923076923075</v>
      </c>
      <c r="AH167" s="413"/>
      <c r="AI167" s="413"/>
      <c r="AJ167" s="413"/>
    </row>
    <row r="168" spans="1:36">
      <c r="A168" s="257" t="str">
        <f t="shared" ca="1" si="26"/>
        <v xml:space="preserve">Ministero per i beni e le attività culturali                                                     </v>
      </c>
      <c r="B168" s="11">
        <f t="shared" ca="1" si="26"/>
        <v>3</v>
      </c>
      <c r="C168" s="19">
        <f t="shared" ca="1" si="26"/>
        <v>26652</v>
      </c>
      <c r="D168" s="416">
        <f ca="1">IFERROR(VLOOKUP(B168,'Risultati 2005'!$B$68:$G$111, 2, FALSE), 0)</f>
        <v>5.125</v>
      </c>
      <c r="E168" s="413">
        <f ca="1">IFERROR(VLOOKUP(B168,'Risultati 2006'!$B$75:$G$125, 2, FALSE),0)</f>
        <v>5.75</v>
      </c>
      <c r="F168" s="413">
        <f ca="1">IFERROR(VLOOKUP(B168,'Risultati 2007'!$C$86:$H$147, 2, FALSE),0)</f>
        <v>7.4390243902439028</v>
      </c>
      <c r="G168" s="413">
        <f ca="1">IFERROR(VLOOKUP(B168,'Risultati 2008'!$C$81:$D$137, 2, FALSE),0)</f>
        <v>5.3414634146341466</v>
      </c>
      <c r="H168" s="413">
        <f ca="1">IFERROR(VLOOKUP($B168,'Risultati 2009'!$C$81:$G$141,2, FALSE), 0)</f>
        <v>7.6585365853658534</v>
      </c>
      <c r="I168" s="500">
        <f t="shared" ca="1" si="27"/>
        <v>0.34146341463414637</v>
      </c>
      <c r="J168" s="416">
        <f ca="1">IFERROR(VLOOKUP(B168,'Risultati 2005'!$B$68:$G$111, 3, FALSE),0)</f>
        <v>3.5</v>
      </c>
      <c r="K168" s="413">
        <f ca="1">IFERROR(VLOOKUP(B168,'Risultati 2006'!$B$75:$G$125, 3, FALSE),0)</f>
        <v>7.75</v>
      </c>
      <c r="L168" s="413">
        <f ca="1">IFERROR(VLOOKUP(B168,'Risultati 2007'!$C$86:$H$147, 3, FALSE), 0)</f>
        <v>8.6</v>
      </c>
      <c r="M168" s="413">
        <f ca="1">IFERROR(VLOOKUP(B168,'Risultati 2008'!$C$81:$G$142, 3, FALSE), 0)</f>
        <v>8.6</v>
      </c>
      <c r="N168" s="413">
        <f ca="1">IFERROR(VLOOKUP($B168,'Risultati 2009'!$C$81:$G$141, 3, FALSE), 0)</f>
        <v>8.6</v>
      </c>
      <c r="O168" s="417">
        <f t="shared" ca="1" si="28"/>
        <v>0</v>
      </c>
      <c r="P168" s="416">
        <f ca="1">IFERROR(VLOOKUP(B168,'Risultati 2005'!$B$68:$G$111, 4, FALSE),0)</f>
        <v>7.1428571428571432</v>
      </c>
      <c r="Q168" s="413">
        <f ca="1">IFERROR(VLOOKUP(B168,'Risultati 2006'!$B$75:$G$125, 4, FALSE),0)</f>
        <v>9</v>
      </c>
      <c r="R168" s="413">
        <f ca="1">IFERROR(VLOOKUP(B168,'Risultati 2007'!$C$86:$H$147, 4, FALSE),0)</f>
        <v>8.2222222222222214</v>
      </c>
      <c r="S168" s="413">
        <f ca="1">IFERROR(VLOOKUP(B168,'Risultati 2008'!$C$81:$G$142, 4, FALSE), 0)</f>
        <v>8.2222222222222214</v>
      </c>
      <c r="T168" s="413">
        <f ca="1">IFERROR(VLOOKUP($B168,'Risultati 2009'!$C$81:$G$141, 4, FALSE), 0)</f>
        <v>8.4444444444444446</v>
      </c>
      <c r="U168" s="417">
        <f t="shared" ca="1" si="29"/>
        <v>1.1111111111111112</v>
      </c>
      <c r="V168" s="416">
        <f ca="1">IFERROR(VLOOKUP(B168,'Risultati 2005'!$B$68:$G$111, 5, FALSE),0)</f>
        <v>7.5</v>
      </c>
      <c r="W168" s="413">
        <f ca="1">IFERROR(VLOOKUP(B168,'Risultati 2006'!$B$75:$G$125, 5, FALSE),0)</f>
        <v>4.2222222222222223</v>
      </c>
      <c r="X168" s="413">
        <f ca="1">IFERROR(VLOOKUP(B168,'Risultati 2007'!$C$86:$H$147, 5, FALSE),0)</f>
        <v>6.5555555555555554</v>
      </c>
      <c r="Y168" s="413">
        <f ca="1">IFERROR(VLOOKUP(B168,'Risultati 2008'!$C$81:$G$142, 5, FALSE), 0)</f>
        <v>6.5555555555555554</v>
      </c>
      <c r="Z168" s="413">
        <f ca="1">IFERROR(VLOOKUP($B168,'Risultati 2009'!$C$81:$G$141, 5, FALSE), 0)</f>
        <v>7.333333333333333</v>
      </c>
      <c r="AA168" s="417">
        <f t="shared" ca="1" si="30"/>
        <v>0.22222222222222221</v>
      </c>
      <c r="AB168" s="416">
        <f ca="1">IFERROR(VLOOKUP(B168,'Risultati 2005'!$B$68:$G$111, 6, FALSE),0)</f>
        <v>4.882352941176471</v>
      </c>
      <c r="AC168" s="413">
        <f ca="1">IFERROR(VLOOKUP(B168,'Risultati 2006'!$B$75:$G$125, 6, FALSE),0)</f>
        <v>4.0769230769230766</v>
      </c>
      <c r="AD168" s="413">
        <f ca="1">IFERROR(VLOOKUP(B168,'Risultati 2007'!$C$86:$H$147, 6, FALSE),0)</f>
        <v>6.615384615384615</v>
      </c>
      <c r="AE168" s="413">
        <f ca="1">IFERROR(VLOOKUP(B168,'Risultati 2008'!$C$81:$H$142, 6, FALSE), 0)</f>
        <v>0</v>
      </c>
      <c r="AF168" s="413">
        <f ca="1">IFERROR(VLOOKUP($B168,'Risultati 2009'!$C$81:$H$141, 6, FALSE), 0)</f>
        <v>6.615384615384615</v>
      </c>
      <c r="AG168" s="417">
        <f t="shared" ca="1" si="31"/>
        <v>0.15384615384615385</v>
      </c>
      <c r="AH168" s="413"/>
      <c r="AI168" s="413"/>
      <c r="AJ168" s="413"/>
    </row>
    <row r="169" spans="1:36">
      <c r="A169" s="257" t="str">
        <f t="shared" ca="1" si="26"/>
        <v>Ministero della difesa</v>
      </c>
      <c r="B169" s="11">
        <f t="shared" ca="1" si="26"/>
        <v>7</v>
      </c>
      <c r="C169" s="19">
        <f t="shared" ca="1" si="26"/>
        <v>221631</v>
      </c>
      <c r="D169" s="416">
        <f ca="1">IFERROR(VLOOKUP(B169,'Risultati 2005'!$B$68:$G$111, 2, FALSE), 0)</f>
        <v>1.45</v>
      </c>
      <c r="E169" s="413">
        <f ca="1">IFERROR(VLOOKUP(B169,'Risultati 2006'!$B$75:$G$125, 2, FALSE),0)</f>
        <v>2.4166666666666665</v>
      </c>
      <c r="F169" s="413">
        <f ca="1">IFERROR(VLOOKUP(B169,'Risultati 2007'!$C$86:$H$147, 2, FALSE),0)</f>
        <v>2.7560975609756095</v>
      </c>
      <c r="G169" s="413">
        <f ca="1">IFERROR(VLOOKUP(B169,'Risultati 2008'!$C$81:$D$137, 2, FALSE),0)</f>
        <v>1.9512195121951219</v>
      </c>
      <c r="H169" s="413">
        <f ca="1">IFERROR(VLOOKUP($B169,'Risultati 2009'!$C$81:$G$141,2, FALSE), 0)</f>
        <v>1.9512195121951219</v>
      </c>
      <c r="I169" s="500">
        <f t="shared" ca="1" si="27"/>
        <v>7.2926829268292686</v>
      </c>
      <c r="J169" s="416">
        <f ca="1">IFERROR(VLOOKUP(B169,'Risultati 2005'!$B$68:$G$111, 3, FALSE),0)</f>
        <v>0.66666666666666663</v>
      </c>
      <c r="K169" s="413">
        <f ca="1">IFERROR(VLOOKUP(B169,'Risultati 2006'!$B$75:$G$125, 3, FALSE),0)</f>
        <v>1.5</v>
      </c>
      <c r="L169" s="413">
        <f ca="1">IFERROR(VLOOKUP(B169,'Risultati 2007'!$C$86:$H$147, 3, FALSE), 0)</f>
        <v>1.8</v>
      </c>
      <c r="M169" s="413">
        <f ca="1">IFERROR(VLOOKUP(B169,'Risultati 2008'!$C$81:$G$142, 3, FALSE), 0)</f>
        <v>1</v>
      </c>
      <c r="N169" s="413">
        <f ca="1">IFERROR(VLOOKUP($B169,'Risultati 2009'!$C$81:$G$141, 3, FALSE), 0)</f>
        <v>1</v>
      </c>
      <c r="O169" s="417">
        <f t="shared" ca="1" si="28"/>
        <v>7.8</v>
      </c>
      <c r="P169" s="416">
        <f ca="1">IFERROR(VLOOKUP(B169,'Risultati 2005'!$B$68:$G$111, 4, FALSE),0)</f>
        <v>0</v>
      </c>
      <c r="Q169" s="413">
        <f ca="1">IFERROR(VLOOKUP(B169,'Risultati 2006'!$B$75:$G$125, 4, FALSE),0)</f>
        <v>0</v>
      </c>
      <c r="R169" s="413">
        <f ca="1">IFERROR(VLOOKUP(B169,'Risultati 2007'!$C$86:$H$147, 4, FALSE),0)</f>
        <v>3.3333333333333335</v>
      </c>
      <c r="S169" s="413">
        <f ca="1">IFERROR(VLOOKUP(B169,'Risultati 2008'!$C$81:$G$142, 4, FALSE), 0)</f>
        <v>3.8888888888888888</v>
      </c>
      <c r="T169" s="413">
        <f ca="1">IFERROR(VLOOKUP($B169,'Risultati 2009'!$C$81:$G$141, 4, FALSE), 0)</f>
        <v>3.8888888888888888</v>
      </c>
      <c r="U169" s="417">
        <f t="shared" ca="1" si="29"/>
        <v>7.4444444444444446</v>
      </c>
      <c r="V169" s="416">
        <f ca="1">IFERROR(VLOOKUP(B169,'Risultati 2005'!$B$68:$G$111, 5, FALSE),0)</f>
        <v>5</v>
      </c>
      <c r="W169" s="413">
        <f ca="1">IFERROR(VLOOKUP(B169,'Risultati 2006'!$B$75:$G$125, 5, FALSE),0)</f>
        <v>3.8888888888888888</v>
      </c>
      <c r="X169" s="413">
        <f ca="1">IFERROR(VLOOKUP(B169,'Risultati 2007'!$C$86:$H$147, 5, FALSE),0)</f>
        <v>3.6666666666666665</v>
      </c>
      <c r="Y169" s="413">
        <f ca="1">IFERROR(VLOOKUP(B169,'Risultati 2008'!$C$81:$G$142, 5, FALSE), 0)</f>
        <v>3.6666666666666665</v>
      </c>
      <c r="Z169" s="413">
        <f ca="1">IFERROR(VLOOKUP($B169,'Risultati 2009'!$C$81:$G$141, 5, FALSE), 0)</f>
        <v>3.6666666666666665</v>
      </c>
      <c r="AA169" s="417">
        <f t="shared" ca="1" si="30"/>
        <v>4.666666666666667</v>
      </c>
      <c r="AB169" s="416">
        <f ca="1">IFERROR(VLOOKUP(B169,'Risultati 2005'!$B$68:$G$111, 6, FALSE),0)</f>
        <v>1.7647058823529411</v>
      </c>
      <c r="AC169" s="413">
        <f ca="1">IFERROR(VLOOKUP(B169,'Risultati 2006'!$B$75:$G$125, 6, FALSE),0)</f>
        <v>3.0769230769230771</v>
      </c>
      <c r="AD169" s="413">
        <f ca="1">IFERROR(VLOOKUP(B169,'Risultati 2007'!$C$86:$H$147, 6, FALSE),0)</f>
        <v>2.4615384615384617</v>
      </c>
      <c r="AE169" s="413">
        <f ca="1">IFERROR(VLOOKUP(B169,'Risultati 2008'!$C$81:$H$142, 6, FALSE), 0)</f>
        <v>0.15384615384615385</v>
      </c>
      <c r="AF169" s="413">
        <f ca="1">IFERROR(VLOOKUP($B169,'Risultati 2009'!$C$81:$H$141, 6, FALSE), 0)</f>
        <v>0.15384615384615385</v>
      </c>
      <c r="AG169" s="417">
        <f t="shared" ca="1" si="31"/>
        <v>8.615384615384615</v>
      </c>
      <c r="AH169" s="413"/>
      <c r="AI169" s="413"/>
      <c r="AJ169" s="413"/>
    </row>
    <row r="170" spans="1:36">
      <c r="A170" s="257" t="str">
        <f t="shared" ca="1" si="26"/>
        <v>Stato Maggiore Difesa</v>
      </c>
      <c r="B170" s="11">
        <f t="shared" ca="1" si="26"/>
        <v>303</v>
      </c>
      <c r="C170" s="19">
        <f t="shared" ca="1" si="26"/>
        <v>1000</v>
      </c>
      <c r="D170" s="416">
        <f ca="1">IFERROR(VLOOKUP(B170,'Risultati 2005'!$B$68:$G$111, 2, FALSE), 0)</f>
        <v>0</v>
      </c>
      <c r="E170" s="413">
        <f ca="1">IFERROR(VLOOKUP(B170,'Risultati 2006'!$B$75:$G$125, 2, FALSE),0)</f>
        <v>0</v>
      </c>
      <c r="F170" s="413">
        <f ca="1">IFERROR(VLOOKUP(B170,'Risultati 2007'!$C$86:$H$147, 2, FALSE),0)</f>
        <v>0</v>
      </c>
      <c r="G170" s="413">
        <f ca="1">IFERROR(VLOOKUP(B170,'Risultati 2008'!$C$81:$D$137, 2, FALSE),0)</f>
        <v>0</v>
      </c>
      <c r="H170" s="413">
        <f ca="1">IFERROR(VLOOKUP($B170,'Risultati 2009'!$C$81:$G$141,2, FALSE), 0)</f>
        <v>0</v>
      </c>
      <c r="I170" s="500">
        <f t="shared" ca="1" si="27"/>
        <v>4</v>
      </c>
      <c r="J170" s="416">
        <f ca="1">IFERROR(VLOOKUP(B170,'Risultati 2005'!$B$68:$G$111, 3, FALSE),0)</f>
        <v>0</v>
      </c>
      <c r="K170" s="413">
        <f ca="1">IFERROR(VLOOKUP(B170,'Risultati 2006'!$B$75:$G$125, 3, FALSE),0)</f>
        <v>0</v>
      </c>
      <c r="L170" s="413">
        <f ca="1">IFERROR(VLOOKUP(B170,'Risultati 2007'!$C$86:$H$147, 3, FALSE), 0)</f>
        <v>0</v>
      </c>
      <c r="M170" s="413">
        <f ca="1">IFERROR(VLOOKUP(B170,'Risultati 2008'!$C$81:$G$142, 3, FALSE), 0)</f>
        <v>0</v>
      </c>
      <c r="N170" s="413">
        <f ca="1">IFERROR(VLOOKUP($B170,'Risultati 2009'!$C$81:$G$141, 3, FALSE), 0)</f>
        <v>0</v>
      </c>
      <c r="O170" s="417">
        <f t="shared" ca="1" si="28"/>
        <v>4.4000000000000004</v>
      </c>
      <c r="P170" s="416">
        <f ca="1">IFERROR(VLOOKUP(B170,'Risultati 2005'!$B$68:$G$111, 4, FALSE),0)</f>
        <v>0</v>
      </c>
      <c r="Q170" s="413">
        <f ca="1">IFERROR(VLOOKUP(B170,'Risultati 2006'!$B$75:$G$125, 4, FALSE),0)</f>
        <v>0</v>
      </c>
      <c r="R170" s="413">
        <f ca="1">IFERROR(VLOOKUP(B170,'Risultati 2007'!$C$86:$H$147, 4, FALSE),0)</f>
        <v>0</v>
      </c>
      <c r="S170" s="413">
        <f ca="1">IFERROR(VLOOKUP(B170,'Risultati 2008'!$C$81:$G$142, 4, FALSE), 0)</f>
        <v>0</v>
      </c>
      <c r="T170" s="413">
        <f ca="1">IFERROR(VLOOKUP($B170,'Risultati 2009'!$C$81:$G$141, 4, FALSE), 0)</f>
        <v>0</v>
      </c>
      <c r="U170" s="417">
        <f t="shared" ca="1" si="29"/>
        <v>8.4444444444444446</v>
      </c>
      <c r="V170" s="416">
        <f ca="1">IFERROR(VLOOKUP(B170,'Risultati 2005'!$B$68:$G$111, 5, FALSE),0)</f>
        <v>0</v>
      </c>
      <c r="W170" s="413">
        <f ca="1">IFERROR(VLOOKUP(B170,'Risultati 2006'!$B$75:$G$125, 5, FALSE),0)</f>
        <v>0</v>
      </c>
      <c r="X170" s="413">
        <f ca="1">IFERROR(VLOOKUP(B170,'Risultati 2007'!$C$86:$H$147, 5, FALSE),0)</f>
        <v>0</v>
      </c>
      <c r="Y170" s="413">
        <f ca="1">IFERROR(VLOOKUP(B170,'Risultati 2008'!$C$81:$G$142, 5, FALSE), 0)</f>
        <v>0</v>
      </c>
      <c r="Z170" s="413">
        <f ca="1">IFERROR(VLOOKUP($B170,'Risultati 2009'!$C$81:$G$141, 5, FALSE), 0)</f>
        <v>0</v>
      </c>
      <c r="AA170" s="417">
        <f t="shared" ca="1" si="30"/>
        <v>4.666666666666667</v>
      </c>
      <c r="AB170" s="416">
        <f ca="1">IFERROR(VLOOKUP(B170,'Risultati 2005'!$B$68:$G$111, 6, FALSE),0)</f>
        <v>0</v>
      </c>
      <c r="AC170" s="413">
        <f ca="1">IFERROR(VLOOKUP(B170,'Risultati 2006'!$B$75:$G$125, 6, FALSE),0)</f>
        <v>0</v>
      </c>
      <c r="AD170" s="413">
        <f ca="1">IFERROR(VLOOKUP(B170,'Risultati 2007'!$C$86:$H$147, 6, FALSE),0)</f>
        <v>0</v>
      </c>
      <c r="AE170" s="413">
        <f ca="1">IFERROR(VLOOKUP(B170,'Risultati 2008'!$C$81:$H$142, 6, FALSE), 0)</f>
        <v>0</v>
      </c>
      <c r="AF170" s="413">
        <f ca="1">IFERROR(VLOOKUP($B170,'Risultati 2009'!$C$81:$H$141, 6, FALSE), 0)</f>
        <v>0</v>
      </c>
      <c r="AG170" s="417">
        <f t="shared" ca="1" si="31"/>
        <v>0.15384615384615385</v>
      </c>
      <c r="AH170" s="413"/>
      <c r="AI170" s="413"/>
      <c r="AJ170" s="413"/>
    </row>
    <row r="171" spans="1:36">
      <c r="A171" s="257" t="str">
        <f t="shared" ca="1" si="26"/>
        <v>Stato Maggiore Esercito</v>
      </c>
      <c r="B171" s="11">
        <f t="shared" ca="1" si="26"/>
        <v>301</v>
      </c>
      <c r="C171" s="19">
        <f t="shared" ca="1" si="26"/>
        <v>1000</v>
      </c>
      <c r="D171" s="416">
        <f ca="1">IFERROR(VLOOKUP(B171,'Risultati 2005'!$B$68:$G$111, 2, FALSE), 0)</f>
        <v>0</v>
      </c>
      <c r="E171" s="413">
        <f ca="1">IFERROR(VLOOKUP(B171,'Risultati 2006'!$B$75:$G$125, 2, FALSE),0)</f>
        <v>0</v>
      </c>
      <c r="F171" s="413">
        <f ca="1">IFERROR(VLOOKUP(B171,'Risultati 2007'!$C$86:$H$147, 2, FALSE),0)</f>
        <v>0</v>
      </c>
      <c r="G171" s="413">
        <f ca="1">IFERROR(VLOOKUP(B171,'Risultati 2008'!$C$81:$D$137, 2, FALSE),0)</f>
        <v>0</v>
      </c>
      <c r="H171" s="413">
        <f ca="1">IFERROR(VLOOKUP($B171,'Risultati 2009'!$C$81:$G$141,2, FALSE), 0)</f>
        <v>0</v>
      </c>
      <c r="I171" s="500">
        <f t="shared" ca="1" si="27"/>
        <v>5.9268292682926829</v>
      </c>
      <c r="J171" s="416">
        <f ca="1">IFERROR(VLOOKUP(B171,'Risultati 2005'!$B$68:$G$111, 3, FALSE),0)</f>
        <v>0</v>
      </c>
      <c r="K171" s="413">
        <f ca="1">IFERROR(VLOOKUP(B171,'Risultati 2006'!$B$75:$G$125, 3, FALSE),0)</f>
        <v>0</v>
      </c>
      <c r="L171" s="413">
        <f ca="1">IFERROR(VLOOKUP(B171,'Risultati 2007'!$C$86:$H$147, 3, FALSE), 0)</f>
        <v>0</v>
      </c>
      <c r="M171" s="413">
        <f ca="1">IFERROR(VLOOKUP(B171,'Risultati 2008'!$C$81:$G$142, 3, FALSE), 0)</f>
        <v>0</v>
      </c>
      <c r="N171" s="413">
        <f ca="1">IFERROR(VLOOKUP($B171,'Risultati 2009'!$C$81:$G$141, 3, FALSE), 0)</f>
        <v>0</v>
      </c>
      <c r="O171" s="417">
        <f t="shared" ca="1" si="28"/>
        <v>7.8</v>
      </c>
      <c r="P171" s="416">
        <f ca="1">IFERROR(VLOOKUP(B171,'Risultati 2005'!$B$68:$G$111, 4, FALSE),0)</f>
        <v>0</v>
      </c>
      <c r="Q171" s="413">
        <f ca="1">IFERROR(VLOOKUP(B171,'Risultati 2006'!$B$75:$G$125, 4, FALSE),0)</f>
        <v>0</v>
      </c>
      <c r="R171" s="413">
        <f ca="1">IFERROR(VLOOKUP(B171,'Risultati 2007'!$C$86:$H$147, 4, FALSE),0)</f>
        <v>0</v>
      </c>
      <c r="S171" s="413">
        <f ca="1">IFERROR(VLOOKUP(B171,'Risultati 2008'!$C$81:$G$142, 4, FALSE), 0)</f>
        <v>0</v>
      </c>
      <c r="T171" s="413">
        <f ca="1">IFERROR(VLOOKUP($B171,'Risultati 2009'!$C$81:$G$141, 4, FALSE), 0)</f>
        <v>0</v>
      </c>
      <c r="U171" s="417">
        <f t="shared" ca="1" si="29"/>
        <v>5</v>
      </c>
      <c r="V171" s="416">
        <f ca="1">IFERROR(VLOOKUP(B171,'Risultati 2005'!$B$68:$G$111, 5, FALSE),0)</f>
        <v>0</v>
      </c>
      <c r="W171" s="413">
        <f ca="1">IFERROR(VLOOKUP(B171,'Risultati 2006'!$B$75:$G$125, 5, FALSE),0)</f>
        <v>0</v>
      </c>
      <c r="X171" s="413">
        <f ca="1">IFERROR(VLOOKUP(B171,'Risultati 2007'!$C$86:$H$147, 5, FALSE),0)</f>
        <v>0</v>
      </c>
      <c r="Y171" s="413">
        <f ca="1">IFERROR(VLOOKUP(B171,'Risultati 2008'!$C$81:$G$142, 5, FALSE), 0)</f>
        <v>0</v>
      </c>
      <c r="Z171" s="413">
        <f ca="1">IFERROR(VLOOKUP($B171,'Risultati 2009'!$C$81:$G$141, 5, FALSE), 0)</f>
        <v>0</v>
      </c>
      <c r="AA171" s="417">
        <f t="shared" ca="1" si="30"/>
        <v>5.7777777777777777</v>
      </c>
      <c r="AB171" s="416">
        <f ca="1">IFERROR(VLOOKUP(B171,'Risultati 2005'!$B$68:$G$111, 6, FALSE),0)</f>
        <v>0</v>
      </c>
      <c r="AC171" s="413">
        <f ca="1">IFERROR(VLOOKUP(B171,'Risultati 2006'!$B$75:$G$125, 6, FALSE),0)</f>
        <v>0</v>
      </c>
      <c r="AD171" s="413">
        <f ca="1">IFERROR(VLOOKUP(B171,'Risultati 2007'!$C$86:$H$147, 6, FALSE),0)</f>
        <v>0</v>
      </c>
      <c r="AE171" s="413">
        <f ca="1">IFERROR(VLOOKUP(B171,'Risultati 2008'!$C$81:$H$142, 6, FALSE), 0)</f>
        <v>0</v>
      </c>
      <c r="AF171" s="413">
        <f ca="1">IFERROR(VLOOKUP($B171,'Risultati 2009'!$C$81:$H$141, 6, FALSE), 0)</f>
        <v>0</v>
      </c>
      <c r="AG171" s="417">
        <f t="shared" ca="1" si="31"/>
        <v>5.2307692307692308</v>
      </c>
      <c r="AH171" s="413"/>
      <c r="AI171" s="413"/>
      <c r="AJ171" s="413"/>
    </row>
    <row r="172" spans="1:36">
      <c r="A172" s="257" t="str">
        <f t="shared" ca="1" si="26"/>
        <v>Stato Maggiore Marina</v>
      </c>
      <c r="B172" s="11">
        <f t="shared" ca="1" si="26"/>
        <v>302</v>
      </c>
      <c r="C172" s="19">
        <f t="shared" ca="1" si="26"/>
        <v>1000</v>
      </c>
      <c r="D172" s="416">
        <f ca="1">IFERROR(VLOOKUP(B172,'Risultati 2005'!$B$68:$G$111, 2, FALSE), 0)</f>
        <v>0</v>
      </c>
      <c r="E172" s="413">
        <f ca="1">IFERROR(VLOOKUP(B172,'Risultati 2006'!$B$75:$G$125, 2, FALSE),0)</f>
        <v>0</v>
      </c>
      <c r="F172" s="413">
        <f ca="1">IFERROR(VLOOKUP(B172,'Risultati 2007'!$C$86:$H$147, 2, FALSE),0)</f>
        <v>1.4634146341463414</v>
      </c>
      <c r="G172" s="413">
        <f ca="1">IFERROR(VLOOKUP(B172,'Risultati 2008'!$C$81:$D$137, 2, FALSE),0)</f>
        <v>5.3170731707317076</v>
      </c>
      <c r="H172" s="413">
        <f ca="1">IFERROR(VLOOKUP($B172,'Risultati 2009'!$C$81:$G$141,2, FALSE), 0)</f>
        <v>0</v>
      </c>
      <c r="I172" s="500">
        <f t="shared" ca="1" si="27"/>
        <v>6.8048780487804876</v>
      </c>
      <c r="J172" s="416">
        <f ca="1">IFERROR(VLOOKUP(B172,'Risultati 2005'!$B$68:$G$111, 3, FALSE),0)</f>
        <v>0</v>
      </c>
      <c r="K172" s="413">
        <f ca="1">IFERROR(VLOOKUP(B172,'Risultati 2006'!$B$75:$G$125, 3, FALSE),0)</f>
        <v>0</v>
      </c>
      <c r="L172" s="413">
        <f ca="1">IFERROR(VLOOKUP(B172,'Risultati 2007'!$C$86:$H$147, 3, FALSE), 0)</f>
        <v>0.6</v>
      </c>
      <c r="M172" s="413">
        <f ca="1">IFERROR(VLOOKUP(B172,'Risultati 2008'!$C$81:$G$142, 3, FALSE), 0)</f>
        <v>5.6</v>
      </c>
      <c r="N172" s="413">
        <f ca="1">IFERROR(VLOOKUP($B172,'Risultati 2009'!$C$81:$G$141, 3, FALSE), 0)</f>
        <v>0</v>
      </c>
      <c r="O172" s="417">
        <f t="shared" ca="1" si="28"/>
        <v>7.7</v>
      </c>
      <c r="P172" s="416">
        <f ca="1">IFERROR(VLOOKUP(B172,'Risultati 2005'!$B$68:$G$111, 4, FALSE),0)</f>
        <v>0</v>
      </c>
      <c r="Q172" s="413">
        <f ca="1">IFERROR(VLOOKUP(B172,'Risultati 2006'!$B$75:$G$125, 4, FALSE),0)</f>
        <v>0</v>
      </c>
      <c r="R172" s="413">
        <f ca="1">IFERROR(VLOOKUP(B172,'Risultati 2007'!$C$86:$H$147, 4, FALSE),0)</f>
        <v>2.2222222222222223</v>
      </c>
      <c r="S172" s="413">
        <f ca="1">IFERROR(VLOOKUP(B172,'Risultati 2008'!$C$81:$G$142, 4, FALSE), 0)</f>
        <v>8.4444444444444446</v>
      </c>
      <c r="T172" s="413">
        <f ca="1">IFERROR(VLOOKUP($B172,'Risultati 2009'!$C$81:$G$141, 4, FALSE), 0)</f>
        <v>0</v>
      </c>
      <c r="U172" s="417">
        <f t="shared" ca="1" si="29"/>
        <v>9.5555555555555554</v>
      </c>
      <c r="V172" s="416">
        <f ca="1">IFERROR(VLOOKUP(B172,'Risultati 2005'!$B$68:$G$111, 5, FALSE),0)</f>
        <v>0</v>
      </c>
      <c r="W172" s="413">
        <f ca="1">IFERROR(VLOOKUP(B172,'Risultati 2006'!$B$75:$G$125, 5, FALSE),0)</f>
        <v>0</v>
      </c>
      <c r="X172" s="413">
        <f ca="1">IFERROR(VLOOKUP(B172,'Risultati 2007'!$C$86:$H$147, 5, FALSE),0)</f>
        <v>2.4444444444444446</v>
      </c>
      <c r="Y172" s="413">
        <f ca="1">IFERROR(VLOOKUP(B172,'Risultati 2008'!$C$81:$G$142, 5, FALSE), 0)</f>
        <v>5.5555555555555554</v>
      </c>
      <c r="Z172" s="413">
        <f ca="1">IFERROR(VLOOKUP($B172,'Risultati 2009'!$C$81:$G$141, 5, FALSE), 0)</f>
        <v>0</v>
      </c>
      <c r="AA172" s="417">
        <f t="shared" ca="1" si="30"/>
        <v>5.5555555555555554</v>
      </c>
      <c r="AB172" s="416">
        <f ca="1">IFERROR(VLOOKUP(B172,'Risultati 2005'!$B$68:$G$111, 6, FALSE),0)</f>
        <v>0</v>
      </c>
      <c r="AC172" s="413">
        <f ca="1">IFERROR(VLOOKUP(B172,'Risultati 2006'!$B$75:$G$125, 6, FALSE),0)</f>
        <v>0</v>
      </c>
      <c r="AD172" s="413">
        <f ca="1">IFERROR(VLOOKUP(B172,'Risultati 2007'!$C$86:$H$147, 6, FALSE),0)</f>
        <v>0.92307692307692313</v>
      </c>
      <c r="AE172" s="413">
        <f ca="1">IFERROR(VLOOKUP(B172,'Risultati 2008'!$C$81:$H$142, 6, FALSE), 0)</f>
        <v>2.7692307692307692</v>
      </c>
      <c r="AF172" s="413">
        <f ca="1">IFERROR(VLOOKUP($B172,'Risultati 2009'!$C$81:$H$141, 6, FALSE), 0)</f>
        <v>0</v>
      </c>
      <c r="AG172" s="417">
        <f t="shared" ca="1" si="31"/>
        <v>5.0769230769230766</v>
      </c>
      <c r="AH172" s="413"/>
      <c r="AI172" s="413"/>
      <c r="AJ172" s="413"/>
    </row>
    <row r="173" spans="1:36">
      <c r="A173" s="257" t="str">
        <f t="shared" ca="1" si="26"/>
        <v>Stato Maggiore Aeronautica</v>
      </c>
      <c r="B173" s="11">
        <f t="shared" ca="1" si="26"/>
        <v>300</v>
      </c>
      <c r="C173" s="19">
        <f t="shared" ca="1" si="26"/>
        <v>1000</v>
      </c>
      <c r="D173" s="416">
        <f ca="1">IFERROR(VLOOKUP(B173,'Risultati 2005'!$B$68:$G$111, 2, FALSE), 0)</f>
        <v>0</v>
      </c>
      <c r="E173" s="413">
        <f ca="1">IFERROR(VLOOKUP(B173,'Risultati 2006'!$B$75:$G$125, 2, FALSE),0)</f>
        <v>0</v>
      </c>
      <c r="F173" s="413">
        <f ca="1">IFERROR(VLOOKUP(B173,'Risultati 2007'!$C$86:$H$147, 2, FALSE),0)</f>
        <v>2.5121951219512195</v>
      </c>
      <c r="G173" s="413">
        <f ca="1">IFERROR(VLOOKUP(B173,'Risultati 2008'!$C$81:$D$137, 2, FALSE),0)</f>
        <v>2.6097560975609757</v>
      </c>
      <c r="H173" s="413">
        <f ca="1">IFERROR(VLOOKUP($B173,'Risultati 2009'!$C$81:$G$141,2, FALSE), 0)</f>
        <v>0</v>
      </c>
      <c r="I173" s="500">
        <f t="shared" ca="1" si="27"/>
        <v>8.7073170731707314</v>
      </c>
      <c r="J173" s="416">
        <f ca="1">IFERROR(VLOOKUP(B173,'Risultati 2005'!$B$68:$G$111, 3, FALSE),0)</f>
        <v>0</v>
      </c>
      <c r="K173" s="413">
        <f ca="1">IFERROR(VLOOKUP(B173,'Risultati 2006'!$B$75:$G$125, 3, FALSE),0)</f>
        <v>0</v>
      </c>
      <c r="L173" s="413">
        <f ca="1">IFERROR(VLOOKUP(B173,'Risultati 2007'!$C$86:$H$147, 3, FALSE), 0)</f>
        <v>1.8</v>
      </c>
      <c r="M173" s="413">
        <f ca="1">IFERROR(VLOOKUP(B173,'Risultati 2008'!$C$81:$G$142, 3, FALSE), 0)</f>
        <v>1.8</v>
      </c>
      <c r="N173" s="413">
        <f ca="1">IFERROR(VLOOKUP($B173,'Risultati 2009'!$C$81:$G$141, 3, FALSE), 0)</f>
        <v>0</v>
      </c>
      <c r="O173" s="417">
        <f t="shared" ca="1" si="28"/>
        <v>8.3000000000000007</v>
      </c>
      <c r="P173" s="416">
        <f ca="1">IFERROR(VLOOKUP(B173,'Risultati 2005'!$B$68:$G$111, 4, FALSE),0)</f>
        <v>0</v>
      </c>
      <c r="Q173" s="413">
        <f ca="1">IFERROR(VLOOKUP(B173,'Risultati 2006'!$B$75:$G$125, 4, FALSE),0)</f>
        <v>0</v>
      </c>
      <c r="R173" s="413">
        <f ca="1">IFERROR(VLOOKUP(B173,'Risultati 2007'!$C$86:$H$147, 4, FALSE),0)</f>
        <v>2.2222222222222223</v>
      </c>
      <c r="S173" s="413">
        <f ca="1">IFERROR(VLOOKUP(B173,'Risultati 2008'!$C$81:$G$142, 4, FALSE), 0)</f>
        <v>2.6666666666666665</v>
      </c>
      <c r="T173" s="413">
        <f ca="1">IFERROR(VLOOKUP($B173,'Risultati 2009'!$C$81:$G$141, 4, FALSE), 0)</f>
        <v>0</v>
      </c>
      <c r="U173" s="417">
        <f t="shared" ca="1" si="29"/>
        <v>9.1111111111111107</v>
      </c>
      <c r="V173" s="416">
        <f ca="1">IFERROR(VLOOKUP(B173,'Risultati 2005'!$B$68:$G$111, 5, FALSE),0)</f>
        <v>0</v>
      </c>
      <c r="W173" s="413">
        <f ca="1">IFERROR(VLOOKUP(B173,'Risultati 2006'!$B$75:$G$125, 5, FALSE),0)</f>
        <v>0</v>
      </c>
      <c r="X173" s="413">
        <f ca="1">IFERROR(VLOOKUP(B173,'Risultati 2007'!$C$86:$H$147, 5, FALSE),0)</f>
        <v>3.6666666666666665</v>
      </c>
      <c r="Y173" s="413">
        <f ca="1">IFERROR(VLOOKUP(B173,'Risultati 2008'!$C$81:$G$142, 5, FALSE), 0)</f>
        <v>3.6666666666666665</v>
      </c>
      <c r="Z173" s="413">
        <f ca="1">IFERROR(VLOOKUP($B173,'Risultati 2009'!$C$81:$G$141, 5, FALSE), 0)</f>
        <v>0</v>
      </c>
      <c r="AA173" s="417">
        <f t="shared" ca="1" si="30"/>
        <v>9.1111111111111107</v>
      </c>
      <c r="AB173" s="416">
        <f ca="1">IFERROR(VLOOKUP(B173,'Risultati 2005'!$B$68:$G$111, 6, FALSE),0)</f>
        <v>0</v>
      </c>
      <c r="AC173" s="413">
        <f ca="1">IFERROR(VLOOKUP(B173,'Risultati 2006'!$B$75:$G$125, 6, FALSE),0)</f>
        <v>0</v>
      </c>
      <c r="AD173" s="413">
        <f ca="1">IFERROR(VLOOKUP(B173,'Risultati 2007'!$C$86:$H$147, 6, FALSE),0)</f>
        <v>2.4615384615384617</v>
      </c>
      <c r="AE173" s="413">
        <f ca="1">IFERROR(VLOOKUP(B173,'Risultati 2008'!$C$81:$H$142, 6, FALSE), 0)</f>
        <v>2.4615384615384617</v>
      </c>
      <c r="AF173" s="413">
        <f ca="1">IFERROR(VLOOKUP($B173,'Risultati 2009'!$C$81:$H$141, 6, FALSE), 0)</f>
        <v>0</v>
      </c>
      <c r="AG173" s="417">
        <f t="shared" ca="1" si="31"/>
        <v>8.4615384615384617</v>
      </c>
      <c r="AH173" s="413"/>
      <c r="AI173" s="413"/>
      <c r="AJ173" s="413"/>
    </row>
    <row r="174" spans="1:36">
      <c r="A174" s="257" t="str">
        <f t="shared" ca="1" si="26"/>
        <v xml:space="preserve">Arma dei Carabinieri                                 </v>
      </c>
      <c r="B174" s="11">
        <f t="shared" ca="1" si="26"/>
        <v>52</v>
      </c>
      <c r="C174" s="19">
        <f t="shared" ca="1" si="26"/>
        <v>110070</v>
      </c>
      <c r="D174" s="416">
        <f ca="1">IFERROR(VLOOKUP(B174,'Risultati 2005'!$B$68:$G$111, 2, FALSE), 0)</f>
        <v>7.2750000000000004</v>
      </c>
      <c r="E174" s="413">
        <f ca="1">IFERROR(VLOOKUP(B174,'Risultati 2006'!$B$75:$G$125, 2, FALSE),0)</f>
        <v>8.4166666666666661</v>
      </c>
      <c r="F174" s="413">
        <f ca="1">IFERROR(VLOOKUP(B174,'Risultati 2007'!$C$86:$H$147, 2, FALSE),0)</f>
        <v>8.6097560975609753</v>
      </c>
      <c r="G174" s="413">
        <f ca="1">IFERROR(VLOOKUP(B174,'Risultati 2008'!$C$81:$D$137, 2, FALSE),0)</f>
        <v>7.8048780487804876</v>
      </c>
      <c r="H174" s="413">
        <f ca="1">IFERROR(VLOOKUP($B174,'Risultati 2009'!$C$81:$G$141,2, FALSE), 0)</f>
        <v>8.5853658536585371</v>
      </c>
      <c r="I174" s="500">
        <f t="shared" ca="1" si="27"/>
        <v>8.4390243902439028</v>
      </c>
      <c r="J174" s="416">
        <f ca="1">IFERROR(VLOOKUP(B174,'Risultati 2005'!$B$68:$G$111, 3, FALSE),0)</f>
        <v>7.416666666666667</v>
      </c>
      <c r="K174" s="413">
        <f ca="1">IFERROR(VLOOKUP(B174,'Risultati 2006'!$B$75:$G$125, 3, FALSE),0)</f>
        <v>7.5</v>
      </c>
      <c r="L174" s="413">
        <f ca="1">IFERROR(VLOOKUP(B174,'Risultati 2007'!$C$86:$H$147, 3, FALSE), 0)</f>
        <v>7.9</v>
      </c>
      <c r="M174" s="413">
        <f ca="1">IFERROR(VLOOKUP(B174,'Risultati 2008'!$C$81:$G$142, 3, FALSE), 0)</f>
        <v>6.5</v>
      </c>
      <c r="N174" s="413">
        <f ca="1">IFERROR(VLOOKUP($B174,'Risultati 2009'!$C$81:$G$141, 3, FALSE), 0)</f>
        <v>8.5</v>
      </c>
      <c r="O174" s="417">
        <f t="shared" ca="1" si="28"/>
        <v>7.9</v>
      </c>
      <c r="P174" s="416">
        <f ca="1">IFERROR(VLOOKUP(B174,'Risultati 2005'!$B$68:$G$111, 4, FALSE),0)</f>
        <v>8.5714285714285712</v>
      </c>
      <c r="Q174" s="413">
        <f ca="1">IFERROR(VLOOKUP(B174,'Risultati 2006'!$B$75:$G$125, 4, FALSE),0)</f>
        <v>7.666666666666667</v>
      </c>
      <c r="R174" s="413">
        <f ca="1">IFERROR(VLOOKUP(B174,'Risultati 2007'!$C$86:$H$147, 4, FALSE),0)</f>
        <v>7.333333333333333</v>
      </c>
      <c r="S174" s="413">
        <f ca="1">IFERROR(VLOOKUP(B174,'Risultati 2008'!$C$81:$G$142, 4, FALSE), 0)</f>
        <v>5.4444444444444446</v>
      </c>
      <c r="T174" s="413">
        <f ca="1">IFERROR(VLOOKUP($B174,'Risultati 2009'!$C$81:$G$141, 4, FALSE), 0)</f>
        <v>6.5555555555555554</v>
      </c>
      <c r="U174" s="417">
        <f t="shared" ca="1" si="29"/>
        <v>6.5555555555555554</v>
      </c>
      <c r="V174" s="416">
        <f ca="1">IFERROR(VLOOKUP(B174,'Risultati 2005'!$B$68:$G$111, 5, FALSE),0)</f>
        <v>10</v>
      </c>
      <c r="W174" s="413">
        <f ca="1">IFERROR(VLOOKUP(B174,'Risultati 2006'!$B$75:$G$125, 5, FALSE),0)</f>
        <v>8.2222222222222214</v>
      </c>
      <c r="X174" s="413">
        <f ca="1">IFERROR(VLOOKUP(B174,'Risultati 2007'!$C$86:$H$147, 5, FALSE),0)</f>
        <v>9.1111111111111107</v>
      </c>
      <c r="Y174" s="413">
        <f ca="1">IFERROR(VLOOKUP(B174,'Risultati 2008'!$C$81:$G$142, 5, FALSE), 0)</f>
        <v>9.1111111111111107</v>
      </c>
      <c r="Z174" s="413">
        <f ca="1">IFERROR(VLOOKUP($B174,'Risultati 2009'!$C$81:$G$141, 5, FALSE), 0)</f>
        <v>9.1111111111111107</v>
      </c>
      <c r="AA174" s="417">
        <f t="shared" ca="1" si="30"/>
        <v>9.1111111111111107</v>
      </c>
      <c r="AB174" s="416">
        <f ca="1">IFERROR(VLOOKUP(B174,'Risultati 2005'!$B$68:$G$111, 6, FALSE),0)</f>
        <v>6</v>
      </c>
      <c r="AC174" s="413">
        <f ca="1">IFERROR(VLOOKUP(B174,'Risultati 2006'!$B$75:$G$125, 6, FALSE),0)</f>
        <v>9.4615384615384617</v>
      </c>
      <c r="AD174" s="413">
        <f ca="1">IFERROR(VLOOKUP(B174,'Risultati 2007'!$C$86:$H$147, 6, FALSE),0)</f>
        <v>9.6923076923076916</v>
      </c>
      <c r="AE174" s="413">
        <f ca="1">IFERROR(VLOOKUP(B174,'Risultati 2008'!$C$81:$H$142, 6, FALSE), 0)</f>
        <v>9.5384615384615383</v>
      </c>
      <c r="AF174" s="413">
        <f ca="1">IFERROR(VLOOKUP($B174,'Risultati 2009'!$C$81:$H$141, 6, FALSE), 0)</f>
        <v>9.6923076923076916</v>
      </c>
      <c r="AG174" s="417">
        <f t="shared" ca="1" si="31"/>
        <v>9.6923076923076916</v>
      </c>
      <c r="AH174" s="413"/>
      <c r="AI174" s="413"/>
      <c r="AJ174" s="413"/>
    </row>
    <row r="175" spans="1:36">
      <c r="A175" s="257" t="str">
        <f t="shared" ca="1" si="26"/>
        <v>Dipartimento delle Finanze</v>
      </c>
      <c r="B175" s="11">
        <f t="shared" ca="1" si="26"/>
        <v>72</v>
      </c>
      <c r="C175" s="19">
        <f t="shared" ca="1" si="26"/>
        <v>3271</v>
      </c>
      <c r="D175" s="416">
        <f ca="1">IFERROR(VLOOKUP(B175,'Risultati 2005'!$B$68:$G$111, 2, FALSE), 0)</f>
        <v>0</v>
      </c>
      <c r="E175" s="413">
        <f ca="1">IFERROR(VLOOKUP(B175,'Risultati 2006'!$B$75:$G$125, 2, FALSE),0)</f>
        <v>0</v>
      </c>
      <c r="F175" s="413">
        <f ca="1">IFERROR(VLOOKUP(B175,'Risultati 2007'!$C$86:$H$147, 2, FALSE),0)</f>
        <v>0</v>
      </c>
      <c r="G175" s="413">
        <f ca="1">IFERROR(VLOOKUP(B175,'Risultati 2008'!$C$81:$D$137, 2, FALSE),0)</f>
        <v>0</v>
      </c>
      <c r="H175" s="413">
        <f ca="1">IFERROR(VLOOKUP($B175,'Risultati 2009'!$C$81:$G$141,2, FALSE), 0)</f>
        <v>0</v>
      </c>
      <c r="I175" s="500">
        <f t="shared" ca="1" si="27"/>
        <v>8.7804878048780495</v>
      </c>
      <c r="J175" s="416">
        <f ca="1">IFERROR(VLOOKUP(B175,'Risultati 2005'!$B$68:$G$111, 3, FALSE),0)</f>
        <v>0</v>
      </c>
      <c r="K175" s="413">
        <f ca="1">IFERROR(VLOOKUP(B175,'Risultati 2006'!$B$75:$G$125, 3, FALSE),0)</f>
        <v>0</v>
      </c>
      <c r="L175" s="413">
        <f ca="1">IFERROR(VLOOKUP(B175,'Risultati 2007'!$C$86:$H$147, 3, FALSE), 0)</f>
        <v>0</v>
      </c>
      <c r="M175" s="413">
        <f ca="1">IFERROR(VLOOKUP(B175,'Risultati 2008'!$C$81:$G$142, 3, FALSE), 0)</f>
        <v>0</v>
      </c>
      <c r="N175" s="413">
        <f ca="1">IFERROR(VLOOKUP($B175,'Risultati 2009'!$C$81:$G$141, 3, FALSE), 0)</f>
        <v>0</v>
      </c>
      <c r="O175" s="417">
        <f t="shared" ca="1" si="28"/>
        <v>7.3</v>
      </c>
      <c r="P175" s="416">
        <f ca="1">IFERROR(VLOOKUP(B175,'Risultati 2005'!$B$68:$G$111, 4, FALSE),0)</f>
        <v>0</v>
      </c>
      <c r="Q175" s="413">
        <f ca="1">IFERROR(VLOOKUP(B175,'Risultati 2006'!$B$75:$G$125, 4, FALSE),0)</f>
        <v>0</v>
      </c>
      <c r="R175" s="413">
        <f ca="1">IFERROR(VLOOKUP(B175,'Risultati 2007'!$C$86:$H$147, 4, FALSE),0)</f>
        <v>0</v>
      </c>
      <c r="S175" s="413">
        <f ca="1">IFERROR(VLOOKUP(B175,'Risultati 2008'!$C$81:$G$142, 4, FALSE), 0)</f>
        <v>0</v>
      </c>
      <c r="T175" s="413">
        <f ca="1">IFERROR(VLOOKUP($B175,'Risultati 2009'!$C$81:$G$141, 4, FALSE), 0)</f>
        <v>0</v>
      </c>
      <c r="U175" s="417">
        <f t="shared" ca="1" si="29"/>
        <v>9</v>
      </c>
      <c r="V175" s="416">
        <f ca="1">IFERROR(VLOOKUP(B175,'Risultati 2005'!$B$68:$G$111, 5, FALSE),0)</f>
        <v>0</v>
      </c>
      <c r="W175" s="413">
        <f ca="1">IFERROR(VLOOKUP(B175,'Risultati 2006'!$B$75:$G$125, 5, FALSE),0)</f>
        <v>0</v>
      </c>
      <c r="X175" s="413">
        <f ca="1">IFERROR(VLOOKUP(B175,'Risultati 2007'!$C$86:$H$147, 5, FALSE),0)</f>
        <v>0</v>
      </c>
      <c r="Y175" s="413">
        <f ca="1">IFERROR(VLOOKUP(B175,'Risultati 2008'!$C$81:$G$142, 5, FALSE), 0)</f>
        <v>0</v>
      </c>
      <c r="Z175" s="413">
        <f ca="1">IFERROR(VLOOKUP($B175,'Risultati 2009'!$C$81:$G$141, 5, FALSE), 0)</f>
        <v>0</v>
      </c>
      <c r="AA175" s="417">
        <f t="shared" ca="1" si="30"/>
        <v>9.5555555555555554</v>
      </c>
      <c r="AB175" s="416">
        <f ca="1">IFERROR(VLOOKUP(B175,'Risultati 2005'!$B$68:$G$111, 6, FALSE),0)</f>
        <v>0</v>
      </c>
      <c r="AC175" s="413">
        <f ca="1">IFERROR(VLOOKUP(B175,'Risultati 2006'!$B$75:$G$125, 6, FALSE),0)</f>
        <v>0</v>
      </c>
      <c r="AD175" s="413">
        <f ca="1">IFERROR(VLOOKUP(B175,'Risultati 2007'!$C$86:$H$147, 6, FALSE),0)</f>
        <v>0</v>
      </c>
      <c r="AE175" s="413">
        <f ca="1">IFERROR(VLOOKUP(B175,'Risultati 2008'!$C$81:$H$142, 6, FALSE), 0)</f>
        <v>0</v>
      </c>
      <c r="AF175" s="413">
        <f ca="1">IFERROR(VLOOKUP($B175,'Risultati 2009'!$C$81:$H$141, 6, FALSE), 0)</f>
        <v>0</v>
      </c>
      <c r="AG175" s="417">
        <f t="shared" ca="1" si="31"/>
        <v>9.2307692307692299</v>
      </c>
      <c r="AH175" s="413"/>
      <c r="AI175" s="413"/>
      <c r="AJ175" s="413"/>
    </row>
    <row r="176" spans="1:36">
      <c r="A176" s="257" t="str">
        <f t="shared" ca="1" si="26"/>
        <v xml:space="preserve">Ministero dell'economia e finanze - Area tesoro        </v>
      </c>
      <c r="B176" s="11">
        <f t="shared" ca="1" si="26"/>
        <v>71</v>
      </c>
      <c r="C176" s="19">
        <f t="shared" ca="1" si="26"/>
        <v>11332</v>
      </c>
      <c r="D176" s="416">
        <f ca="1">IFERROR(VLOOKUP(B176,'Risultati 2005'!$B$68:$G$111, 2, FALSE), 0)</f>
        <v>4.25</v>
      </c>
      <c r="E176" s="413">
        <f ca="1">IFERROR(VLOOKUP(B176,'Risultati 2006'!$B$75:$G$125, 2, FALSE),0)</f>
        <v>6.916666666666667</v>
      </c>
      <c r="F176" s="413">
        <f ca="1">IFERROR(VLOOKUP(B176,'Risultati 2007'!$C$86:$H$147, 2, FALSE),0)</f>
        <v>7.1707317073170733</v>
      </c>
      <c r="G176" s="413">
        <f ca="1">IFERROR(VLOOKUP(B176,'Risultati 2008'!$C$81:$D$137, 2, FALSE),0)</f>
        <v>7.4146341463414638</v>
      </c>
      <c r="H176" s="413">
        <f ca="1">IFERROR(VLOOKUP($B176,'Risultati 2009'!$C$81:$G$141,2, FALSE), 0)</f>
        <v>7.6829268292682924</v>
      </c>
      <c r="I176" s="500">
        <f t="shared" ca="1" si="27"/>
        <v>7.6097560975609753</v>
      </c>
      <c r="J176" s="416">
        <f ca="1">IFERROR(VLOOKUP(B176,'Risultati 2005'!$B$68:$G$111, 3, FALSE),0)</f>
        <v>4.833333333333333</v>
      </c>
      <c r="K176" s="413">
        <f ca="1">IFERROR(VLOOKUP(B176,'Risultati 2006'!$B$75:$G$125, 3, FALSE),0)</f>
        <v>9.25</v>
      </c>
      <c r="L176" s="413">
        <f ca="1">IFERROR(VLOOKUP(B176,'Risultati 2007'!$C$86:$H$147, 3, FALSE), 0)</f>
        <v>7.7</v>
      </c>
      <c r="M176" s="413">
        <f ca="1">IFERROR(VLOOKUP(B176,'Risultati 2008'!$C$81:$G$142, 3, FALSE), 0)</f>
        <v>7.7</v>
      </c>
      <c r="N176" s="413">
        <f ca="1">IFERROR(VLOOKUP($B176,'Risultati 2009'!$C$81:$G$141, 3, FALSE), 0)</f>
        <v>7.9</v>
      </c>
      <c r="O176" s="417">
        <f t="shared" ca="1" si="28"/>
        <v>8.1999999999999993</v>
      </c>
      <c r="P176" s="416">
        <f ca="1">IFERROR(VLOOKUP(B176,'Risultati 2005'!$B$68:$G$111, 4, FALSE),0)</f>
        <v>6.4285714285714288</v>
      </c>
      <c r="Q176" s="413">
        <f ca="1">IFERROR(VLOOKUP(B176,'Risultati 2006'!$B$75:$G$125, 4, FALSE),0)</f>
        <v>9</v>
      </c>
      <c r="R176" s="413">
        <f ca="1">IFERROR(VLOOKUP(B176,'Risultati 2007'!$C$86:$H$147, 4, FALSE),0)</f>
        <v>8.2222222222222214</v>
      </c>
      <c r="S176" s="413">
        <f ca="1">IFERROR(VLOOKUP(B176,'Risultati 2008'!$C$81:$G$142, 4, FALSE), 0)</f>
        <v>8.2222222222222214</v>
      </c>
      <c r="T176" s="413">
        <f ca="1">IFERROR(VLOOKUP($B176,'Risultati 2009'!$C$81:$G$141, 4, FALSE), 0)</f>
        <v>8.4444444444444446</v>
      </c>
      <c r="U176" s="417">
        <f t="shared" ca="1" si="29"/>
        <v>7.7777777777777777</v>
      </c>
      <c r="V176" s="416">
        <f ca="1">IFERROR(VLOOKUP(B176,'Risultati 2005'!$B$68:$G$111, 5, FALSE),0)</f>
        <v>7.5</v>
      </c>
      <c r="W176" s="413">
        <f ca="1">IFERROR(VLOOKUP(B176,'Risultati 2006'!$B$75:$G$125, 5, FALSE),0)</f>
        <v>6.333333333333333</v>
      </c>
      <c r="X176" s="413">
        <f ca="1">IFERROR(VLOOKUP(B176,'Risultati 2007'!$C$86:$H$147, 5, FALSE),0)</f>
        <v>6.5555555555555554</v>
      </c>
      <c r="Y176" s="413">
        <f ca="1">IFERROR(VLOOKUP(B176,'Risultati 2008'!$C$81:$G$142, 5, FALSE), 0)</f>
        <v>6.5555555555555554</v>
      </c>
      <c r="Z176" s="413">
        <f ca="1">IFERROR(VLOOKUP($B176,'Risultati 2009'!$C$81:$G$141, 5, FALSE), 0)</f>
        <v>7.333333333333333</v>
      </c>
      <c r="AA176" s="417">
        <f t="shared" ca="1" si="30"/>
        <v>7.333333333333333</v>
      </c>
      <c r="AB176" s="416">
        <f ca="1">IFERROR(VLOOKUP(B176,'Risultati 2005'!$B$68:$G$111, 6, FALSE),0)</f>
        <v>2.1764705882352939</v>
      </c>
      <c r="AC176" s="413">
        <f ca="1">IFERROR(VLOOKUP(B176,'Risultati 2006'!$B$75:$G$125, 6, FALSE),0)</f>
        <v>4.9230769230769234</v>
      </c>
      <c r="AD176" s="413">
        <f ca="1">IFERROR(VLOOKUP(B176,'Risultati 2007'!$C$86:$H$147, 6, FALSE),0)</f>
        <v>6.4615384615384617</v>
      </c>
      <c r="AE176" s="413">
        <f ca="1">IFERROR(VLOOKUP(B176,'Risultati 2008'!$C$81:$H$142, 6, FALSE), 0)</f>
        <v>7.2307692307692308</v>
      </c>
      <c r="AF176" s="413">
        <f ca="1">IFERROR(VLOOKUP($B176,'Risultati 2009'!$C$81:$H$141, 6, FALSE), 0)</f>
        <v>7.2307692307692308</v>
      </c>
      <c r="AG176" s="417">
        <f t="shared" ca="1" si="31"/>
        <v>7.2307692307692308</v>
      </c>
      <c r="AH176" s="413"/>
      <c r="AI176" s="413"/>
      <c r="AJ176" s="413"/>
    </row>
    <row r="177" spans="1:36">
      <c r="A177" s="257" t="str">
        <f t="shared" ca="1" si="26"/>
        <v xml:space="preserve">Ministero della giustizia                             </v>
      </c>
      <c r="B177" s="11">
        <f t="shared" ca="1" si="26"/>
        <v>11</v>
      </c>
      <c r="C177" s="19">
        <f t="shared" ca="1" si="26"/>
        <v>92515</v>
      </c>
      <c r="D177" s="416">
        <f ca="1">IFERROR(VLOOKUP(B177,'Risultati 2005'!$B$68:$G$111, 2, FALSE), 0)</f>
        <v>3.55</v>
      </c>
      <c r="E177" s="413">
        <f ca="1">IFERROR(VLOOKUP(B177,'Risultati 2006'!$B$75:$G$125, 2, FALSE),0)</f>
        <v>8.3333333333333339</v>
      </c>
      <c r="F177" s="413">
        <f ca="1">IFERROR(VLOOKUP(B177,'Risultati 2007'!$C$86:$H$147, 2, FALSE),0)</f>
        <v>8.2439024390243905</v>
      </c>
      <c r="G177" s="413">
        <f ca="1">IFERROR(VLOOKUP(B177,'Risultati 2008'!$C$81:$D$137, 2, FALSE),0)</f>
        <v>7.8780487804878048</v>
      </c>
      <c r="H177" s="413">
        <f ca="1">IFERROR(VLOOKUP($B177,'Risultati 2009'!$C$81:$G$141,2, FALSE), 0)</f>
        <v>8.536585365853659</v>
      </c>
      <c r="I177" s="500">
        <f t="shared" ca="1" si="27"/>
        <v>7.7560975609756095</v>
      </c>
      <c r="J177" s="416">
        <f ca="1">IFERROR(VLOOKUP(B177,'Risultati 2005'!$B$68:$G$111, 3, FALSE),0)</f>
        <v>3.0833333333333335</v>
      </c>
      <c r="K177" s="413">
        <f ca="1">IFERROR(VLOOKUP(B177,'Risultati 2006'!$B$75:$G$125, 3, FALSE),0)</f>
        <v>10</v>
      </c>
      <c r="L177" s="413">
        <f ca="1">IFERROR(VLOOKUP(B177,'Risultati 2007'!$C$86:$H$147, 3, FALSE), 0)</f>
        <v>8.9</v>
      </c>
      <c r="M177" s="413">
        <f ca="1">IFERROR(VLOOKUP(B177,'Risultati 2008'!$C$81:$G$142, 3, FALSE), 0)</f>
        <v>8.3000000000000007</v>
      </c>
      <c r="N177" s="413">
        <f ca="1">IFERROR(VLOOKUP($B177,'Risultati 2009'!$C$81:$G$141, 3, FALSE), 0)</f>
        <v>8.8000000000000007</v>
      </c>
      <c r="O177" s="417">
        <f t="shared" ca="1" si="28"/>
        <v>8.8000000000000007</v>
      </c>
      <c r="P177" s="416">
        <f ca="1">IFERROR(VLOOKUP(B177,'Risultati 2005'!$B$68:$G$111, 4, FALSE),0)</f>
        <v>6.1428571428571432</v>
      </c>
      <c r="Q177" s="413">
        <f ca="1">IFERROR(VLOOKUP(B177,'Risultati 2006'!$B$75:$G$125, 4, FALSE),0)</f>
        <v>8.3333333333333339</v>
      </c>
      <c r="R177" s="413">
        <f ca="1">IFERROR(VLOOKUP(B177,'Risultati 2007'!$C$86:$H$147, 4, FALSE),0)</f>
        <v>9</v>
      </c>
      <c r="S177" s="413">
        <f ca="1">IFERROR(VLOOKUP(B177,'Risultati 2008'!$C$81:$G$142, 4, FALSE), 0)</f>
        <v>8.5555555555555554</v>
      </c>
      <c r="T177" s="413">
        <f ca="1">IFERROR(VLOOKUP($B177,'Risultati 2009'!$C$81:$G$141, 4, FALSE), 0)</f>
        <v>9.5555555555555554</v>
      </c>
      <c r="U177" s="417">
        <f t="shared" ca="1" si="29"/>
        <v>10</v>
      </c>
      <c r="V177" s="416">
        <f ca="1">IFERROR(VLOOKUP(B177,'Risultati 2005'!$B$68:$G$111, 5, FALSE),0)</f>
        <v>5</v>
      </c>
      <c r="W177" s="413">
        <f ca="1">IFERROR(VLOOKUP(B177,'Risultati 2006'!$B$75:$G$125, 5, FALSE),0)</f>
        <v>8.1111111111111107</v>
      </c>
      <c r="X177" s="413">
        <f ca="1">IFERROR(VLOOKUP(B177,'Risultati 2007'!$C$86:$H$147, 5, FALSE),0)</f>
        <v>8</v>
      </c>
      <c r="Y177" s="413">
        <f ca="1">IFERROR(VLOOKUP(B177,'Risultati 2008'!$C$81:$G$142, 5, FALSE), 0)</f>
        <v>7.2222222222222223</v>
      </c>
      <c r="Z177" s="413">
        <f ca="1">IFERROR(VLOOKUP($B177,'Risultati 2009'!$C$81:$G$141, 5, FALSE), 0)</f>
        <v>8</v>
      </c>
      <c r="AA177" s="417">
        <f t="shared" ca="1" si="30"/>
        <v>8</v>
      </c>
      <c r="AB177" s="416">
        <f ca="1">IFERROR(VLOOKUP(B177,'Risultati 2005'!$B$68:$G$111, 6, FALSE),0)</f>
        <v>2.4705882352941178</v>
      </c>
      <c r="AC177" s="413">
        <f ca="1">IFERROR(VLOOKUP(B177,'Risultati 2006'!$B$75:$G$125, 6, FALSE),0)</f>
        <v>7.4615384615384617</v>
      </c>
      <c r="AD177" s="413">
        <f ca="1">IFERROR(VLOOKUP(B177,'Risultati 2007'!$C$86:$H$147, 6, FALSE),0)</f>
        <v>7.384615384615385</v>
      </c>
      <c r="AE177" s="413">
        <f ca="1">IFERROR(VLOOKUP(B177,'Risultati 2008'!$C$81:$H$142, 6, FALSE), 0)</f>
        <v>7.5384615384615383</v>
      </c>
      <c r="AF177" s="413">
        <f ca="1">IFERROR(VLOOKUP($B177,'Risultati 2009'!$C$81:$H$141, 6, FALSE), 0)</f>
        <v>8</v>
      </c>
      <c r="AG177" s="417">
        <f t="shared" ca="1" si="31"/>
        <v>5.2307692307692308</v>
      </c>
      <c r="AH177" s="413"/>
      <c r="AI177" s="413"/>
      <c r="AJ177" s="413"/>
    </row>
    <row r="178" spans="1:36">
      <c r="A178" s="257" t="str">
        <f t="shared" ca="1" si="26"/>
        <v xml:space="preserve">Ministero dell'interno                                                                              </v>
      </c>
      <c r="B178" s="11">
        <f t="shared" ca="1" si="26"/>
        <v>110</v>
      </c>
      <c r="C178" s="19">
        <f t="shared" ca="1" si="26"/>
        <v>159971</v>
      </c>
      <c r="D178" s="416">
        <f ca="1">IFERROR(VLOOKUP(B178,'Risultati 2005'!$B$68:$G$111, 2, FALSE), 0)</f>
        <v>0</v>
      </c>
      <c r="E178" s="413">
        <f ca="1">IFERROR(VLOOKUP(B178,'Risultati 2006'!$B$75:$G$125, 2, FALSE),0)</f>
        <v>8.9722222222222214</v>
      </c>
      <c r="F178" s="413">
        <f ca="1">IFERROR(VLOOKUP(B178,'Risultati 2007'!$C$86:$H$147, 2, FALSE),0)</f>
        <v>8.7317073170731714</v>
      </c>
      <c r="G178" s="413">
        <f ca="1">IFERROR(VLOOKUP(B178,'Risultati 2008'!$C$81:$D$137, 2, FALSE),0)</f>
        <v>0</v>
      </c>
      <c r="H178" s="413">
        <f ca="1">IFERROR(VLOOKUP($B178,'Risultati 2009'!$C$81:$G$141,2, FALSE), 0)</f>
        <v>9.1707317073170724</v>
      </c>
      <c r="I178" s="500">
        <f t="shared" ca="1" si="27"/>
        <v>9.3658536585365848</v>
      </c>
      <c r="J178" s="416">
        <f ca="1">IFERROR(VLOOKUP(B178,'Risultati 2005'!$B$68:$G$111, 3, FALSE),0)</f>
        <v>0</v>
      </c>
      <c r="K178" s="413">
        <f ca="1">IFERROR(VLOOKUP(B178,'Risultati 2006'!$B$75:$G$125, 3, FALSE),0)</f>
        <v>10</v>
      </c>
      <c r="L178" s="413">
        <f ca="1">IFERROR(VLOOKUP(B178,'Risultati 2007'!$C$86:$H$147, 3, FALSE), 0)</f>
        <v>8.8000000000000007</v>
      </c>
      <c r="M178" s="413">
        <f ca="1">IFERROR(VLOOKUP(B178,'Risultati 2008'!$C$81:$G$142, 3, FALSE), 0)</f>
        <v>0</v>
      </c>
      <c r="N178" s="413">
        <f ca="1">IFERROR(VLOOKUP($B178,'Risultati 2009'!$C$81:$G$141, 3, FALSE), 0)</f>
        <v>9.6</v>
      </c>
      <c r="O178" s="417">
        <f t="shared" ca="1" si="28"/>
        <v>9.1999999999999993</v>
      </c>
      <c r="P178" s="416">
        <f ca="1">IFERROR(VLOOKUP(B178,'Risultati 2005'!$B$68:$G$111, 4, FALSE),0)</f>
        <v>0</v>
      </c>
      <c r="Q178" s="413">
        <f ca="1">IFERROR(VLOOKUP(B178,'Risultati 2006'!$B$75:$G$125, 4, FALSE),0)</f>
        <v>9.3333333333333339</v>
      </c>
      <c r="R178" s="413">
        <f ca="1">IFERROR(VLOOKUP(B178,'Risultati 2007'!$C$86:$H$147, 4, FALSE),0)</f>
        <v>9.3333333333333339</v>
      </c>
      <c r="S178" s="413">
        <f ca="1">IFERROR(VLOOKUP(B178,'Risultati 2008'!$C$81:$G$142, 4, FALSE), 0)</f>
        <v>0</v>
      </c>
      <c r="T178" s="413">
        <f ca="1">IFERROR(VLOOKUP($B178,'Risultati 2009'!$C$81:$G$141, 4, FALSE), 0)</f>
        <v>10</v>
      </c>
      <c r="U178" s="417">
        <f t="shared" ca="1" si="29"/>
        <v>9.5555555555555554</v>
      </c>
      <c r="V178" s="416">
        <f ca="1">IFERROR(VLOOKUP(B178,'Risultati 2005'!$B$68:$G$111, 5, FALSE),0)</f>
        <v>0</v>
      </c>
      <c r="W178" s="413">
        <f ca="1">IFERROR(VLOOKUP(B178,'Risultati 2006'!$B$75:$G$125, 5, FALSE),0)</f>
        <v>7.8888888888888893</v>
      </c>
      <c r="X178" s="413">
        <f ca="1">IFERROR(VLOOKUP(B178,'Risultati 2007'!$C$86:$H$147, 5, FALSE),0)</f>
        <v>9.1111111111111107</v>
      </c>
      <c r="Y178" s="413">
        <f ca="1">IFERROR(VLOOKUP(B178,'Risultati 2008'!$C$81:$G$142, 5, FALSE), 0)</f>
        <v>0</v>
      </c>
      <c r="Z178" s="413">
        <f ca="1">IFERROR(VLOOKUP($B178,'Risultati 2009'!$C$81:$G$141, 5, FALSE), 0)</f>
        <v>8.6666666666666661</v>
      </c>
      <c r="AA178" s="417">
        <f t="shared" ca="1" si="30"/>
        <v>9.1111111111111107</v>
      </c>
      <c r="AB178" s="416">
        <f ca="1">IFERROR(VLOOKUP(B178,'Risultati 2005'!$B$68:$G$111, 6, FALSE),0)</f>
        <v>0</v>
      </c>
      <c r="AC178" s="413">
        <f ca="1">IFERROR(VLOOKUP(B178,'Risultati 2006'!$B$75:$G$125, 6, FALSE),0)</f>
        <v>8.9230769230769234</v>
      </c>
      <c r="AD178" s="413">
        <f ca="1">IFERROR(VLOOKUP(B178,'Risultati 2007'!$C$86:$H$147, 6, FALSE),0)</f>
        <v>8</v>
      </c>
      <c r="AE178" s="413">
        <f ca="1">IFERROR(VLOOKUP(B178,'Risultati 2008'!$C$81:$H$142, 6, FALSE), 0)</f>
        <v>0</v>
      </c>
      <c r="AF178" s="413">
        <f ca="1">IFERROR(VLOOKUP($B178,'Risultati 2009'!$C$81:$H$141, 6, FALSE), 0)</f>
        <v>8.615384615384615</v>
      </c>
      <c r="AG178" s="417">
        <f t="shared" ca="1" si="31"/>
        <v>9.5384615384615383</v>
      </c>
      <c r="AH178" s="413"/>
      <c r="AI178" s="413"/>
      <c r="AJ178" s="413"/>
    </row>
    <row r="179" spans="1:36">
      <c r="A179" s="257" t="str">
        <f t="shared" ca="1" si="26"/>
        <v>Ministero dell'interno - Affari Interni e Territoriali - Demografici</v>
      </c>
      <c r="B179" s="11">
        <f t="shared" ca="1" si="26"/>
        <v>703</v>
      </c>
      <c r="C179" s="19">
        <f t="shared" ca="1" si="26"/>
        <v>1000</v>
      </c>
      <c r="D179" s="416">
        <f ca="1">IFERROR(VLOOKUP(B179,'Risultati 2005'!$B$68:$G$111, 2, FALSE), 0)</f>
        <v>6.25</v>
      </c>
      <c r="E179" s="413">
        <f ca="1">IFERROR(VLOOKUP(B179,'Risultati 2006'!$B$75:$G$125, 2, FALSE),0)</f>
        <v>0</v>
      </c>
      <c r="F179" s="413">
        <f ca="1">IFERROR(VLOOKUP(B179,'Risultati 2007'!$C$86:$H$147, 2, FALSE),0)</f>
        <v>6.3902439024390247</v>
      </c>
      <c r="G179" s="413">
        <f ca="1">IFERROR(VLOOKUP(B179,'Risultati 2008'!$C$81:$D$137, 2, FALSE),0)</f>
        <v>7.6341463414634143</v>
      </c>
      <c r="H179" s="413">
        <f ca="1">IFERROR(VLOOKUP($B179,'Risultati 2009'!$C$81:$G$141,2, FALSE), 0)</f>
        <v>4.5121951219512191</v>
      </c>
      <c r="I179" s="500">
        <f t="shared" ca="1" si="27"/>
        <v>5.8780487804878048</v>
      </c>
      <c r="J179" s="416">
        <f ca="1">IFERROR(VLOOKUP(B179,'Risultati 2005'!$B$68:$G$111, 3, FALSE),0)</f>
        <v>6.833333333333333</v>
      </c>
      <c r="K179" s="413">
        <f ca="1">IFERROR(VLOOKUP(B179,'Risultati 2006'!$B$75:$G$125, 3, FALSE),0)</f>
        <v>0</v>
      </c>
      <c r="L179" s="413">
        <f ca="1">IFERROR(VLOOKUP(B179,'Risultati 2007'!$C$86:$H$147, 3, FALSE), 0)</f>
        <v>4.8</v>
      </c>
      <c r="M179" s="413">
        <f ca="1">IFERROR(VLOOKUP(B179,'Risultati 2008'!$C$81:$G$142, 3, FALSE), 0)</f>
        <v>8.1</v>
      </c>
      <c r="N179" s="413">
        <f ca="1">IFERROR(VLOOKUP($B179,'Risultati 2009'!$C$81:$G$141, 3, FALSE), 0)</f>
        <v>5.8</v>
      </c>
      <c r="O179" s="417">
        <f t="shared" ca="1" si="28"/>
        <v>6.2</v>
      </c>
      <c r="P179" s="416">
        <f ca="1">IFERROR(VLOOKUP(B179,'Risultati 2005'!$B$68:$G$111, 4, FALSE),0)</f>
        <v>5.8571428571428568</v>
      </c>
      <c r="Q179" s="413">
        <f ca="1">IFERROR(VLOOKUP(B179,'Risultati 2006'!$B$75:$G$125, 4, FALSE),0)</f>
        <v>0</v>
      </c>
      <c r="R179" s="413">
        <f ca="1">IFERROR(VLOOKUP(B179,'Risultati 2007'!$C$86:$H$147, 4, FALSE),0)</f>
        <v>9.1111111111111107</v>
      </c>
      <c r="S179" s="413">
        <f ca="1">IFERROR(VLOOKUP(B179,'Risultati 2008'!$C$81:$G$142, 4, FALSE), 0)</f>
        <v>9.1111111111111107</v>
      </c>
      <c r="T179" s="413">
        <f ca="1">IFERROR(VLOOKUP($B179,'Risultati 2009'!$C$81:$G$141, 4, FALSE), 0)</f>
        <v>7</v>
      </c>
      <c r="U179" s="417">
        <f t="shared" ca="1" si="29"/>
        <v>7.4444444444444446</v>
      </c>
      <c r="V179" s="416">
        <f ca="1">IFERROR(VLOOKUP(B179,'Risultati 2005'!$B$68:$G$111, 5, FALSE),0)</f>
        <v>2.5</v>
      </c>
      <c r="W179" s="413">
        <f ca="1">IFERROR(VLOOKUP(B179,'Risultati 2006'!$B$75:$G$125, 5, FALSE),0)</f>
        <v>0</v>
      </c>
      <c r="X179" s="413">
        <f ca="1">IFERROR(VLOOKUP(B179,'Risultati 2007'!$C$86:$H$147, 5, FALSE),0)</f>
        <v>5.7777777777777777</v>
      </c>
      <c r="Y179" s="413">
        <f ca="1">IFERROR(VLOOKUP(B179,'Risultati 2008'!$C$81:$G$142, 5, FALSE), 0)</f>
        <v>6.666666666666667</v>
      </c>
      <c r="Z179" s="413">
        <f ca="1">IFERROR(VLOOKUP($B179,'Risultati 2009'!$C$81:$G$141, 5, FALSE), 0)</f>
        <v>4</v>
      </c>
      <c r="AA179" s="417">
        <f t="shared" ca="1" si="30"/>
        <v>6.2222222222222223</v>
      </c>
      <c r="AB179" s="416">
        <f ca="1">IFERROR(VLOOKUP(B179,'Risultati 2005'!$B$68:$G$111, 6, FALSE),0)</f>
        <v>6.882352941176471</v>
      </c>
      <c r="AC179" s="413">
        <f ca="1">IFERROR(VLOOKUP(B179,'Risultati 2006'!$B$75:$G$125, 6, FALSE),0)</f>
        <v>0</v>
      </c>
      <c r="AD179" s="413">
        <f ca="1">IFERROR(VLOOKUP(B179,'Risultati 2007'!$C$86:$H$147, 6, FALSE),0)</f>
        <v>6.1538461538461542</v>
      </c>
      <c r="AE179" s="413">
        <f ca="1">IFERROR(VLOOKUP(B179,'Risultati 2008'!$C$81:$H$142, 6, FALSE), 0)</f>
        <v>6.9230769230769234</v>
      </c>
      <c r="AF179" s="413">
        <f ca="1">IFERROR(VLOOKUP($B179,'Risultati 2009'!$C$81:$H$141, 6, FALSE), 0)</f>
        <v>2.1538461538461537</v>
      </c>
      <c r="AG179" s="417">
        <f t="shared" ca="1" si="31"/>
        <v>4.3076923076923075</v>
      </c>
      <c r="AH179" s="413"/>
      <c r="AI179" s="413"/>
      <c r="AJ179" s="413"/>
    </row>
    <row r="180" spans="1:36">
      <c r="A180" s="257" t="str">
        <f t="shared" ca="1" si="26"/>
        <v>Ministero dell'interno - Affari Interni e Territoriali - Elettorale</v>
      </c>
      <c r="B180" s="11">
        <f t="shared" ca="1" si="26"/>
        <v>707</v>
      </c>
      <c r="C180" s="19">
        <f t="shared" ca="1" si="26"/>
        <v>1000</v>
      </c>
      <c r="D180" s="416">
        <f ca="1">IFERROR(VLOOKUP(B180,'Risultati 2005'!$B$68:$G$111, 2, FALSE), 0)</f>
        <v>4.5250000000000004</v>
      </c>
      <c r="E180" s="413">
        <f ca="1">IFERROR(VLOOKUP(B180,'Risultati 2006'!$B$75:$G$125, 2, FALSE),0)</f>
        <v>0</v>
      </c>
      <c r="F180" s="413">
        <f ca="1">IFERROR(VLOOKUP(B180,'Risultati 2007'!$C$86:$H$147, 2, FALSE),0)</f>
        <v>5.8048780487804876</v>
      </c>
      <c r="G180" s="413">
        <f ca="1">IFERROR(VLOOKUP(B180,'Risultati 2008'!$C$81:$D$137, 2, FALSE),0)</f>
        <v>7.2195121951219514</v>
      </c>
      <c r="H180" s="413">
        <f ca="1">IFERROR(VLOOKUP($B180,'Risultati 2009'!$C$81:$G$141,2, FALSE), 0)</f>
        <v>0</v>
      </c>
      <c r="I180" s="500">
        <f t="shared" ca="1" si="27"/>
        <v>8.8780487804878057</v>
      </c>
      <c r="J180" s="416">
        <f ca="1">IFERROR(VLOOKUP(B180,'Risultati 2005'!$B$68:$G$111, 3, FALSE),0)</f>
        <v>4.916666666666667</v>
      </c>
      <c r="K180" s="413">
        <f ca="1">IFERROR(VLOOKUP(B180,'Risultati 2006'!$B$75:$G$125, 3, FALSE),0)</f>
        <v>0</v>
      </c>
      <c r="L180" s="413">
        <f ca="1">IFERROR(VLOOKUP(B180,'Risultati 2007'!$C$86:$H$147, 3, FALSE), 0)</f>
        <v>4.8</v>
      </c>
      <c r="M180" s="413">
        <f ca="1">IFERROR(VLOOKUP(B180,'Risultati 2008'!$C$81:$G$142, 3, FALSE), 0)</f>
        <v>6.6</v>
      </c>
      <c r="N180" s="413">
        <f ca="1">IFERROR(VLOOKUP($B180,'Risultati 2009'!$C$81:$G$141, 3, FALSE), 0)</f>
        <v>0</v>
      </c>
      <c r="O180" s="417">
        <f t="shared" ca="1" si="28"/>
        <v>8.1999999999999993</v>
      </c>
      <c r="P180" s="416">
        <f ca="1">IFERROR(VLOOKUP(B180,'Risultati 2005'!$B$68:$G$111, 4, FALSE),0)</f>
        <v>5.8571428571428568</v>
      </c>
      <c r="Q180" s="413">
        <f ca="1">IFERROR(VLOOKUP(B180,'Risultati 2006'!$B$75:$G$125, 4, FALSE),0)</f>
        <v>0</v>
      </c>
      <c r="R180" s="413">
        <f ca="1">IFERROR(VLOOKUP(B180,'Risultati 2007'!$C$86:$H$147, 4, FALSE),0)</f>
        <v>6.4444444444444446</v>
      </c>
      <c r="S180" s="413">
        <f ca="1">IFERROR(VLOOKUP(B180,'Risultati 2008'!$C$81:$G$142, 4, FALSE), 0)</f>
        <v>8.4444444444444446</v>
      </c>
      <c r="T180" s="413">
        <f ca="1">IFERROR(VLOOKUP($B180,'Risultati 2009'!$C$81:$G$141, 4, FALSE), 0)</f>
        <v>0</v>
      </c>
      <c r="U180" s="417">
        <f t="shared" ca="1" si="29"/>
        <v>9.5555555555555554</v>
      </c>
      <c r="V180" s="416">
        <f ca="1">IFERROR(VLOOKUP(B180,'Risultati 2005'!$B$68:$G$111, 5, FALSE),0)</f>
        <v>5</v>
      </c>
      <c r="W180" s="413">
        <f ca="1">IFERROR(VLOOKUP(B180,'Risultati 2006'!$B$75:$G$125, 5, FALSE),0)</f>
        <v>0</v>
      </c>
      <c r="X180" s="413">
        <f ca="1">IFERROR(VLOOKUP(B180,'Risultati 2007'!$C$86:$H$147, 5, FALSE),0)</f>
        <v>6.666666666666667</v>
      </c>
      <c r="Y180" s="413">
        <f ca="1">IFERROR(VLOOKUP(B180,'Risultati 2008'!$C$81:$G$142, 5, FALSE), 0)</f>
        <v>7.333333333333333</v>
      </c>
      <c r="Z180" s="413">
        <f ca="1">IFERROR(VLOOKUP($B180,'Risultati 2009'!$C$81:$G$141, 5, FALSE), 0)</f>
        <v>0</v>
      </c>
      <c r="AA180" s="417">
        <f t="shared" ca="1" si="30"/>
        <v>8</v>
      </c>
      <c r="AB180" s="416">
        <f ca="1">IFERROR(VLOOKUP(B180,'Risultati 2005'!$B$68:$G$111, 6, FALSE),0)</f>
        <v>3.5882352941176472</v>
      </c>
      <c r="AC180" s="413">
        <f ca="1">IFERROR(VLOOKUP(B180,'Risultati 2006'!$B$75:$G$125, 6, FALSE),0)</f>
        <v>0</v>
      </c>
      <c r="AD180" s="413">
        <f ca="1">IFERROR(VLOOKUP(B180,'Risultati 2007'!$C$86:$H$147, 6, FALSE),0)</f>
        <v>5.5384615384615383</v>
      </c>
      <c r="AE180" s="413">
        <f ca="1">IFERROR(VLOOKUP(B180,'Risultati 2008'!$C$81:$H$142, 6, FALSE), 0)</f>
        <v>6.7692307692307692</v>
      </c>
      <c r="AF180" s="413">
        <f ca="1">IFERROR(VLOOKUP($B180,'Risultati 2009'!$C$81:$H$141, 6, FALSE), 0)</f>
        <v>0</v>
      </c>
      <c r="AG180" s="417">
        <f t="shared" ca="1" si="31"/>
        <v>9.5384615384615383</v>
      </c>
      <c r="AH180" s="413"/>
      <c r="AI180" s="413"/>
      <c r="AJ180" s="413"/>
    </row>
    <row r="181" spans="1:36">
      <c r="A181" s="257" t="str">
        <f t="shared" ref="A181:C200" ca="1" si="32">A52</f>
        <v>Ministero dell'interno - Politiche Personale</v>
      </c>
      <c r="B181" s="11">
        <f t="shared" ca="1" si="32"/>
        <v>712</v>
      </c>
      <c r="C181" s="19">
        <f t="shared" ca="1" si="32"/>
        <v>1000</v>
      </c>
      <c r="D181" s="416">
        <f ca="1">IFERROR(VLOOKUP(B181,'Risultati 2005'!$B$68:$G$111, 2, FALSE), 0)</f>
        <v>0</v>
      </c>
      <c r="E181" s="413">
        <f ca="1">IFERROR(VLOOKUP(B181,'Risultati 2006'!$B$75:$G$125, 2, FALSE),0)</f>
        <v>0</v>
      </c>
      <c r="F181" s="413">
        <f ca="1">IFERROR(VLOOKUP(B181,'Risultati 2007'!$C$86:$H$147, 2, FALSE),0)</f>
        <v>0</v>
      </c>
      <c r="G181" s="413">
        <f ca="1">IFERROR(VLOOKUP(B181,'Risultati 2008'!$C$81:$D$137, 2, FALSE),0)</f>
        <v>0</v>
      </c>
      <c r="H181" s="413">
        <f ca="1">IFERROR(VLOOKUP($B181,'Risultati 2009'!$C$81:$G$141,2, FALSE), 0)</f>
        <v>0</v>
      </c>
      <c r="I181" s="500">
        <f t="shared" ca="1" si="27"/>
        <v>6.6829268292682924</v>
      </c>
      <c r="J181" s="416">
        <f ca="1">IFERROR(VLOOKUP(B181,'Risultati 2005'!$B$68:$G$111, 3, FALSE),0)</f>
        <v>0</v>
      </c>
      <c r="K181" s="413">
        <f ca="1">IFERROR(VLOOKUP(B181,'Risultati 2006'!$B$75:$G$125, 3, FALSE),0)</f>
        <v>0</v>
      </c>
      <c r="L181" s="413">
        <f ca="1">IFERROR(VLOOKUP(B181,'Risultati 2007'!$C$86:$H$147, 3, FALSE), 0)</f>
        <v>0</v>
      </c>
      <c r="M181" s="413">
        <f ca="1">IFERROR(VLOOKUP(B181,'Risultati 2008'!$C$81:$G$142, 3, FALSE), 0)</f>
        <v>0</v>
      </c>
      <c r="N181" s="413">
        <f ca="1">IFERROR(VLOOKUP($B181,'Risultati 2009'!$C$81:$G$141, 3, FALSE), 0)</f>
        <v>0</v>
      </c>
      <c r="O181" s="417">
        <f t="shared" ca="1" si="28"/>
        <v>8.6</v>
      </c>
      <c r="P181" s="416">
        <f ca="1">IFERROR(VLOOKUP(B181,'Risultati 2005'!$B$68:$G$111, 4, FALSE),0)</f>
        <v>0</v>
      </c>
      <c r="Q181" s="413">
        <f ca="1">IFERROR(VLOOKUP(B181,'Risultati 2006'!$B$75:$G$125, 4, FALSE),0)</f>
        <v>0</v>
      </c>
      <c r="R181" s="413">
        <f ca="1">IFERROR(VLOOKUP(B181,'Risultati 2007'!$C$86:$H$147, 4, FALSE),0)</f>
        <v>0</v>
      </c>
      <c r="S181" s="413">
        <f ca="1">IFERROR(VLOOKUP(B181,'Risultati 2008'!$C$81:$G$142, 4, FALSE), 0)</f>
        <v>0</v>
      </c>
      <c r="T181" s="413">
        <f ca="1">IFERROR(VLOOKUP($B181,'Risultati 2009'!$C$81:$G$141, 4, FALSE), 0)</f>
        <v>0</v>
      </c>
      <c r="U181" s="417">
        <f t="shared" ca="1" si="29"/>
        <v>9.5555555555555554</v>
      </c>
      <c r="V181" s="416">
        <f ca="1">IFERROR(VLOOKUP(B181,'Risultati 2005'!$B$68:$G$111, 5, FALSE),0)</f>
        <v>0</v>
      </c>
      <c r="W181" s="413">
        <f ca="1">IFERROR(VLOOKUP(B181,'Risultati 2006'!$B$75:$G$125, 5, FALSE),0)</f>
        <v>0</v>
      </c>
      <c r="X181" s="413">
        <f ca="1">IFERROR(VLOOKUP(B181,'Risultati 2007'!$C$86:$H$147, 5, FALSE),0)</f>
        <v>0</v>
      </c>
      <c r="Y181" s="413">
        <f ca="1">IFERROR(VLOOKUP(B181,'Risultati 2008'!$C$81:$G$142, 5, FALSE), 0)</f>
        <v>0</v>
      </c>
      <c r="Z181" s="413">
        <f ca="1">IFERROR(VLOOKUP($B181,'Risultati 2009'!$C$81:$G$141, 5, FALSE), 0)</f>
        <v>0</v>
      </c>
      <c r="AA181" s="417">
        <f t="shared" ca="1" si="30"/>
        <v>5.7777777777777777</v>
      </c>
      <c r="AB181" s="416">
        <f ca="1">IFERROR(VLOOKUP(B181,'Risultati 2005'!$B$68:$G$111, 6, FALSE),0)</f>
        <v>0</v>
      </c>
      <c r="AC181" s="413">
        <f ca="1">IFERROR(VLOOKUP(B181,'Risultati 2006'!$B$75:$G$125, 6, FALSE),0)</f>
        <v>0</v>
      </c>
      <c r="AD181" s="413">
        <f ca="1">IFERROR(VLOOKUP(B181,'Risultati 2007'!$C$86:$H$147, 6, FALSE),0)</f>
        <v>0</v>
      </c>
      <c r="AE181" s="413">
        <f ca="1">IFERROR(VLOOKUP(B181,'Risultati 2008'!$C$81:$H$142, 6, FALSE), 0)</f>
        <v>0</v>
      </c>
      <c r="AF181" s="413">
        <f ca="1">IFERROR(VLOOKUP($B181,'Risultati 2009'!$C$81:$H$141, 6, FALSE), 0)</f>
        <v>0</v>
      </c>
      <c r="AG181" s="417">
        <f t="shared" ca="1" si="31"/>
        <v>3.8461538461538463</v>
      </c>
      <c r="AH181" s="413"/>
      <c r="AI181" s="413"/>
      <c r="AJ181" s="413"/>
    </row>
    <row r="182" spans="1:36">
      <c r="A182" s="257" t="str">
        <f t="shared" ca="1" si="32"/>
        <v>Ministero dell'interno - Libertà Civili e Immigrazione</v>
      </c>
      <c r="B182" s="11">
        <f t="shared" ca="1" si="32"/>
        <v>705</v>
      </c>
      <c r="C182" s="19">
        <f t="shared" ca="1" si="32"/>
        <v>1000</v>
      </c>
      <c r="D182" s="416">
        <f ca="1">IFERROR(VLOOKUP(B182,'Risultati 2005'!$B$68:$G$111, 2, FALSE), 0)</f>
        <v>7.05</v>
      </c>
      <c r="E182" s="413">
        <f ca="1">IFERROR(VLOOKUP(B182,'Risultati 2006'!$B$75:$G$125, 2, FALSE),0)</f>
        <v>0</v>
      </c>
      <c r="F182" s="413">
        <f ca="1">IFERROR(VLOOKUP(B182,'Risultati 2007'!$C$86:$H$147, 2, FALSE),0)</f>
        <v>8.2195121951219505</v>
      </c>
      <c r="G182" s="413">
        <f ca="1">IFERROR(VLOOKUP(B182,'Risultati 2008'!$C$81:$D$137, 2, FALSE),0)</f>
        <v>6.4146341463414638</v>
      </c>
      <c r="H182" s="413">
        <f ca="1">IFERROR(VLOOKUP($B182,'Risultati 2009'!$C$81:$G$141,2, FALSE), 0)</f>
        <v>0</v>
      </c>
      <c r="I182" s="500">
        <f t="shared" ca="1" si="27"/>
        <v>7.3902439024390247</v>
      </c>
      <c r="J182" s="416">
        <f ca="1">IFERROR(VLOOKUP(B182,'Risultati 2005'!$B$68:$G$111, 3, FALSE),0)</f>
        <v>7.666666666666667</v>
      </c>
      <c r="K182" s="413">
        <f ca="1">IFERROR(VLOOKUP(B182,'Risultati 2006'!$B$75:$G$125, 3, FALSE),0)</f>
        <v>0</v>
      </c>
      <c r="L182" s="413">
        <f ca="1">IFERROR(VLOOKUP(B182,'Risultati 2007'!$C$86:$H$147, 3, FALSE), 0)</f>
        <v>8</v>
      </c>
      <c r="M182" s="413">
        <f ca="1">IFERROR(VLOOKUP(B182,'Risultati 2008'!$C$81:$G$142, 3, FALSE), 0)</f>
        <v>5.4</v>
      </c>
      <c r="N182" s="413">
        <f ca="1">IFERROR(VLOOKUP($B182,'Risultati 2009'!$C$81:$G$141, 3, FALSE), 0)</f>
        <v>0</v>
      </c>
      <c r="O182" s="417">
        <f t="shared" ca="1" si="28"/>
        <v>8.6</v>
      </c>
      <c r="P182" s="416">
        <f ca="1">IFERROR(VLOOKUP(B182,'Risultati 2005'!$B$68:$G$111, 4, FALSE),0)</f>
        <v>7.1428571428571432</v>
      </c>
      <c r="Q182" s="413">
        <f ca="1">IFERROR(VLOOKUP(B182,'Risultati 2006'!$B$75:$G$125, 4, FALSE),0)</f>
        <v>0</v>
      </c>
      <c r="R182" s="413">
        <f ca="1">IFERROR(VLOOKUP(B182,'Risultati 2007'!$C$86:$H$147, 4, FALSE),0)</f>
        <v>7.666666666666667</v>
      </c>
      <c r="S182" s="413">
        <f ca="1">IFERROR(VLOOKUP(B182,'Risultati 2008'!$C$81:$G$142, 4, FALSE), 0)</f>
        <v>7.8888888888888893</v>
      </c>
      <c r="T182" s="413">
        <f ca="1">IFERROR(VLOOKUP($B182,'Risultati 2009'!$C$81:$G$141, 4, FALSE), 0)</f>
        <v>0</v>
      </c>
      <c r="U182" s="417">
        <f t="shared" ca="1" si="29"/>
        <v>6.7777777777777777</v>
      </c>
      <c r="V182" s="416">
        <f ca="1">IFERROR(VLOOKUP(B182,'Risultati 2005'!$B$68:$G$111, 5, FALSE),0)</f>
        <v>10</v>
      </c>
      <c r="W182" s="413">
        <f ca="1">IFERROR(VLOOKUP(B182,'Risultati 2006'!$B$75:$G$125, 5, FALSE),0)</f>
        <v>0</v>
      </c>
      <c r="X182" s="413">
        <f ca="1">IFERROR(VLOOKUP(B182,'Risultati 2007'!$C$86:$H$147, 5, FALSE),0)</f>
        <v>10</v>
      </c>
      <c r="Y182" s="413">
        <f ca="1">IFERROR(VLOOKUP(B182,'Risultati 2008'!$C$81:$G$142, 5, FALSE), 0)</f>
        <v>7.333333333333333</v>
      </c>
      <c r="Z182" s="413">
        <f ca="1">IFERROR(VLOOKUP($B182,'Risultati 2009'!$C$81:$G$141, 5, FALSE), 0)</f>
        <v>0</v>
      </c>
      <c r="AA182" s="417">
        <f t="shared" ca="1" si="30"/>
        <v>5.7777777777777777</v>
      </c>
      <c r="AB182" s="416">
        <f ca="1">IFERROR(VLOOKUP(B182,'Risultati 2005'!$B$68:$G$111, 6, FALSE),0)</f>
        <v>5.882352941176471</v>
      </c>
      <c r="AC182" s="413">
        <f ca="1">IFERROR(VLOOKUP(B182,'Risultati 2006'!$B$75:$G$125, 6, FALSE),0)</f>
        <v>0</v>
      </c>
      <c r="AD182" s="413">
        <f ca="1">IFERROR(VLOOKUP(B182,'Risultati 2007'!$C$86:$H$147, 6, FALSE),0)</f>
        <v>7.5384615384615383</v>
      </c>
      <c r="AE182" s="413">
        <f ca="1">IFERROR(VLOOKUP(B182,'Risultati 2008'!$C$81:$H$142, 6, FALSE), 0)</f>
        <v>5.5384615384615383</v>
      </c>
      <c r="AF182" s="413">
        <f ca="1">IFERROR(VLOOKUP($B182,'Risultati 2009'!$C$81:$H$141, 6, FALSE), 0)</f>
        <v>0</v>
      </c>
      <c r="AG182" s="417">
        <f t="shared" ca="1" si="31"/>
        <v>8</v>
      </c>
      <c r="AH182" s="413"/>
      <c r="AI182" s="413"/>
      <c r="AJ182" s="413"/>
    </row>
    <row r="183" spans="1:36">
      <c r="A183" s="257" t="str">
        <f t="shared" ca="1" si="32"/>
        <v>Ministero dell'interno - Vigili del  Fuoco</v>
      </c>
      <c r="B183" s="11">
        <f t="shared" ca="1" si="32"/>
        <v>711</v>
      </c>
      <c r="C183" s="19">
        <f t="shared" ca="1" si="32"/>
        <v>1000</v>
      </c>
      <c r="D183" s="416">
        <f ca="1">IFERROR(VLOOKUP(B183,'Risultati 2005'!$B$68:$G$111, 2, FALSE), 0)</f>
        <v>4.45</v>
      </c>
      <c r="E183" s="413">
        <f ca="1">IFERROR(VLOOKUP(B183,'Risultati 2006'!$B$75:$G$125, 2, FALSE),0)</f>
        <v>0</v>
      </c>
      <c r="F183" s="413">
        <f ca="1">IFERROR(VLOOKUP(B183,'Risultati 2007'!$C$86:$H$147, 2, FALSE),0)</f>
        <v>5</v>
      </c>
      <c r="G183" s="413">
        <f ca="1">IFERROR(VLOOKUP(B183,'Risultati 2008'!$C$81:$D$137, 2, FALSE),0)</f>
        <v>4.8536585365853657</v>
      </c>
      <c r="H183" s="413">
        <f ca="1">IFERROR(VLOOKUP($B183,'Risultati 2009'!$C$81:$G$141,2, FALSE), 0)</f>
        <v>0</v>
      </c>
      <c r="I183" s="500">
        <f t="shared" ca="1" si="27"/>
        <v>8.4390243902439028</v>
      </c>
      <c r="J183" s="416">
        <f ca="1">IFERROR(VLOOKUP(B183,'Risultati 2005'!$B$68:$G$111, 3, FALSE),0)</f>
        <v>3.9166666666666665</v>
      </c>
      <c r="K183" s="413">
        <f ca="1">IFERROR(VLOOKUP(B183,'Risultati 2006'!$B$75:$G$125, 3, FALSE),0)</f>
        <v>0</v>
      </c>
      <c r="L183" s="413">
        <f ca="1">IFERROR(VLOOKUP(B183,'Risultati 2007'!$C$86:$H$147, 3, FALSE), 0)</f>
        <v>5</v>
      </c>
      <c r="M183" s="413">
        <f ca="1">IFERROR(VLOOKUP(B183,'Risultati 2008'!$C$81:$G$142, 3, FALSE), 0)</f>
        <v>4.8</v>
      </c>
      <c r="N183" s="413">
        <f ca="1">IFERROR(VLOOKUP($B183,'Risultati 2009'!$C$81:$G$141, 3, FALSE), 0)</f>
        <v>0</v>
      </c>
      <c r="O183" s="417">
        <f t="shared" ca="1" si="28"/>
        <v>8.3000000000000007</v>
      </c>
      <c r="P183" s="416">
        <f ca="1">IFERROR(VLOOKUP(B183,'Risultati 2005'!$B$68:$G$111, 4, FALSE),0)</f>
        <v>7.2857142857142856</v>
      </c>
      <c r="Q183" s="413">
        <f ca="1">IFERROR(VLOOKUP(B183,'Risultati 2006'!$B$75:$G$125, 4, FALSE),0)</f>
        <v>0</v>
      </c>
      <c r="R183" s="413">
        <f ca="1">IFERROR(VLOOKUP(B183,'Risultati 2007'!$C$86:$H$147, 4, FALSE),0)</f>
        <v>6.7777777777777777</v>
      </c>
      <c r="S183" s="413">
        <f ca="1">IFERROR(VLOOKUP(B183,'Risultati 2008'!$C$81:$G$142, 4, FALSE), 0)</f>
        <v>7.8888888888888893</v>
      </c>
      <c r="T183" s="413">
        <f ca="1">IFERROR(VLOOKUP($B183,'Risultati 2009'!$C$81:$G$141, 4, FALSE), 0)</f>
        <v>0</v>
      </c>
      <c r="U183" s="417">
        <f t="shared" ca="1" si="29"/>
        <v>9</v>
      </c>
      <c r="V183" s="416">
        <f ca="1">IFERROR(VLOOKUP(B183,'Risultati 2005'!$B$68:$G$111, 5, FALSE),0)</f>
        <v>5</v>
      </c>
      <c r="W183" s="413">
        <f ca="1">IFERROR(VLOOKUP(B183,'Risultati 2006'!$B$75:$G$125, 5, FALSE),0)</f>
        <v>0</v>
      </c>
      <c r="X183" s="413">
        <f ca="1">IFERROR(VLOOKUP(B183,'Risultati 2007'!$C$86:$H$147, 5, FALSE),0)</f>
        <v>6.666666666666667</v>
      </c>
      <c r="Y183" s="413">
        <f ca="1">IFERROR(VLOOKUP(B183,'Risultati 2008'!$C$81:$G$142, 5, FALSE), 0)</f>
        <v>2.8888888888888888</v>
      </c>
      <c r="Z183" s="413">
        <f ca="1">IFERROR(VLOOKUP($B183,'Risultati 2009'!$C$81:$G$141, 5, FALSE), 0)</f>
        <v>0</v>
      </c>
      <c r="AA183" s="417">
        <f t="shared" ca="1" si="30"/>
        <v>8</v>
      </c>
      <c r="AB183" s="416">
        <f ca="1">IFERROR(VLOOKUP(B183,'Risultati 2005'!$B$68:$G$111, 6, FALSE),0)</f>
        <v>3.5294117647058822</v>
      </c>
      <c r="AC183" s="413">
        <f ca="1">IFERROR(VLOOKUP(B183,'Risultati 2006'!$B$75:$G$125, 6, FALSE),0)</f>
        <v>0</v>
      </c>
      <c r="AD183" s="413">
        <f ca="1">IFERROR(VLOOKUP(B183,'Risultati 2007'!$C$86:$H$147, 6, FALSE),0)</f>
        <v>2.6153846153846154</v>
      </c>
      <c r="AE183" s="413">
        <f ca="1">IFERROR(VLOOKUP(B183,'Risultati 2008'!$C$81:$H$142, 6, FALSE), 0)</f>
        <v>4.1538461538461542</v>
      </c>
      <c r="AF183" s="413">
        <f ca="1">IFERROR(VLOOKUP($B183,'Risultati 2009'!$C$81:$H$141, 6, FALSE), 0)</f>
        <v>0</v>
      </c>
      <c r="AG183" s="417">
        <f t="shared" ca="1" si="31"/>
        <v>8.4615384615384617</v>
      </c>
      <c r="AH183" s="413"/>
      <c r="AI183" s="413"/>
      <c r="AJ183" s="413"/>
    </row>
    <row r="184" spans="1:36">
      <c r="A184" s="257" t="str">
        <f t="shared" ca="1" si="32"/>
        <v>Ministero dell'interno - P.S. CED PS</v>
      </c>
      <c r="B184" s="11">
        <f t="shared" ca="1" si="32"/>
        <v>710</v>
      </c>
      <c r="C184" s="19">
        <f t="shared" ca="1" si="32"/>
        <v>1000</v>
      </c>
      <c r="D184" s="416">
        <f ca="1">IFERROR(VLOOKUP(B184,'Risultati 2005'!$B$68:$G$111, 2, FALSE), 0)</f>
        <v>6.05</v>
      </c>
      <c r="E184" s="413">
        <f ca="1">IFERROR(VLOOKUP(B184,'Risultati 2006'!$B$75:$G$125, 2, FALSE),0)</f>
        <v>0</v>
      </c>
      <c r="F184" s="413">
        <f ca="1">IFERROR(VLOOKUP(B184,'Risultati 2007'!$C$86:$H$147, 2, FALSE),0)</f>
        <v>7.9024390243902438</v>
      </c>
      <c r="G184" s="413">
        <f ca="1">IFERROR(VLOOKUP(B184,'Risultati 2008'!$C$81:$D$137, 2, FALSE),0)</f>
        <v>8.7317073170731714</v>
      </c>
      <c r="H184" s="413">
        <f ca="1">IFERROR(VLOOKUP($B184,'Risultati 2009'!$C$81:$G$141,2, FALSE), 0)</f>
        <v>0</v>
      </c>
      <c r="I184" s="500">
        <f t="shared" ca="1" si="27"/>
        <v>8.5121951219512191</v>
      </c>
      <c r="J184" s="416">
        <f ca="1">IFERROR(VLOOKUP(B184,'Risultati 2005'!$B$68:$G$111, 3, FALSE),0)</f>
        <v>5.5</v>
      </c>
      <c r="K184" s="413">
        <f ca="1">IFERROR(VLOOKUP(B184,'Risultati 2006'!$B$75:$G$125, 3, FALSE),0)</f>
        <v>0</v>
      </c>
      <c r="L184" s="413">
        <f ca="1">IFERROR(VLOOKUP(B184,'Risultati 2007'!$C$86:$H$147, 3, FALSE), 0)</f>
        <v>9</v>
      </c>
      <c r="M184" s="413">
        <f ca="1">IFERROR(VLOOKUP(B184,'Risultati 2008'!$C$81:$G$142, 3, FALSE), 0)</f>
        <v>9</v>
      </c>
      <c r="N184" s="413">
        <f ca="1">IFERROR(VLOOKUP($B184,'Risultati 2009'!$C$81:$G$141, 3, FALSE), 0)</f>
        <v>0</v>
      </c>
      <c r="O184" s="417">
        <f t="shared" ca="1" si="28"/>
        <v>8.3000000000000007</v>
      </c>
      <c r="P184" s="416">
        <f ca="1">IFERROR(VLOOKUP(B184,'Risultati 2005'!$B$68:$G$111, 4, FALSE),0)</f>
        <v>7.8571428571428568</v>
      </c>
      <c r="Q184" s="413">
        <f ca="1">IFERROR(VLOOKUP(B184,'Risultati 2006'!$B$75:$G$125, 4, FALSE),0)</f>
        <v>0</v>
      </c>
      <c r="R184" s="413">
        <f ca="1">IFERROR(VLOOKUP(B184,'Risultati 2007'!$C$86:$H$147, 4, FALSE),0)</f>
        <v>8.4444444444444446</v>
      </c>
      <c r="S184" s="413">
        <f ca="1">IFERROR(VLOOKUP(B184,'Risultati 2008'!$C$81:$G$142, 4, FALSE), 0)</f>
        <v>8</v>
      </c>
      <c r="T184" s="413">
        <f ca="1">IFERROR(VLOOKUP($B184,'Risultati 2009'!$C$81:$G$141, 4, FALSE), 0)</f>
        <v>0</v>
      </c>
      <c r="U184" s="417">
        <f t="shared" ca="1" si="29"/>
        <v>9.5555555555555554</v>
      </c>
      <c r="V184" s="416">
        <f ca="1">IFERROR(VLOOKUP(B184,'Risultati 2005'!$B$68:$G$111, 5, FALSE),0)</f>
        <v>5</v>
      </c>
      <c r="W184" s="413">
        <f ca="1">IFERROR(VLOOKUP(B184,'Risultati 2006'!$B$75:$G$125, 5, FALSE),0)</f>
        <v>0</v>
      </c>
      <c r="X184" s="413">
        <f ca="1">IFERROR(VLOOKUP(B184,'Risultati 2007'!$C$86:$H$147, 5, FALSE),0)</f>
        <v>6.666666666666667</v>
      </c>
      <c r="Y184" s="413">
        <f ca="1">IFERROR(VLOOKUP(B184,'Risultati 2008'!$C$81:$G$142, 5, FALSE), 0)</f>
        <v>9.5555555555555554</v>
      </c>
      <c r="Z184" s="413">
        <f ca="1">IFERROR(VLOOKUP($B184,'Risultati 2009'!$C$81:$G$141, 5, FALSE), 0)</f>
        <v>0</v>
      </c>
      <c r="AA184" s="417">
        <f t="shared" ca="1" si="30"/>
        <v>7.7777777777777777</v>
      </c>
      <c r="AB184" s="416">
        <f ca="1">IFERROR(VLOOKUP(B184,'Risultati 2005'!$B$68:$G$111, 6, FALSE),0)</f>
        <v>5.9411764705882355</v>
      </c>
      <c r="AC184" s="413">
        <f ca="1">IFERROR(VLOOKUP(B184,'Risultati 2006'!$B$75:$G$125, 6, FALSE),0)</f>
        <v>0</v>
      </c>
      <c r="AD184" s="413">
        <f ca="1">IFERROR(VLOOKUP(B184,'Risultati 2007'!$C$86:$H$147, 6, FALSE),0)</f>
        <v>7.5384615384615383</v>
      </c>
      <c r="AE184" s="413">
        <f ca="1">IFERROR(VLOOKUP(B184,'Risultati 2008'!$C$81:$H$142, 6, FALSE), 0)</f>
        <v>8.4615384615384617</v>
      </c>
      <c r="AF184" s="413">
        <f ca="1">IFERROR(VLOOKUP($B184,'Risultati 2009'!$C$81:$H$141, 6, FALSE), 0)</f>
        <v>0</v>
      </c>
      <c r="AG184" s="417">
        <f t="shared" ca="1" si="31"/>
        <v>8.4615384615384617</v>
      </c>
      <c r="AH184" s="413"/>
      <c r="AI184" s="413"/>
      <c r="AJ184" s="413"/>
    </row>
    <row r="185" spans="1:36">
      <c r="A185" s="257" t="str">
        <f t="shared" ca="1" si="32"/>
        <v xml:space="preserve">Ministero delle infrastrutture e dei trasporti                                            </v>
      </c>
      <c r="B185" s="11">
        <f t="shared" ca="1" si="32"/>
        <v>75</v>
      </c>
      <c r="C185" s="19">
        <f t="shared" ca="1" si="32"/>
        <v>9032</v>
      </c>
      <c r="D185" s="416">
        <f ca="1">IFERROR(VLOOKUP(B185,'Risultati 2005'!$B$68:$G$111, 2, FALSE), 0)</f>
        <v>4.7249999999999996</v>
      </c>
      <c r="E185" s="413">
        <f ca="1">IFERROR(VLOOKUP(B185,'Risultati 2006'!$B$75:$G$125, 2, FALSE),0)</f>
        <v>0</v>
      </c>
      <c r="F185" s="413">
        <f ca="1">IFERROR(VLOOKUP(B185,'Risultati 2007'!$C$86:$H$147, 2, FALSE),0)</f>
        <v>7.7804878048780486</v>
      </c>
      <c r="G185" s="413">
        <f ca="1">IFERROR(VLOOKUP(B185,'Risultati 2008'!$C$81:$D$137, 2, FALSE),0)</f>
        <v>6.5365853658536581</v>
      </c>
      <c r="H185" s="413">
        <f ca="1">IFERROR(VLOOKUP($B185,'Risultati 2009'!$C$81:$G$141,2, FALSE), 0)</f>
        <v>7.9512195121951219</v>
      </c>
      <c r="I185" s="500">
        <f t="shared" ca="1" si="27"/>
        <v>8.3414634146341466</v>
      </c>
      <c r="J185" s="416">
        <f ca="1">IFERROR(VLOOKUP(B185,'Risultati 2005'!$B$68:$G$111, 3, FALSE),0)</f>
        <v>3.9166666666666665</v>
      </c>
      <c r="K185" s="413">
        <f ca="1">IFERROR(VLOOKUP(B185,'Risultati 2006'!$B$75:$G$125, 3, FALSE),0)</f>
        <v>0</v>
      </c>
      <c r="L185" s="413">
        <f ca="1">IFERROR(VLOOKUP(B185,'Risultati 2007'!$C$86:$H$147, 3, FALSE), 0)</f>
        <v>7.7</v>
      </c>
      <c r="M185" s="413">
        <f ca="1">IFERROR(VLOOKUP(B185,'Risultati 2008'!$C$81:$G$142, 3, FALSE), 0)</f>
        <v>6.7</v>
      </c>
      <c r="N185" s="413">
        <f ca="1">IFERROR(VLOOKUP($B185,'Risultati 2009'!$C$81:$G$141, 3, FALSE), 0)</f>
        <v>8.3000000000000007</v>
      </c>
      <c r="O185" s="417">
        <f t="shared" ca="1" si="28"/>
        <v>8</v>
      </c>
      <c r="P185" s="416">
        <f ca="1">IFERROR(VLOOKUP(B185,'Risultati 2005'!$B$68:$G$111, 4, FALSE),0)</f>
        <v>7.8571428571428568</v>
      </c>
      <c r="Q185" s="413">
        <f ca="1">IFERROR(VLOOKUP(B185,'Risultati 2006'!$B$75:$G$125, 4, FALSE),0)</f>
        <v>0</v>
      </c>
      <c r="R185" s="413">
        <f ca="1">IFERROR(VLOOKUP(B185,'Risultati 2007'!$C$86:$H$147, 4, FALSE),0)</f>
        <v>7.7777777777777777</v>
      </c>
      <c r="S185" s="413">
        <f ca="1">IFERROR(VLOOKUP(B185,'Risultati 2008'!$C$81:$G$142, 4, FALSE), 0)</f>
        <v>8.8888888888888893</v>
      </c>
      <c r="T185" s="413">
        <f ca="1">IFERROR(VLOOKUP($B185,'Risultati 2009'!$C$81:$G$141, 4, FALSE), 0)</f>
        <v>8.4444444444444446</v>
      </c>
      <c r="U185" s="417">
        <f t="shared" ca="1" si="29"/>
        <v>8.8888888888888893</v>
      </c>
      <c r="V185" s="416">
        <f ca="1">IFERROR(VLOOKUP(B185,'Risultati 2005'!$B$68:$G$111, 5, FALSE),0)</f>
        <v>2.5</v>
      </c>
      <c r="W185" s="413">
        <f ca="1">IFERROR(VLOOKUP(B185,'Risultati 2006'!$B$75:$G$125, 5, FALSE),0)</f>
        <v>0</v>
      </c>
      <c r="X185" s="413">
        <f ca="1">IFERROR(VLOOKUP(B185,'Risultati 2007'!$C$86:$H$147, 5, FALSE),0)</f>
        <v>7.333333333333333</v>
      </c>
      <c r="Y185" s="413">
        <f ca="1">IFERROR(VLOOKUP(B185,'Risultati 2008'!$C$81:$G$142, 5, FALSE), 0)</f>
        <v>5.4444444444444446</v>
      </c>
      <c r="Z185" s="413">
        <f ca="1">IFERROR(VLOOKUP($B185,'Risultati 2009'!$C$81:$G$141, 5, FALSE), 0)</f>
        <v>8.3333333333333339</v>
      </c>
      <c r="AA185" s="417">
        <f t="shared" ca="1" si="30"/>
        <v>9.5555555555555554</v>
      </c>
      <c r="AB185" s="416">
        <f ca="1">IFERROR(VLOOKUP(B185,'Risultati 2005'!$B$68:$G$111, 6, FALSE),0)</f>
        <v>4.5294117647058822</v>
      </c>
      <c r="AC185" s="413">
        <f ca="1">IFERROR(VLOOKUP(B185,'Risultati 2006'!$B$75:$G$125, 6, FALSE),0)</f>
        <v>0</v>
      </c>
      <c r="AD185" s="413">
        <f ca="1">IFERROR(VLOOKUP(B185,'Risultati 2007'!$C$86:$H$147, 6, FALSE),0)</f>
        <v>8.1538461538461533</v>
      </c>
      <c r="AE185" s="413">
        <f ca="1">IFERROR(VLOOKUP(B185,'Risultati 2008'!$C$81:$H$142, 6, FALSE), 0)</f>
        <v>5.5384615384615383</v>
      </c>
      <c r="AF185" s="413">
        <f ca="1">IFERROR(VLOOKUP($B185,'Risultati 2009'!$C$81:$H$141, 6, FALSE), 0)</f>
        <v>7.0769230769230766</v>
      </c>
      <c r="AG185" s="417">
        <f t="shared" ca="1" si="31"/>
        <v>7.384615384615385</v>
      </c>
      <c r="AH185" s="413"/>
      <c r="AI185" s="413"/>
      <c r="AJ185" s="413"/>
    </row>
    <row r="186" spans="1:36">
      <c r="A186" s="257" t="str">
        <f t="shared" ca="1" si="32"/>
        <v xml:space="preserve">Ministero dell'istruzione, università e ricerca                                               </v>
      </c>
      <c r="B186" s="11">
        <f t="shared" ca="1" si="32"/>
        <v>17</v>
      </c>
      <c r="C186" s="19">
        <f t="shared" ca="1" si="32"/>
        <v>6082</v>
      </c>
      <c r="D186" s="416">
        <f ca="1">IFERROR(VLOOKUP(B186,'Risultati 2005'!$B$68:$G$111, 2, FALSE), 0)</f>
        <v>7.375</v>
      </c>
      <c r="E186" s="413">
        <f ca="1">IFERROR(VLOOKUP(B186,'Risultati 2006'!$B$75:$G$125, 2, FALSE),0)</f>
        <v>8.8333333333333339</v>
      </c>
      <c r="F186" s="413">
        <f ca="1">IFERROR(VLOOKUP(B186,'Risultati 2007'!$C$86:$H$147, 2, FALSE),0)</f>
        <v>7.4146341463414638</v>
      </c>
      <c r="G186" s="413">
        <f ca="1">IFERROR(VLOOKUP(B186,'Risultati 2008'!$C$81:$D$137, 2, FALSE),0)</f>
        <v>8.6097560975609753</v>
      </c>
      <c r="H186" s="413">
        <f ca="1">IFERROR(VLOOKUP($B186,'Risultati 2009'!$C$81:$G$141,2, FALSE), 0)</f>
        <v>8.3658536585365848</v>
      </c>
      <c r="I186" s="500">
        <f t="shared" ca="1" si="27"/>
        <v>6.2682926829268295</v>
      </c>
      <c r="J186" s="416">
        <f ca="1">IFERROR(VLOOKUP(B186,'Risultati 2005'!$B$68:$G$111, 3, FALSE),0)</f>
        <v>7.083333333333333</v>
      </c>
      <c r="K186" s="413">
        <f ca="1">IFERROR(VLOOKUP(B186,'Risultati 2006'!$B$75:$G$125, 3, FALSE),0)</f>
        <v>8.5</v>
      </c>
      <c r="L186" s="413">
        <f ca="1">IFERROR(VLOOKUP(B186,'Risultati 2007'!$C$86:$H$147, 3, FALSE), 0)</f>
        <v>6.4</v>
      </c>
      <c r="M186" s="413">
        <f ca="1">IFERROR(VLOOKUP(B186,'Risultati 2008'!$C$81:$G$142, 3, FALSE), 0)</f>
        <v>8.9</v>
      </c>
      <c r="N186" s="413">
        <f ca="1">IFERROR(VLOOKUP($B186,'Risultati 2009'!$C$81:$G$141, 3, FALSE), 0)</f>
        <v>7.9</v>
      </c>
      <c r="O186" s="417">
        <f t="shared" ca="1" si="28"/>
        <v>9.1</v>
      </c>
      <c r="P186" s="416">
        <f ca="1">IFERROR(VLOOKUP(B186,'Risultati 2005'!$B$68:$G$111, 4, FALSE),0)</f>
        <v>9.2857142857142865</v>
      </c>
      <c r="Q186" s="413">
        <f ca="1">IFERROR(VLOOKUP(B186,'Risultati 2006'!$B$75:$G$125, 4, FALSE),0)</f>
        <v>9.3333333333333339</v>
      </c>
      <c r="R186" s="413">
        <f ca="1">IFERROR(VLOOKUP(B186,'Risultati 2007'!$C$86:$H$147, 4, FALSE),0)</f>
        <v>8.4444444444444446</v>
      </c>
      <c r="S186" s="413">
        <f ca="1">IFERROR(VLOOKUP(B186,'Risultati 2008'!$C$81:$G$142, 4, FALSE), 0)</f>
        <v>9.1111111111111107</v>
      </c>
      <c r="T186" s="413">
        <f ca="1">IFERROR(VLOOKUP($B186,'Risultati 2009'!$C$81:$G$141, 4, FALSE), 0)</f>
        <v>9.1111111111111107</v>
      </c>
      <c r="U186" s="417">
        <f t="shared" ca="1" si="29"/>
        <v>9.1111111111111107</v>
      </c>
      <c r="V186" s="416">
        <f ca="1">IFERROR(VLOOKUP(B186,'Risultati 2005'!$B$68:$G$111, 5, FALSE),0)</f>
        <v>10</v>
      </c>
      <c r="W186" s="413">
        <f ca="1">IFERROR(VLOOKUP(B186,'Risultati 2006'!$B$75:$G$125, 5, FALSE),0)</f>
        <v>8.3333333333333339</v>
      </c>
      <c r="X186" s="413">
        <f ca="1">IFERROR(VLOOKUP(B186,'Risultati 2007'!$C$86:$H$147, 5, FALSE),0)</f>
        <v>8</v>
      </c>
      <c r="Y186" s="413">
        <f ca="1">IFERROR(VLOOKUP(B186,'Risultati 2008'!$C$81:$G$142, 5, FALSE), 0)</f>
        <v>8</v>
      </c>
      <c r="Z186" s="413">
        <f ca="1">IFERROR(VLOOKUP($B186,'Risultati 2009'!$C$81:$G$141, 5, FALSE), 0)</f>
        <v>8</v>
      </c>
      <c r="AA186" s="417">
        <f t="shared" ca="1" si="30"/>
        <v>9.1111111111111107</v>
      </c>
      <c r="AB186" s="416">
        <f ca="1">IFERROR(VLOOKUP(B186,'Risultati 2005'!$B$68:$G$111, 6, FALSE),0)</f>
        <v>6.1764705882352944</v>
      </c>
      <c r="AC186" s="413">
        <f ca="1">IFERROR(VLOOKUP(B186,'Risultati 2006'!$B$75:$G$125, 6, FALSE),0)</f>
        <v>9.1538461538461533</v>
      </c>
      <c r="AD186" s="413">
        <f ca="1">IFERROR(VLOOKUP(B186,'Risultati 2007'!$C$86:$H$147, 6, FALSE),0)</f>
        <v>7.0769230769230766</v>
      </c>
      <c r="AE186" s="413">
        <f ca="1">IFERROR(VLOOKUP(B186,'Risultati 2008'!$C$81:$H$142, 6, FALSE), 0)</f>
        <v>8.4615384615384617</v>
      </c>
      <c r="AF186" s="413">
        <f ca="1">IFERROR(VLOOKUP($B186,'Risultati 2009'!$C$81:$H$141, 6, FALSE), 0)</f>
        <v>8.4615384615384617</v>
      </c>
      <c r="AG186" s="417">
        <f t="shared" ca="1" si="31"/>
        <v>0.15384615384615385</v>
      </c>
      <c r="AH186" s="413"/>
      <c r="AI186" s="413"/>
      <c r="AJ186" s="413"/>
    </row>
    <row r="187" spans="1:36">
      <c r="A187" s="257" t="str">
        <f t="shared" ca="1" si="32"/>
        <v xml:space="preserve">Ministero delle politiche agricole e forestali                                        </v>
      </c>
      <c r="B187" s="11">
        <f t="shared" ca="1" si="32"/>
        <v>111</v>
      </c>
      <c r="C187" s="19">
        <f t="shared" ca="1" si="32"/>
        <v>1612</v>
      </c>
      <c r="D187" s="416">
        <f ca="1">IFERROR(VLOOKUP(B187,'Risultati 2005'!$B$68:$G$111, 2, FALSE), 0)</f>
        <v>0</v>
      </c>
      <c r="E187" s="413">
        <f ca="1">IFERROR(VLOOKUP(B187,'Risultati 2006'!$B$75:$G$125, 2, FALSE),0)</f>
        <v>7.6388888888888893</v>
      </c>
      <c r="F187" s="413">
        <f ca="1">IFERROR(VLOOKUP(B187,'Risultati 2007'!$C$86:$H$147, 2, FALSE),0)</f>
        <v>7.0487804878048781</v>
      </c>
      <c r="G187" s="413">
        <f ca="1">IFERROR(VLOOKUP(B187,'Risultati 2008'!$C$81:$D$137, 2, FALSE),0)</f>
        <v>7.3658536585365857</v>
      </c>
      <c r="H187" s="413">
        <f ca="1">IFERROR(VLOOKUP($B187,'Risultati 2009'!$C$81:$G$141,2, FALSE), 0)</f>
        <v>6.6585365853658534</v>
      </c>
      <c r="I187" s="500">
        <f t="shared" ca="1" si="27"/>
        <v>7.6585365853658534</v>
      </c>
      <c r="J187" s="416">
        <f ca="1">IFERROR(VLOOKUP(B187,'Risultati 2005'!$B$68:$G$111, 3, FALSE),0)</f>
        <v>0</v>
      </c>
      <c r="K187" s="413">
        <f ca="1">IFERROR(VLOOKUP(B187,'Risultati 2006'!$B$75:$G$125, 3, FALSE),0)</f>
        <v>7.5</v>
      </c>
      <c r="L187" s="413">
        <f ca="1">IFERROR(VLOOKUP(B187,'Risultati 2007'!$C$86:$H$147, 3, FALSE), 0)</f>
        <v>7.7</v>
      </c>
      <c r="M187" s="413">
        <f ca="1">IFERROR(VLOOKUP(B187,'Risultati 2008'!$C$81:$G$142, 3, FALSE), 0)</f>
        <v>7.7</v>
      </c>
      <c r="N187" s="413">
        <f ca="1">IFERROR(VLOOKUP($B187,'Risultati 2009'!$C$81:$G$141, 3, FALSE), 0)</f>
        <v>7.7</v>
      </c>
      <c r="O187" s="417">
        <f t="shared" ca="1" si="28"/>
        <v>6.2</v>
      </c>
      <c r="P187" s="416">
        <f ca="1">IFERROR(VLOOKUP(B187,'Risultati 2005'!$B$68:$G$111, 4, FALSE),0)</f>
        <v>0</v>
      </c>
      <c r="Q187" s="413">
        <f ca="1">IFERROR(VLOOKUP(B187,'Risultati 2006'!$B$75:$G$125, 4, FALSE),0)</f>
        <v>8.6666666666666661</v>
      </c>
      <c r="R187" s="413">
        <f ca="1">IFERROR(VLOOKUP(B187,'Risultati 2007'!$C$86:$H$147, 4, FALSE),0)</f>
        <v>8.4444444444444446</v>
      </c>
      <c r="S187" s="413">
        <f ca="1">IFERROR(VLOOKUP(B187,'Risultati 2008'!$C$81:$G$142, 4, FALSE), 0)</f>
        <v>8.5555555555555554</v>
      </c>
      <c r="T187" s="413">
        <f ca="1">IFERROR(VLOOKUP($B187,'Risultati 2009'!$C$81:$G$141, 4, FALSE), 0)</f>
        <v>9.1111111111111107</v>
      </c>
      <c r="U187" s="417">
        <f t="shared" ca="1" si="29"/>
        <v>9.5555555555555554</v>
      </c>
      <c r="V187" s="416">
        <f ca="1">IFERROR(VLOOKUP(B187,'Risultati 2005'!$B$68:$G$111, 5, FALSE),0)</f>
        <v>0</v>
      </c>
      <c r="W187" s="413">
        <f ca="1">IFERROR(VLOOKUP(B187,'Risultati 2006'!$B$75:$G$125, 5, FALSE),0)</f>
        <v>6.666666666666667</v>
      </c>
      <c r="X187" s="413">
        <f ca="1">IFERROR(VLOOKUP(B187,'Risultati 2007'!$C$86:$H$147, 5, FALSE),0)</f>
        <v>7.7777777777777777</v>
      </c>
      <c r="Y187" s="413">
        <f ca="1">IFERROR(VLOOKUP(B187,'Risultati 2008'!$C$81:$G$142, 5, FALSE), 0)</f>
        <v>9.1111111111111107</v>
      </c>
      <c r="Z187" s="413">
        <f ca="1">IFERROR(VLOOKUP($B187,'Risultati 2009'!$C$81:$G$141, 5, FALSE), 0)</f>
        <v>9.1111111111111107</v>
      </c>
      <c r="AA187" s="417">
        <f t="shared" ca="1" si="30"/>
        <v>7.7777777777777777</v>
      </c>
      <c r="AB187" s="416">
        <f ca="1">IFERROR(VLOOKUP(B187,'Risultati 2005'!$B$68:$G$111, 6, FALSE),0)</f>
        <v>0</v>
      </c>
      <c r="AC187" s="413">
        <f ca="1">IFERROR(VLOOKUP(B187,'Risultati 2006'!$B$75:$G$125, 6, FALSE),0)</f>
        <v>7.9230769230769234</v>
      </c>
      <c r="AD187" s="413">
        <f ca="1">IFERROR(VLOOKUP(B187,'Risultati 2007'!$C$86:$H$147, 6, FALSE),0)</f>
        <v>5.0769230769230766</v>
      </c>
      <c r="AE187" s="413">
        <f ca="1">IFERROR(VLOOKUP(B187,'Risultati 2008'!$C$81:$H$142, 6, FALSE), 0)</f>
        <v>5.0769230769230766</v>
      </c>
      <c r="AF187" s="413">
        <f ca="1">IFERROR(VLOOKUP($B187,'Risultati 2009'!$C$81:$H$141, 6, FALSE), 0)</f>
        <v>2.4615384615384617</v>
      </c>
      <c r="AG187" s="417">
        <f t="shared" ca="1" si="31"/>
        <v>7.384615384615385</v>
      </c>
      <c r="AH187" s="413"/>
      <c r="AI187" s="413"/>
      <c r="AJ187" s="413"/>
    </row>
    <row r="188" spans="1:36">
      <c r="A188" s="257" t="str">
        <f t="shared" ca="1" si="32"/>
        <v xml:space="preserve">Ministero del lavoro e delle politiche sociali           </v>
      </c>
      <c r="B188" s="11">
        <f t="shared" ca="1" si="32"/>
        <v>1</v>
      </c>
      <c r="C188" s="19">
        <f t="shared" ca="1" si="32"/>
        <v>7940</v>
      </c>
      <c r="D188" s="416">
        <f ca="1">IFERROR(VLOOKUP(B188,'Risultati 2005'!$B$68:$G$111, 2, FALSE), 0)</f>
        <v>5.9749999999999996</v>
      </c>
      <c r="E188" s="413">
        <f ca="1">IFERROR(VLOOKUP(B188,'Risultati 2006'!$B$75:$G$125, 2, FALSE),0)</f>
        <v>0</v>
      </c>
      <c r="F188" s="413">
        <f ca="1">IFERROR(VLOOKUP(B188,'Risultati 2007'!$C$86:$H$147, 2, FALSE),0)</f>
        <v>7.1463414634146343</v>
      </c>
      <c r="G188" s="413">
        <f ca="1">IFERROR(VLOOKUP(B188,'Risultati 2008'!$C$81:$D$137, 2, FALSE),0)</f>
        <v>9</v>
      </c>
      <c r="H188" s="413">
        <f ca="1">IFERROR(VLOOKUP($B188,'Risultati 2009'!$C$81:$G$141,2, FALSE), 0)</f>
        <v>8.3414634146341466</v>
      </c>
      <c r="I188" s="500">
        <f t="shared" ca="1" si="27"/>
        <v>5.6097560975609753</v>
      </c>
      <c r="J188" s="416">
        <f ca="1">IFERROR(VLOOKUP(B188,'Risultati 2005'!$B$68:$G$111, 3, FALSE),0)</f>
        <v>5.916666666666667</v>
      </c>
      <c r="K188" s="413">
        <f ca="1">IFERROR(VLOOKUP(B188,'Risultati 2006'!$B$75:$G$125, 3, FALSE),0)</f>
        <v>0</v>
      </c>
      <c r="L188" s="413">
        <f ca="1">IFERROR(VLOOKUP(B188,'Risultati 2007'!$C$86:$H$147, 3, FALSE), 0)</f>
        <v>7</v>
      </c>
      <c r="M188" s="413">
        <f ca="1">IFERROR(VLOOKUP(B188,'Risultati 2008'!$C$81:$G$142, 3, FALSE), 0)</f>
        <v>9.1999999999999993</v>
      </c>
      <c r="N188" s="413">
        <f ca="1">IFERROR(VLOOKUP($B188,'Risultati 2009'!$C$81:$G$141, 3, FALSE), 0)</f>
        <v>7.9</v>
      </c>
      <c r="O188" s="417">
        <f t="shared" ca="1" si="28"/>
        <v>9.1</v>
      </c>
      <c r="P188" s="416">
        <f ca="1">IFERROR(VLOOKUP(B188,'Risultati 2005'!$B$68:$G$111, 4, FALSE),0)</f>
        <v>5.8571428571428568</v>
      </c>
      <c r="Q188" s="413">
        <f ca="1">IFERROR(VLOOKUP(B188,'Risultati 2006'!$B$75:$G$125, 4, FALSE),0)</f>
        <v>0</v>
      </c>
      <c r="R188" s="413">
        <f ca="1">IFERROR(VLOOKUP(B188,'Risultati 2007'!$C$86:$H$147, 4, FALSE),0)</f>
        <v>6.7777777777777777</v>
      </c>
      <c r="S188" s="413">
        <f ca="1">IFERROR(VLOOKUP(B188,'Risultati 2008'!$C$81:$G$142, 4, FALSE), 0)</f>
        <v>8.5555555555555554</v>
      </c>
      <c r="T188" s="413">
        <f ca="1">IFERROR(VLOOKUP($B188,'Risultati 2009'!$C$81:$G$141, 4, FALSE), 0)</f>
        <v>9</v>
      </c>
      <c r="U188" s="417">
        <f t="shared" ca="1" si="29"/>
        <v>7.4444444444444446</v>
      </c>
      <c r="V188" s="416">
        <f ca="1">IFERROR(VLOOKUP(B188,'Risultati 2005'!$B$68:$G$111, 5, FALSE),0)</f>
        <v>10</v>
      </c>
      <c r="W188" s="413">
        <f ca="1">IFERROR(VLOOKUP(B188,'Risultati 2006'!$B$75:$G$125, 5, FALSE),0)</f>
        <v>0</v>
      </c>
      <c r="X188" s="413">
        <f ca="1">IFERROR(VLOOKUP(B188,'Risultati 2007'!$C$86:$H$147, 5, FALSE),0)</f>
        <v>6.4444444444444446</v>
      </c>
      <c r="Y188" s="413">
        <f ca="1">IFERROR(VLOOKUP(B188,'Risultati 2008'!$C$81:$G$142, 5, FALSE), 0)</f>
        <v>8.6666666666666661</v>
      </c>
      <c r="Z188" s="413">
        <f ca="1">IFERROR(VLOOKUP($B188,'Risultati 2009'!$C$81:$G$141, 5, FALSE), 0)</f>
        <v>7.5555555555555554</v>
      </c>
      <c r="AA188" s="417">
        <f t="shared" ca="1" si="30"/>
        <v>8</v>
      </c>
      <c r="AB188" s="416">
        <f ca="1">IFERROR(VLOOKUP(B188,'Risultati 2005'!$B$68:$G$111, 6, FALSE),0)</f>
        <v>5.117647058823529</v>
      </c>
      <c r="AC188" s="413">
        <f ca="1">IFERROR(VLOOKUP(B188,'Risultati 2006'!$B$75:$G$125, 6, FALSE),0)</f>
        <v>0</v>
      </c>
      <c r="AD188" s="413">
        <f ca="1">IFERROR(VLOOKUP(B188,'Risultati 2007'!$C$86:$H$147, 6, FALSE),0)</f>
        <v>8</v>
      </c>
      <c r="AE188" s="413">
        <f ca="1">IFERROR(VLOOKUP(B188,'Risultati 2008'!$C$81:$H$142, 6, FALSE), 0)</f>
        <v>9.384615384615385</v>
      </c>
      <c r="AF188" s="413">
        <f ca="1">IFERROR(VLOOKUP($B188,'Risultati 2009'!$C$81:$H$141, 6, FALSE), 0)</f>
        <v>8.7692307692307701</v>
      </c>
      <c r="AG188" s="417">
        <f t="shared" ca="1" si="31"/>
        <v>0</v>
      </c>
      <c r="AH188" s="413"/>
      <c r="AI188" s="413"/>
      <c r="AJ188" s="413"/>
    </row>
    <row r="189" spans="1:36">
      <c r="A189" s="257" t="str">
        <f t="shared" ca="1" si="32"/>
        <v xml:space="preserve">Ministero della salute                        </v>
      </c>
      <c r="B189" s="11">
        <f t="shared" ca="1" si="32"/>
        <v>20</v>
      </c>
      <c r="C189" s="19">
        <f t="shared" ca="1" si="32"/>
        <v>2287</v>
      </c>
      <c r="D189" s="416">
        <f ca="1">IFERROR(VLOOKUP(B189,'Risultati 2005'!$B$68:$G$111, 2, FALSE), 0)</f>
        <v>5.75</v>
      </c>
      <c r="E189" s="413">
        <f ca="1">IFERROR(VLOOKUP(B189,'Risultati 2006'!$B$75:$G$125, 2, FALSE),0)</f>
        <v>7.4722222222222223</v>
      </c>
      <c r="F189" s="413">
        <f ca="1">IFERROR(VLOOKUP(B189,'Risultati 2007'!$C$86:$H$147, 2, FALSE),0)</f>
        <v>6.0487804878048781</v>
      </c>
      <c r="G189" s="413">
        <f ca="1">IFERROR(VLOOKUP(B189,'Risultati 2008'!$C$81:$D$137, 2, FALSE),0)</f>
        <v>7.4390243902439028</v>
      </c>
      <c r="H189" s="413">
        <f ca="1">IFERROR(VLOOKUP($B189,'Risultati 2009'!$C$81:$G$141,2, FALSE), 0)</f>
        <v>6.8292682926829267</v>
      </c>
      <c r="I189" s="500">
        <f t="shared" ca="1" si="27"/>
        <v>8.536585365853659</v>
      </c>
      <c r="J189" s="416">
        <f ca="1">IFERROR(VLOOKUP(B189,'Risultati 2005'!$B$68:$G$111, 3, FALSE),0)</f>
        <v>4.833333333333333</v>
      </c>
      <c r="K189" s="413">
        <f ca="1">IFERROR(VLOOKUP(B189,'Risultati 2006'!$B$75:$G$125, 3, FALSE),0)</f>
        <v>6.5</v>
      </c>
      <c r="L189" s="413">
        <f ca="1">IFERROR(VLOOKUP(B189,'Risultati 2007'!$C$86:$H$147, 3, FALSE), 0)</f>
        <v>5.4</v>
      </c>
      <c r="M189" s="413">
        <f ca="1">IFERROR(VLOOKUP(B189,'Risultati 2008'!$C$81:$G$142, 3, FALSE), 0)</f>
        <v>9.3000000000000007</v>
      </c>
      <c r="N189" s="413">
        <f ca="1">IFERROR(VLOOKUP($B189,'Risultati 2009'!$C$81:$G$141, 3, FALSE), 0)</f>
        <v>9.1999999999999993</v>
      </c>
      <c r="O189" s="417">
        <f t="shared" ca="1" si="28"/>
        <v>9.6</v>
      </c>
      <c r="P189" s="416">
        <f ca="1">IFERROR(VLOOKUP(B189,'Risultati 2005'!$B$68:$G$111, 4, FALSE),0)</f>
        <v>4.4285714285714288</v>
      </c>
      <c r="Q189" s="413">
        <f ca="1">IFERROR(VLOOKUP(B189,'Risultati 2006'!$B$75:$G$125, 4, FALSE),0)</f>
        <v>7</v>
      </c>
      <c r="R189" s="413">
        <f ca="1">IFERROR(VLOOKUP(B189,'Risultati 2007'!$C$86:$H$147, 4, FALSE),0)</f>
        <v>7.7777777777777777</v>
      </c>
      <c r="S189" s="413">
        <f ca="1">IFERROR(VLOOKUP(B189,'Risultati 2008'!$C$81:$G$142, 4, FALSE), 0)</f>
        <v>7.7777777777777777</v>
      </c>
      <c r="T189" s="413">
        <f ca="1">IFERROR(VLOOKUP($B189,'Risultati 2009'!$C$81:$G$141, 4, FALSE), 0)</f>
        <v>9.5555555555555554</v>
      </c>
      <c r="U189" s="417">
        <f t="shared" ca="1" si="29"/>
        <v>8.8888888888888893</v>
      </c>
      <c r="V189" s="416">
        <f ca="1">IFERROR(VLOOKUP(B189,'Risultati 2005'!$B$68:$G$111, 5, FALSE),0)</f>
        <v>10</v>
      </c>
      <c r="W189" s="413">
        <f ca="1">IFERROR(VLOOKUP(B189,'Risultati 2006'!$B$75:$G$125, 5, FALSE),0)</f>
        <v>9.3333333333333339</v>
      </c>
      <c r="X189" s="413">
        <f ca="1">IFERROR(VLOOKUP(B189,'Risultati 2007'!$C$86:$H$147, 5, FALSE),0)</f>
        <v>5.333333333333333</v>
      </c>
      <c r="Y189" s="413">
        <f ca="1">IFERROR(VLOOKUP(B189,'Risultati 2008'!$C$81:$G$142, 5, FALSE), 0)</f>
        <v>6.2222222222222223</v>
      </c>
      <c r="Z189" s="413">
        <f ca="1">IFERROR(VLOOKUP($B189,'Risultati 2009'!$C$81:$G$141, 5, FALSE), 0)</f>
        <v>7.7777777777777777</v>
      </c>
      <c r="AA189" s="417">
        <f t="shared" ca="1" si="30"/>
        <v>8.8888888888888893</v>
      </c>
      <c r="AB189" s="416">
        <f ca="1">IFERROR(VLOOKUP(B189,'Risultati 2005'!$B$68:$G$111, 6, FALSE),0)</f>
        <v>5.9411764705882355</v>
      </c>
      <c r="AC189" s="413">
        <f ca="1">IFERROR(VLOOKUP(B189,'Risultati 2006'!$B$75:$G$125, 6, FALSE),0)</f>
        <v>7</v>
      </c>
      <c r="AD189" s="413">
        <f ca="1">IFERROR(VLOOKUP(B189,'Risultati 2007'!$C$86:$H$147, 6, FALSE),0)</f>
        <v>5.8461538461538458</v>
      </c>
      <c r="AE189" s="413">
        <f ca="1">IFERROR(VLOOKUP(B189,'Risultati 2008'!$C$81:$H$142, 6, FALSE), 0)</f>
        <v>6.615384615384615</v>
      </c>
      <c r="AF189" s="413">
        <f ca="1">IFERROR(VLOOKUP($B189,'Risultati 2009'!$C$81:$H$141, 6, FALSE), 0)</f>
        <v>2.4615384615384617</v>
      </c>
      <c r="AG189" s="417">
        <f t="shared" ca="1" si="31"/>
        <v>7.2307692307692308</v>
      </c>
      <c r="AH189" s="413"/>
      <c r="AI189" s="413"/>
      <c r="AJ189" s="413"/>
    </row>
    <row r="190" spans="1:36">
      <c r="A190" s="257" t="str">
        <f t="shared" ca="1" si="32"/>
        <v xml:space="preserve">Automobile club d'Italia                                                                            </v>
      </c>
      <c r="B190" s="11">
        <f t="shared" ca="1" si="32"/>
        <v>37</v>
      </c>
      <c r="C190" s="19">
        <f t="shared" ca="1" si="32"/>
        <v>3190</v>
      </c>
      <c r="D190" s="416">
        <f ca="1">IFERROR(VLOOKUP(B190,'Risultati 2005'!$B$68:$G$111, 2, FALSE), 0)</f>
        <v>7.3250000000000002</v>
      </c>
      <c r="E190" s="413">
        <f ca="1">IFERROR(VLOOKUP(B190,'Risultati 2006'!$B$75:$G$125, 2, FALSE),0)</f>
        <v>8.1111111111111107</v>
      </c>
      <c r="F190" s="413">
        <f ca="1">IFERROR(VLOOKUP(B190,'Risultati 2007'!$C$86:$H$147, 2, FALSE),0)</f>
        <v>8.536585365853659</v>
      </c>
      <c r="G190" s="413">
        <f ca="1">IFERROR(VLOOKUP(B190,'Risultati 2008'!$C$81:$D$137, 2, FALSE),0)</f>
        <v>8.2926829268292686</v>
      </c>
      <c r="H190" s="413">
        <f ca="1">IFERROR(VLOOKUP($B190,'Risultati 2009'!$C$81:$G$141,2, FALSE), 0)</f>
        <v>8.4390243902439028</v>
      </c>
      <c r="I190" s="500">
        <f t="shared" ca="1" si="27"/>
        <v>8.4390243902439028</v>
      </c>
      <c r="J190" s="416">
        <f ca="1">IFERROR(VLOOKUP(B190,'Risultati 2005'!$B$68:$G$111, 3, FALSE),0)</f>
        <v>5.666666666666667</v>
      </c>
      <c r="K190" s="413">
        <f ca="1">IFERROR(VLOOKUP(B190,'Risultati 2006'!$B$75:$G$125, 3, FALSE),0)</f>
        <v>6</v>
      </c>
      <c r="L190" s="413">
        <f ca="1">IFERROR(VLOOKUP(B190,'Risultati 2007'!$C$86:$H$147, 3, FALSE), 0)</f>
        <v>6.2</v>
      </c>
      <c r="M190" s="413">
        <f ca="1">IFERROR(VLOOKUP(B190,'Risultati 2008'!$C$81:$G$142, 3, FALSE), 0)</f>
        <v>6.2</v>
      </c>
      <c r="N190" s="413">
        <f ca="1">IFERROR(VLOOKUP($B190,'Risultati 2009'!$C$81:$G$141, 3, FALSE), 0)</f>
        <v>6.2</v>
      </c>
      <c r="O190" s="417">
        <f t="shared" ca="1" si="28"/>
        <v>6.2</v>
      </c>
      <c r="P190" s="416">
        <f ca="1">IFERROR(VLOOKUP(B190,'Risultati 2005'!$B$68:$G$111, 4, FALSE),0)</f>
        <v>9.2857142857142865</v>
      </c>
      <c r="Q190" s="413">
        <f ca="1">IFERROR(VLOOKUP(B190,'Risultati 2006'!$B$75:$G$125, 4, FALSE),0)</f>
        <v>9.3333333333333339</v>
      </c>
      <c r="R190" s="413">
        <f ca="1">IFERROR(VLOOKUP(B190,'Risultati 2007'!$C$86:$H$147, 4, FALSE),0)</f>
        <v>9.5555555555555554</v>
      </c>
      <c r="S190" s="413">
        <f ca="1">IFERROR(VLOOKUP(B190,'Risultati 2008'!$C$81:$G$142, 4, FALSE), 0)</f>
        <v>8.4444444444444446</v>
      </c>
      <c r="T190" s="413">
        <f ca="1">IFERROR(VLOOKUP($B190,'Risultati 2009'!$C$81:$G$141, 4, FALSE), 0)</f>
        <v>9.1111111111111107</v>
      </c>
      <c r="U190" s="417">
        <f t="shared" ca="1" si="29"/>
        <v>9.1111111111111107</v>
      </c>
      <c r="V190" s="416">
        <f ca="1">IFERROR(VLOOKUP(B190,'Risultati 2005'!$B$68:$G$111, 5, FALSE),0)</f>
        <v>10</v>
      </c>
      <c r="W190" s="413">
        <f ca="1">IFERROR(VLOOKUP(B190,'Risultati 2006'!$B$75:$G$125, 5, FALSE),0)</f>
        <v>7.4444444444444446</v>
      </c>
      <c r="X190" s="413">
        <f ca="1">IFERROR(VLOOKUP(B190,'Risultati 2007'!$C$86:$H$147, 5, FALSE),0)</f>
        <v>8.4444444444444446</v>
      </c>
      <c r="Y190" s="413">
        <f ca="1">IFERROR(VLOOKUP(B190,'Risultati 2008'!$C$81:$G$142, 5, FALSE), 0)</f>
        <v>8.4444444444444446</v>
      </c>
      <c r="Z190" s="413">
        <f ca="1">IFERROR(VLOOKUP($B190,'Risultati 2009'!$C$81:$G$141, 5, FALSE), 0)</f>
        <v>8.4444444444444446</v>
      </c>
      <c r="AA190" s="417">
        <f t="shared" ca="1" si="30"/>
        <v>8.4444444444444446</v>
      </c>
      <c r="AB190" s="416">
        <f ca="1">IFERROR(VLOOKUP(B190,'Risultati 2005'!$B$68:$G$111, 6, FALSE),0)</f>
        <v>7.0588235294117645</v>
      </c>
      <c r="AC190" s="413">
        <f ca="1">IFERROR(VLOOKUP(B190,'Risultati 2006'!$B$75:$G$125, 6, FALSE),0)</f>
        <v>9.3076923076923084</v>
      </c>
      <c r="AD190" s="413">
        <f ca="1">IFERROR(VLOOKUP(B190,'Risultati 2007'!$C$86:$H$147, 6, FALSE),0)</f>
        <v>9.6923076923076916</v>
      </c>
      <c r="AE190" s="413">
        <f ca="1">IFERROR(VLOOKUP(B190,'Risultati 2008'!$C$81:$H$142, 6, FALSE), 0)</f>
        <v>9.6923076923076916</v>
      </c>
      <c r="AF190" s="413">
        <f ca="1">IFERROR(VLOOKUP($B190,'Risultati 2009'!$C$81:$H$141, 6, FALSE), 0)</f>
        <v>9.6923076923076916</v>
      </c>
      <c r="AG190" s="417">
        <f t="shared" ca="1" si="31"/>
        <v>9.6923076923076916</v>
      </c>
      <c r="AH190" s="413"/>
      <c r="AI190" s="413"/>
      <c r="AJ190" s="413"/>
    </row>
    <row r="191" spans="1:36">
      <c r="A191" s="257" t="str">
        <f t="shared" ca="1" si="32"/>
        <v xml:space="preserve">Agenzia per le erogazioni in agricoltura                                                            </v>
      </c>
      <c r="B191" s="11">
        <f t="shared" ca="1" si="32"/>
        <v>113</v>
      </c>
      <c r="C191" s="19">
        <f t="shared" ca="1" si="32"/>
        <v>283</v>
      </c>
      <c r="D191" s="416">
        <f ca="1">IFERROR(VLOOKUP(B191,'Risultati 2005'!$B$68:$G$111, 2, FALSE), 0)</f>
        <v>0</v>
      </c>
      <c r="E191" s="413">
        <f ca="1">IFERROR(VLOOKUP(B191,'Risultati 2006'!$B$75:$G$125, 2, FALSE),0)</f>
        <v>8.1666666666666661</v>
      </c>
      <c r="F191" s="413">
        <f ca="1">IFERROR(VLOOKUP(B191,'Risultati 2007'!$C$86:$H$147, 2, FALSE),0)</f>
        <v>8.2195121951219505</v>
      </c>
      <c r="G191" s="413">
        <f ca="1">IFERROR(VLOOKUP(B191,'Risultati 2008'!$C$81:$D$137, 2, FALSE),0)</f>
        <v>8.2682926829268286</v>
      </c>
      <c r="H191" s="413">
        <f ca="1">IFERROR(VLOOKUP($B191,'Risultati 2009'!$C$81:$G$141,2, FALSE), 0)</f>
        <v>8.4878048780487809</v>
      </c>
      <c r="I191" s="500">
        <f t="shared" ca="1" si="27"/>
        <v>7.2682926829268295</v>
      </c>
      <c r="J191" s="416">
        <f ca="1">IFERROR(VLOOKUP(B191,'Risultati 2005'!$B$68:$G$111, 3, FALSE),0)</f>
        <v>0</v>
      </c>
      <c r="K191" s="413">
        <f ca="1">IFERROR(VLOOKUP(B191,'Risultati 2006'!$B$75:$G$125, 3, FALSE),0)</f>
        <v>8.75</v>
      </c>
      <c r="L191" s="413">
        <f ca="1">IFERROR(VLOOKUP(B191,'Risultati 2007'!$C$86:$H$147, 3, FALSE), 0)</f>
        <v>7.1</v>
      </c>
      <c r="M191" s="413">
        <f ca="1">IFERROR(VLOOKUP(B191,'Risultati 2008'!$C$81:$G$142, 3, FALSE), 0)</f>
        <v>7.1</v>
      </c>
      <c r="N191" s="413">
        <f ca="1">IFERROR(VLOOKUP($B191,'Risultati 2009'!$C$81:$G$141, 3, FALSE), 0)</f>
        <v>6.2</v>
      </c>
      <c r="O191" s="417">
        <f t="shared" ca="1" si="28"/>
        <v>5.6</v>
      </c>
      <c r="P191" s="416">
        <f ca="1">IFERROR(VLOOKUP(B191,'Risultati 2005'!$B$68:$G$111, 4, FALSE),0)</f>
        <v>0</v>
      </c>
      <c r="Q191" s="413">
        <f ca="1">IFERROR(VLOOKUP(B191,'Risultati 2006'!$B$75:$G$125, 4, FALSE),0)</f>
        <v>7.666666666666667</v>
      </c>
      <c r="R191" s="413">
        <f ca="1">IFERROR(VLOOKUP(B191,'Risultati 2007'!$C$86:$H$147, 4, FALSE),0)</f>
        <v>9.1111111111111107</v>
      </c>
      <c r="S191" s="413">
        <f ca="1">IFERROR(VLOOKUP(B191,'Risultati 2008'!$C$81:$G$142, 4, FALSE), 0)</f>
        <v>9.1111111111111107</v>
      </c>
      <c r="T191" s="413">
        <f ca="1">IFERROR(VLOOKUP($B191,'Risultati 2009'!$C$81:$G$141, 4, FALSE), 0)</f>
        <v>9.1111111111111107</v>
      </c>
      <c r="U191" s="417">
        <f t="shared" ca="1" si="29"/>
        <v>9.5555555555555554</v>
      </c>
      <c r="V191" s="416">
        <f ca="1">IFERROR(VLOOKUP(B191,'Risultati 2005'!$B$68:$G$111, 5, FALSE),0)</f>
        <v>0</v>
      </c>
      <c r="W191" s="413">
        <f ca="1">IFERROR(VLOOKUP(B191,'Risultati 2006'!$B$75:$G$125, 5, FALSE),0)</f>
        <v>8.5555555555555554</v>
      </c>
      <c r="X191" s="413">
        <f ca="1">IFERROR(VLOOKUP(B191,'Risultati 2007'!$C$86:$H$147, 5, FALSE),0)</f>
        <v>9.1111111111111107</v>
      </c>
      <c r="Y191" s="413">
        <f ca="1">IFERROR(VLOOKUP(B191,'Risultati 2008'!$C$81:$G$142, 5, FALSE), 0)</f>
        <v>9.1111111111111107</v>
      </c>
      <c r="Z191" s="413">
        <f ca="1">IFERROR(VLOOKUP($B191,'Risultati 2009'!$C$81:$G$141, 5, FALSE), 0)</f>
        <v>10</v>
      </c>
      <c r="AA191" s="417">
        <f t="shared" ca="1" si="30"/>
        <v>6.666666666666667</v>
      </c>
      <c r="AB191" s="416">
        <f ca="1">IFERROR(VLOOKUP(B191,'Risultati 2005'!$B$68:$G$111, 6, FALSE),0)</f>
        <v>0</v>
      </c>
      <c r="AC191" s="413">
        <f ca="1">IFERROR(VLOOKUP(B191,'Risultati 2006'!$B$75:$G$125, 6, FALSE),0)</f>
        <v>7.7692307692307692</v>
      </c>
      <c r="AD191" s="413">
        <f ca="1">IFERROR(VLOOKUP(B191,'Risultati 2007'!$C$86:$H$147, 6, FALSE),0)</f>
        <v>7.8461538461538458</v>
      </c>
      <c r="AE191" s="413">
        <f ca="1">IFERROR(VLOOKUP(B191,'Risultati 2008'!$C$81:$H$142, 6, FALSE), 0)</f>
        <v>8</v>
      </c>
      <c r="AF191" s="413">
        <f ca="1">IFERROR(VLOOKUP($B191,'Risultati 2009'!$C$81:$H$141, 6, FALSE), 0)</f>
        <v>8.7692307692307701</v>
      </c>
      <c r="AG191" s="417">
        <f t="shared" ca="1" si="31"/>
        <v>7.384615384615385</v>
      </c>
      <c r="AH191" s="413"/>
      <c r="AI191" s="413"/>
      <c r="AJ191" s="413"/>
    </row>
    <row r="192" spans="1:36">
      <c r="A192" s="257" t="str">
        <f t="shared" ca="1" si="32"/>
        <v xml:space="preserve">Consiglio nazionale delle ricerche                                                                  </v>
      </c>
      <c r="B192" s="11">
        <f t="shared" ca="1" si="32"/>
        <v>114</v>
      </c>
      <c r="C192" s="19">
        <f t="shared" ca="1" si="32"/>
        <v>7559</v>
      </c>
      <c r="D192" s="416">
        <f ca="1">IFERROR(VLOOKUP(B192,'Risultati 2005'!$B$68:$G$111, 2, FALSE), 0)</f>
        <v>0</v>
      </c>
      <c r="E192" s="413">
        <f ca="1">IFERROR(VLOOKUP(B192,'Risultati 2006'!$B$75:$G$125, 2, FALSE),0)</f>
        <v>5.1388888888888893</v>
      </c>
      <c r="F192" s="413">
        <f ca="1">IFERROR(VLOOKUP(B192,'Risultati 2007'!$C$86:$H$147, 2, FALSE),0)</f>
        <v>5.8048780487804876</v>
      </c>
      <c r="G192" s="413">
        <f ca="1">IFERROR(VLOOKUP(B192,'Risultati 2008'!$C$81:$D$137, 2, FALSE),0)</f>
        <v>5.8536585365853657</v>
      </c>
      <c r="H192" s="413">
        <f ca="1">IFERROR(VLOOKUP($B192,'Risultati 2009'!$C$81:$G$141,2, FALSE), 0)</f>
        <v>5.3658536585365857</v>
      </c>
      <c r="I192" s="500">
        <f t="shared" ca="1" si="27"/>
        <v>5.5853658536585362</v>
      </c>
      <c r="J192" s="416">
        <f ca="1">IFERROR(VLOOKUP(B192,'Risultati 2005'!$B$68:$G$111, 3, FALSE),0)</f>
        <v>0</v>
      </c>
      <c r="K192" s="413">
        <f ca="1">IFERROR(VLOOKUP(B192,'Risultati 2006'!$B$75:$G$125, 3, FALSE),0)</f>
        <v>6</v>
      </c>
      <c r="L192" s="413">
        <f ca="1">IFERROR(VLOOKUP(B192,'Risultati 2007'!$C$86:$H$147, 3, FALSE), 0)</f>
        <v>3.4</v>
      </c>
      <c r="M192" s="413">
        <f ca="1">IFERROR(VLOOKUP(B192,'Risultati 2008'!$C$81:$G$142, 3, FALSE), 0)</f>
        <v>5.6</v>
      </c>
      <c r="N192" s="413">
        <f ca="1">IFERROR(VLOOKUP($B192,'Risultati 2009'!$C$81:$G$141, 3, FALSE), 0)</f>
        <v>5.6</v>
      </c>
      <c r="O192" s="417">
        <f t="shared" ca="1" si="28"/>
        <v>5.6</v>
      </c>
      <c r="P192" s="416">
        <f ca="1">IFERROR(VLOOKUP(B192,'Risultati 2005'!$B$68:$G$111, 4, FALSE),0)</f>
        <v>0</v>
      </c>
      <c r="Q192" s="413">
        <f ca="1">IFERROR(VLOOKUP(B192,'Risultati 2006'!$B$75:$G$125, 4, FALSE),0)</f>
        <v>7.333333333333333</v>
      </c>
      <c r="R192" s="413">
        <f ca="1">IFERROR(VLOOKUP(B192,'Risultati 2007'!$C$86:$H$147, 4, FALSE),0)</f>
        <v>8.8888888888888893</v>
      </c>
      <c r="S192" s="413">
        <f ca="1">IFERROR(VLOOKUP(B192,'Risultati 2008'!$C$81:$G$142, 4, FALSE), 0)</f>
        <v>9.5555555555555554</v>
      </c>
      <c r="T192" s="413">
        <f ca="1">IFERROR(VLOOKUP($B192,'Risultati 2009'!$C$81:$G$141, 4, FALSE), 0)</f>
        <v>9.5555555555555554</v>
      </c>
      <c r="U192" s="417">
        <f t="shared" ca="1" si="29"/>
        <v>9.5555555555555554</v>
      </c>
      <c r="V192" s="416">
        <f ca="1">IFERROR(VLOOKUP(B192,'Risultati 2005'!$B$68:$G$111, 5, FALSE),0)</f>
        <v>0</v>
      </c>
      <c r="W192" s="413">
        <f ca="1">IFERROR(VLOOKUP(B192,'Risultati 2006'!$B$75:$G$125, 5, FALSE),0)</f>
        <v>5.8888888888888893</v>
      </c>
      <c r="X192" s="413">
        <f ca="1">IFERROR(VLOOKUP(B192,'Risultati 2007'!$C$86:$H$147, 5, FALSE),0)</f>
        <v>7.333333333333333</v>
      </c>
      <c r="Y192" s="413">
        <f ca="1">IFERROR(VLOOKUP(B192,'Risultati 2008'!$C$81:$G$142, 5, FALSE), 0)</f>
        <v>6.2222222222222223</v>
      </c>
      <c r="Z192" s="413">
        <f ca="1">IFERROR(VLOOKUP($B192,'Risultati 2009'!$C$81:$G$141, 5, FALSE), 0)</f>
        <v>6.2222222222222223</v>
      </c>
      <c r="AA192" s="417">
        <f t="shared" ca="1" si="30"/>
        <v>5.4444444444444446</v>
      </c>
      <c r="AB192" s="416">
        <f ca="1">IFERROR(VLOOKUP(B192,'Risultati 2005'!$B$68:$G$111, 6, FALSE),0)</f>
        <v>0</v>
      </c>
      <c r="AC192" s="413">
        <f ca="1">IFERROR(VLOOKUP(B192,'Risultati 2006'!$B$75:$G$125, 6, FALSE),0)</f>
        <v>3.0769230769230771</v>
      </c>
      <c r="AD192" s="413">
        <f ca="1">IFERROR(VLOOKUP(B192,'Risultati 2007'!$C$86:$H$147, 6, FALSE),0)</f>
        <v>4.4615384615384617</v>
      </c>
      <c r="AE192" s="413">
        <f ca="1">IFERROR(VLOOKUP(B192,'Risultati 2008'!$C$81:$H$142, 6, FALSE), 0)</f>
        <v>3.2307692307692308</v>
      </c>
      <c r="AF192" s="413">
        <f ca="1">IFERROR(VLOOKUP($B192,'Risultati 2009'!$C$81:$H$141, 6, FALSE), 0)</f>
        <v>1.6923076923076923</v>
      </c>
      <c r="AG192" s="417">
        <f t="shared" ca="1" si="31"/>
        <v>2.9230769230769229</v>
      </c>
      <c r="AH192" s="413"/>
      <c r="AI192" s="413"/>
      <c r="AJ192" s="413"/>
    </row>
    <row r="193" spans="1:36">
      <c r="A193" s="257" t="str">
        <f t="shared" ca="1" si="32"/>
        <v>Ente Nazionale per l'Aviazione Civile</v>
      </c>
      <c r="B193" s="11">
        <f t="shared" ca="1" si="32"/>
        <v>116</v>
      </c>
      <c r="C193" s="19">
        <f t="shared" ca="1" si="32"/>
        <v>1015</v>
      </c>
      <c r="D193" s="416">
        <f ca="1">IFERROR(VLOOKUP(B193,'Risultati 2005'!$B$68:$G$111, 2, FALSE), 0)</f>
        <v>0</v>
      </c>
      <c r="E193" s="413">
        <f ca="1">IFERROR(VLOOKUP(B193,'Risultati 2006'!$B$75:$G$125, 2, FALSE),0)</f>
        <v>4.8611111111111107</v>
      </c>
      <c r="F193" s="413">
        <f ca="1">IFERROR(VLOOKUP(B193,'Risultati 2007'!$C$86:$H$147, 2, FALSE),0)</f>
        <v>7.6585365853658534</v>
      </c>
      <c r="G193" s="413">
        <f ca="1">IFERROR(VLOOKUP(B193,'Risultati 2008'!$C$81:$D$137, 2, FALSE),0)</f>
        <v>1.3658536585365855</v>
      </c>
      <c r="H193" s="413">
        <f ca="1">IFERROR(VLOOKUP($B193,'Risultati 2009'!$C$81:$G$141,2, FALSE), 0)</f>
        <v>5.1951219512195124</v>
      </c>
      <c r="I193" s="500">
        <f t="shared" ca="1" si="27"/>
        <v>7.1707317073170733</v>
      </c>
      <c r="J193" s="416">
        <f ca="1">IFERROR(VLOOKUP(B193,'Risultati 2005'!$B$68:$G$111, 3, FALSE),0)</f>
        <v>0</v>
      </c>
      <c r="K193" s="413">
        <f ca="1">IFERROR(VLOOKUP(B193,'Risultati 2006'!$B$75:$G$125, 3, FALSE),0)</f>
        <v>6.5</v>
      </c>
      <c r="L193" s="413">
        <f ca="1">IFERROR(VLOOKUP(B193,'Risultati 2007'!$C$86:$H$147, 3, FALSE), 0)</f>
        <v>7.2</v>
      </c>
      <c r="M193" s="413">
        <f ca="1">IFERROR(VLOOKUP(B193,'Risultati 2008'!$C$81:$G$142, 3, FALSE), 0)</f>
        <v>5.6</v>
      </c>
      <c r="N193" s="413">
        <f ca="1">IFERROR(VLOOKUP($B193,'Risultati 2009'!$C$81:$G$141, 3, FALSE), 0)</f>
        <v>6.6</v>
      </c>
      <c r="O193" s="417">
        <f t="shared" ca="1" si="28"/>
        <v>7.7</v>
      </c>
      <c r="P193" s="416">
        <f ca="1">IFERROR(VLOOKUP(B193,'Risultati 2005'!$B$68:$G$111, 4, FALSE),0)</f>
        <v>0</v>
      </c>
      <c r="Q193" s="413">
        <f ca="1">IFERROR(VLOOKUP(B193,'Risultati 2006'!$B$75:$G$125, 4, FALSE),0)</f>
        <v>7.666666666666667</v>
      </c>
      <c r="R193" s="413">
        <f ca="1">IFERROR(VLOOKUP(B193,'Risultati 2007'!$C$86:$H$147, 4, FALSE),0)</f>
        <v>9.5555555555555554</v>
      </c>
      <c r="S193" s="413">
        <f ca="1">IFERROR(VLOOKUP(B193,'Risultati 2008'!$C$81:$G$142, 4, FALSE), 0)</f>
        <v>0</v>
      </c>
      <c r="T193" s="413">
        <f ca="1">IFERROR(VLOOKUP($B193,'Risultati 2009'!$C$81:$G$141, 4, FALSE), 0)</f>
        <v>8.3333333333333339</v>
      </c>
      <c r="U193" s="417">
        <f t="shared" ca="1" si="29"/>
        <v>9.4444444444444446</v>
      </c>
      <c r="V193" s="416">
        <f ca="1">IFERROR(VLOOKUP(B193,'Risultati 2005'!$B$68:$G$111, 5, FALSE),0)</f>
        <v>0</v>
      </c>
      <c r="W193" s="413">
        <f ca="1">IFERROR(VLOOKUP(B193,'Risultati 2006'!$B$75:$G$125, 5, FALSE),0)</f>
        <v>2.2222222222222223</v>
      </c>
      <c r="X193" s="413">
        <f ca="1">IFERROR(VLOOKUP(B193,'Risultati 2007'!$C$86:$H$147, 5, FALSE),0)</f>
        <v>6.2222222222222223</v>
      </c>
      <c r="Y193" s="413">
        <f ca="1">IFERROR(VLOOKUP(B193,'Risultati 2008'!$C$81:$G$142, 5, FALSE), 0)</f>
        <v>0</v>
      </c>
      <c r="Z193" s="413">
        <f ca="1">IFERROR(VLOOKUP($B193,'Risultati 2009'!$C$81:$G$141, 5, FALSE), 0)</f>
        <v>2.8888888888888888</v>
      </c>
      <c r="AA193" s="417">
        <f t="shared" ca="1" si="30"/>
        <v>5.1111111111111107</v>
      </c>
      <c r="AB193" s="416">
        <f ca="1">IFERROR(VLOOKUP(B193,'Risultati 2005'!$B$68:$G$111, 6, FALSE),0)</f>
        <v>0</v>
      </c>
      <c r="AC193" s="413">
        <f ca="1">IFERROR(VLOOKUP(B193,'Risultati 2006'!$B$75:$G$125, 6, FALSE),0)</f>
        <v>4.384615384615385</v>
      </c>
      <c r="AD193" s="413">
        <f ca="1">IFERROR(VLOOKUP(B193,'Risultati 2007'!$C$86:$H$147, 6, FALSE),0)</f>
        <v>7.6923076923076925</v>
      </c>
      <c r="AE193" s="413">
        <f ca="1">IFERROR(VLOOKUP(B193,'Risultati 2008'!$C$81:$H$142, 6, FALSE), 0)</f>
        <v>0</v>
      </c>
      <c r="AF193" s="413">
        <f ca="1">IFERROR(VLOOKUP($B193,'Risultati 2009'!$C$81:$H$141, 6, FALSE), 0)</f>
        <v>3.5384615384615383</v>
      </c>
      <c r="AG193" s="417">
        <f t="shared" ca="1" si="31"/>
        <v>6.615384615384615</v>
      </c>
      <c r="AH193" s="413"/>
      <c r="AI193" s="413"/>
      <c r="AJ193" s="413"/>
    </row>
    <row r="194" spans="1:36">
      <c r="A194" s="257" t="str">
        <f t="shared" ca="1" si="32"/>
        <v>Agenzia nazionale per le nuove tecnologie, l'energia e lo sviluppo economico sostenibile</v>
      </c>
      <c r="B194" s="11">
        <f t="shared" ca="1" si="32"/>
        <v>202</v>
      </c>
      <c r="C194" s="19">
        <f t="shared" ca="1" si="32"/>
        <v>1000</v>
      </c>
      <c r="D194" s="416">
        <f ca="1">IFERROR(VLOOKUP(B194,'Risultati 2005'!$B$68:$G$111, 2, FALSE), 0)</f>
        <v>0</v>
      </c>
      <c r="E194" s="413">
        <f ca="1">IFERROR(VLOOKUP(B194,'Risultati 2006'!$B$75:$G$125, 2, FALSE),0)</f>
        <v>0</v>
      </c>
      <c r="F194" s="413">
        <f ca="1">IFERROR(VLOOKUP(B194,'Risultati 2007'!$C$86:$H$147, 2, FALSE),0)</f>
        <v>0</v>
      </c>
      <c r="G194" s="413">
        <f ca="1">IFERROR(VLOOKUP(B194,'Risultati 2008'!$C$81:$D$137, 2, FALSE),0)</f>
        <v>0</v>
      </c>
      <c r="H194" s="413">
        <f ca="1">IFERROR(VLOOKUP($B194,'Risultati 2009'!$C$81:$G$141,2, FALSE), 0)</f>
        <v>5.8048780487804876</v>
      </c>
      <c r="I194" s="500">
        <f t="shared" ca="1" si="27"/>
        <v>6.4390243902439028</v>
      </c>
      <c r="J194" s="416">
        <f ca="1">IFERROR(VLOOKUP(B194,'Risultati 2005'!$B$68:$G$111, 3, FALSE),0)</f>
        <v>0</v>
      </c>
      <c r="K194" s="413">
        <f ca="1">IFERROR(VLOOKUP(B194,'Risultati 2006'!$B$75:$G$125, 3, FALSE),0)</f>
        <v>0</v>
      </c>
      <c r="L194" s="413">
        <f ca="1">IFERROR(VLOOKUP(B194,'Risultati 2007'!$C$86:$H$147, 3, FALSE), 0)</f>
        <v>0</v>
      </c>
      <c r="M194" s="413">
        <f ca="1">IFERROR(VLOOKUP(B194,'Risultati 2008'!$C$81:$G$142, 3, FALSE), 0)</f>
        <v>0</v>
      </c>
      <c r="N194" s="413">
        <f ca="1">IFERROR(VLOOKUP($B194,'Risultati 2009'!$C$81:$G$141, 3, FALSE), 0)</f>
        <v>4.8</v>
      </c>
      <c r="O194" s="417">
        <f t="shared" ca="1" si="28"/>
        <v>5.6</v>
      </c>
      <c r="P194" s="416">
        <f ca="1">IFERROR(VLOOKUP(B194,'Risultati 2005'!$B$68:$G$111, 4, FALSE),0)</f>
        <v>0</v>
      </c>
      <c r="Q194" s="413">
        <f ca="1">IFERROR(VLOOKUP(B194,'Risultati 2006'!$B$75:$G$125, 4, FALSE),0)</f>
        <v>0</v>
      </c>
      <c r="R194" s="413">
        <f ca="1">IFERROR(VLOOKUP(B194,'Risultati 2007'!$C$86:$H$147, 4, FALSE),0)</f>
        <v>0</v>
      </c>
      <c r="S194" s="413">
        <f ca="1">IFERROR(VLOOKUP(B194,'Risultati 2008'!$C$81:$G$142, 4, FALSE), 0)</f>
        <v>0</v>
      </c>
      <c r="T194" s="413">
        <f ca="1">IFERROR(VLOOKUP($B194,'Risultati 2009'!$C$81:$G$141, 4, FALSE), 0)</f>
        <v>7.7777777777777777</v>
      </c>
      <c r="U194" s="417">
        <f t="shared" ca="1" si="29"/>
        <v>8.8888888888888893</v>
      </c>
      <c r="V194" s="416">
        <f ca="1">IFERROR(VLOOKUP(B194,'Risultati 2005'!$B$68:$G$111, 5, FALSE),0)</f>
        <v>0</v>
      </c>
      <c r="W194" s="413">
        <f ca="1">IFERROR(VLOOKUP(B194,'Risultati 2006'!$B$75:$G$125, 5, FALSE),0)</f>
        <v>0</v>
      </c>
      <c r="X194" s="413">
        <f ca="1">IFERROR(VLOOKUP(B194,'Risultati 2007'!$C$86:$H$147, 5, FALSE),0)</f>
        <v>0</v>
      </c>
      <c r="Y194" s="413">
        <f ca="1">IFERROR(VLOOKUP(B194,'Risultati 2008'!$C$81:$G$142, 5, FALSE), 0)</f>
        <v>0</v>
      </c>
      <c r="Z194" s="413">
        <f ca="1">IFERROR(VLOOKUP($B194,'Risultati 2009'!$C$81:$G$141, 5, FALSE), 0)</f>
        <v>6.4444444444444446</v>
      </c>
      <c r="AA194" s="417">
        <f t="shared" ca="1" si="30"/>
        <v>6.8888888888888893</v>
      </c>
      <c r="AB194" s="416">
        <f ca="1">IFERROR(VLOOKUP(B194,'Risultati 2005'!$B$68:$G$111, 6, FALSE),0)</f>
        <v>0</v>
      </c>
      <c r="AC194" s="413">
        <f ca="1">IFERROR(VLOOKUP(B194,'Risultati 2006'!$B$75:$G$125, 6, FALSE),0)</f>
        <v>0</v>
      </c>
      <c r="AD194" s="413">
        <f ca="1">IFERROR(VLOOKUP(B194,'Risultati 2007'!$C$86:$H$147, 6, FALSE),0)</f>
        <v>0</v>
      </c>
      <c r="AE194" s="413">
        <f ca="1">IFERROR(VLOOKUP(B194,'Risultati 2008'!$C$81:$H$142, 6, FALSE), 0)</f>
        <v>0</v>
      </c>
      <c r="AF194" s="413">
        <f ca="1">IFERROR(VLOOKUP($B194,'Risultati 2009'!$C$81:$H$141, 6, FALSE), 0)</f>
        <v>4.7692307692307692</v>
      </c>
      <c r="AG194" s="417">
        <f t="shared" ca="1" si="31"/>
        <v>5.0769230769230766</v>
      </c>
      <c r="AH194" s="413"/>
      <c r="AI194" s="413"/>
      <c r="AJ194" s="413"/>
    </row>
    <row r="195" spans="1:36" ht="12" customHeight="1">
      <c r="A195" s="257" t="str">
        <f t="shared" ca="1" si="32"/>
        <v>Ente nazionale previdenza assistenza lavoratori dello spettacolo</v>
      </c>
      <c r="B195" s="11">
        <f t="shared" ca="1" si="32"/>
        <v>62</v>
      </c>
      <c r="C195" s="19">
        <f t="shared" ca="1" si="32"/>
        <v>383</v>
      </c>
      <c r="D195" s="416">
        <f ca="1">IFERROR(VLOOKUP(B195,'Risultati 2005'!$B$68:$G$111, 2, FALSE), 0)</f>
        <v>5</v>
      </c>
      <c r="E195" s="413">
        <f ca="1">IFERROR(VLOOKUP(B195,'Risultati 2006'!$B$75:$G$125, 2, FALSE),0)</f>
        <v>7.3055555555555554</v>
      </c>
      <c r="F195" s="413">
        <f ca="1">IFERROR(VLOOKUP(B195,'Risultati 2007'!$C$86:$H$147, 2, FALSE),0)</f>
        <v>7.3658536585365857</v>
      </c>
      <c r="G195" s="413">
        <f ca="1">IFERROR(VLOOKUP(B195,'Risultati 2008'!$C$81:$D$137, 2, FALSE),0)</f>
        <v>7.1463414634146343</v>
      </c>
      <c r="H195" s="413">
        <f ca="1">IFERROR(VLOOKUP($B195,'Risultati 2009'!$C$81:$G$141,2, FALSE), 0)</f>
        <v>6.9512195121951219</v>
      </c>
      <c r="I195" s="500">
        <f t="shared" ca="1" si="27"/>
        <v>7.6829268292682924</v>
      </c>
      <c r="J195" s="416">
        <f ca="1">IFERROR(VLOOKUP(B195,'Risultati 2005'!$B$68:$G$111, 3, FALSE),0)</f>
        <v>4.5</v>
      </c>
      <c r="K195" s="413">
        <f ca="1">IFERROR(VLOOKUP(B195,'Risultati 2006'!$B$75:$G$125, 3, FALSE),0)</f>
        <v>8.75</v>
      </c>
      <c r="L195" s="413">
        <f ca="1">IFERROR(VLOOKUP(B195,'Risultati 2007'!$C$86:$H$147, 3, FALSE), 0)</f>
        <v>8.4</v>
      </c>
      <c r="M195" s="413">
        <f ca="1">IFERROR(VLOOKUP(B195,'Risultati 2008'!$C$81:$G$142, 3, FALSE), 0)</f>
        <v>7.1</v>
      </c>
      <c r="N195" s="413">
        <f ca="1">IFERROR(VLOOKUP($B195,'Risultati 2009'!$C$81:$G$141, 3, FALSE), 0)</f>
        <v>8.4</v>
      </c>
      <c r="O195" s="417">
        <f t="shared" ca="1" si="28"/>
        <v>8.8000000000000007</v>
      </c>
      <c r="P195" s="416">
        <f ca="1">IFERROR(VLOOKUP(B195,'Risultati 2005'!$B$68:$G$111, 4, FALSE),0)</f>
        <v>5.8571428571428568</v>
      </c>
      <c r="Q195" s="413">
        <f ca="1">IFERROR(VLOOKUP(B195,'Risultati 2006'!$B$75:$G$125, 4, FALSE),0)</f>
        <v>7.333333333333333</v>
      </c>
      <c r="R195" s="413">
        <f ca="1">IFERROR(VLOOKUP(B195,'Risultati 2007'!$C$86:$H$147, 4, FALSE),0)</f>
        <v>7.7777777777777777</v>
      </c>
      <c r="S195" s="413">
        <f ca="1">IFERROR(VLOOKUP(B195,'Risultati 2008'!$C$81:$G$142, 4, FALSE), 0)</f>
        <v>7.333333333333333</v>
      </c>
      <c r="T195" s="413">
        <f ca="1">IFERROR(VLOOKUP($B195,'Risultati 2009'!$C$81:$G$141, 4, FALSE), 0)</f>
        <v>9</v>
      </c>
      <c r="U195" s="417">
        <f t="shared" ca="1" si="29"/>
        <v>8.3333333333333339</v>
      </c>
      <c r="V195" s="416">
        <f ca="1">IFERROR(VLOOKUP(B195,'Risultati 2005'!$B$68:$G$111, 5, FALSE),0)</f>
        <v>2.5</v>
      </c>
      <c r="W195" s="413">
        <f ca="1">IFERROR(VLOOKUP(B195,'Risultati 2006'!$B$75:$G$125, 5, FALSE),0)</f>
        <v>5.5555555555555554</v>
      </c>
      <c r="X195" s="413">
        <f ca="1">IFERROR(VLOOKUP(B195,'Risultati 2007'!$C$86:$H$147, 5, FALSE),0)</f>
        <v>5.1111111111111107</v>
      </c>
      <c r="Y195" s="413">
        <f ca="1">IFERROR(VLOOKUP(B195,'Risultati 2008'!$C$81:$G$142, 5, FALSE), 0)</f>
        <v>8.8888888888888893</v>
      </c>
      <c r="Z195" s="413">
        <f ca="1">IFERROR(VLOOKUP($B195,'Risultati 2009'!$C$81:$G$141, 5, FALSE), 0)</f>
        <v>2.2222222222222223</v>
      </c>
      <c r="AA195" s="417">
        <f t="shared" ca="1" si="30"/>
        <v>6.8888888888888893</v>
      </c>
      <c r="AB195" s="416">
        <f ca="1">IFERROR(VLOOKUP(B195,'Risultati 2005'!$B$68:$G$111, 6, FALSE),0)</f>
        <v>5.5882352941176467</v>
      </c>
      <c r="AC195" s="413">
        <f ca="1">IFERROR(VLOOKUP(B195,'Risultati 2006'!$B$75:$G$125, 6, FALSE),0)</f>
        <v>7.615384615384615</v>
      </c>
      <c r="AD195" s="413">
        <f ca="1">IFERROR(VLOOKUP(B195,'Risultati 2007'!$C$86:$H$147, 6, FALSE),0)</f>
        <v>7.8461538461538458</v>
      </c>
      <c r="AE195" s="413">
        <f ca="1">IFERROR(VLOOKUP(B195,'Risultati 2008'!$C$81:$H$142, 6, FALSE), 0)</f>
        <v>5.8461538461538458</v>
      </c>
      <c r="AF195" s="413">
        <f ca="1">IFERROR(VLOOKUP($B195,'Risultati 2009'!$C$81:$H$141, 6, FALSE), 0)</f>
        <v>7.6923076923076925</v>
      </c>
      <c r="AG195" s="417">
        <f t="shared" ca="1" si="31"/>
        <v>6.9230769230769234</v>
      </c>
      <c r="AH195" s="413"/>
      <c r="AI195" s="413"/>
      <c r="AJ195" s="413"/>
    </row>
    <row r="196" spans="1:36">
      <c r="A196" s="257" t="str">
        <f t="shared" ca="1" si="32"/>
        <v xml:space="preserve">Istituto nazionale per il commercio estero                                              </v>
      </c>
      <c r="B196" s="11">
        <f t="shared" ca="1" si="32"/>
        <v>45</v>
      </c>
      <c r="C196" s="19">
        <f t="shared" ca="1" si="32"/>
        <v>1106</v>
      </c>
      <c r="D196" s="416">
        <f ca="1">IFERROR(VLOOKUP(B196,'Risultati 2005'!$B$68:$G$111, 2, FALSE), 0)</f>
        <v>6.3250000000000002</v>
      </c>
      <c r="E196" s="413">
        <f ca="1">IFERROR(VLOOKUP(B196,'Risultati 2006'!$B$75:$G$125, 2, FALSE),0)</f>
        <v>6.4444444444444446</v>
      </c>
      <c r="F196" s="413">
        <f ca="1">IFERROR(VLOOKUP(B196,'Risultati 2007'!$C$86:$H$147, 2, FALSE),0)</f>
        <v>6.8048780487804876</v>
      </c>
      <c r="G196" s="413">
        <f ca="1">IFERROR(VLOOKUP(B196,'Risultati 2008'!$C$81:$D$137, 2, FALSE),0)</f>
        <v>6.5609756097560972</v>
      </c>
      <c r="H196" s="413">
        <f ca="1">IFERROR(VLOOKUP($B196,'Risultati 2009'!$C$81:$G$141,2, FALSE), 0)</f>
        <v>5.4878048780487809</v>
      </c>
      <c r="I196" s="500">
        <f t="shared" ca="1" si="27"/>
        <v>5.0975609756097562</v>
      </c>
      <c r="J196" s="416">
        <f ca="1">IFERROR(VLOOKUP(B196,'Risultati 2005'!$B$68:$G$111, 3, FALSE),0)</f>
        <v>4.333333333333333</v>
      </c>
      <c r="K196" s="413">
        <f ca="1">IFERROR(VLOOKUP(B196,'Risultati 2006'!$B$75:$G$125, 3, FALSE),0)</f>
        <v>9</v>
      </c>
      <c r="L196" s="413">
        <f ca="1">IFERROR(VLOOKUP(B196,'Risultati 2007'!$C$86:$H$147, 3, FALSE), 0)</f>
        <v>5</v>
      </c>
      <c r="M196" s="413">
        <f ca="1">IFERROR(VLOOKUP(B196,'Risultati 2008'!$C$81:$G$142, 3, FALSE), 0)</f>
        <v>6.8</v>
      </c>
      <c r="N196" s="413">
        <f ca="1">IFERROR(VLOOKUP($B196,'Risultati 2009'!$C$81:$G$141, 3, FALSE), 0)</f>
        <v>5.6</v>
      </c>
      <c r="O196" s="417">
        <f t="shared" ca="1" si="28"/>
        <v>5.6</v>
      </c>
      <c r="P196" s="416">
        <f ca="1">IFERROR(VLOOKUP(B196,'Risultati 2005'!$B$68:$G$111, 4, FALSE),0)</f>
        <v>7.8571428571428568</v>
      </c>
      <c r="Q196" s="413">
        <f ca="1">IFERROR(VLOOKUP(B196,'Risultati 2006'!$B$75:$G$125, 4, FALSE),0)</f>
        <v>7</v>
      </c>
      <c r="R196" s="413">
        <f ca="1">IFERROR(VLOOKUP(B196,'Risultati 2007'!$C$86:$H$147, 4, FALSE),0)</f>
        <v>8.4444444444444446</v>
      </c>
      <c r="S196" s="413">
        <f ca="1">IFERROR(VLOOKUP(B196,'Risultati 2008'!$C$81:$G$142, 4, FALSE), 0)</f>
        <v>5.666666666666667</v>
      </c>
      <c r="T196" s="413">
        <f ca="1">IFERROR(VLOOKUP($B196,'Risultati 2009'!$C$81:$G$141, 4, FALSE), 0)</f>
        <v>6.8888888888888893</v>
      </c>
      <c r="U196" s="417">
        <f t="shared" ca="1" si="29"/>
        <v>7.333333333333333</v>
      </c>
      <c r="V196" s="416">
        <f ca="1">IFERROR(VLOOKUP(B196,'Risultati 2005'!$B$68:$G$111, 5, FALSE),0)</f>
        <v>10</v>
      </c>
      <c r="W196" s="413">
        <f ca="1">IFERROR(VLOOKUP(B196,'Risultati 2006'!$B$75:$G$125, 5, FALSE),0)</f>
        <v>6</v>
      </c>
      <c r="X196" s="413">
        <f ca="1">IFERROR(VLOOKUP(B196,'Risultati 2007'!$C$86:$H$147, 5, FALSE),0)</f>
        <v>8.3333333333333339</v>
      </c>
      <c r="Y196" s="413">
        <f ca="1">IFERROR(VLOOKUP(B196,'Risultati 2008'!$C$81:$G$142, 5, FALSE), 0)</f>
        <v>6.2222222222222223</v>
      </c>
      <c r="Z196" s="413">
        <f ca="1">IFERROR(VLOOKUP($B196,'Risultati 2009'!$C$81:$G$141, 5, FALSE), 0)</f>
        <v>5.4444444444444446</v>
      </c>
      <c r="AA196" s="417">
        <f t="shared" ca="1" si="30"/>
        <v>5.4444444444444446</v>
      </c>
      <c r="AB196" s="416">
        <f ca="1">IFERROR(VLOOKUP(B196,'Risultati 2005'!$B$68:$G$111, 6, FALSE),0)</f>
        <v>6.2352941176470589</v>
      </c>
      <c r="AC196" s="413">
        <f ca="1">IFERROR(VLOOKUP(B196,'Risultati 2006'!$B$75:$G$125, 6, FALSE),0)</f>
        <v>4.9230769230769234</v>
      </c>
      <c r="AD196" s="413">
        <f ca="1">IFERROR(VLOOKUP(B196,'Risultati 2007'!$C$86:$H$147, 6, FALSE),0)</f>
        <v>6</v>
      </c>
      <c r="AE196" s="413">
        <f ca="1">IFERROR(VLOOKUP(B196,'Risultati 2008'!$C$81:$H$142, 6, FALSE), 0)</f>
        <v>7.2307692307692308</v>
      </c>
      <c r="AF196" s="413">
        <f ca="1">IFERROR(VLOOKUP($B196,'Risultati 2009'!$C$81:$H$141, 6, FALSE), 0)</f>
        <v>4.4615384615384617</v>
      </c>
      <c r="AG196" s="417">
        <f t="shared" ca="1" si="31"/>
        <v>2.9230769230769229</v>
      </c>
      <c r="AH196" s="413"/>
      <c r="AI196" s="413"/>
      <c r="AJ196" s="413"/>
    </row>
    <row r="197" spans="1:36">
      <c r="A197" s="257" t="str">
        <f t="shared" ca="1" si="32"/>
        <v>Istituto per lo sviluppo della formazione professionale dei lavoratori</v>
      </c>
      <c r="B197" s="11">
        <f t="shared" ca="1" si="32"/>
        <v>120</v>
      </c>
      <c r="C197" s="19">
        <f t="shared" ca="1" si="32"/>
        <v>619</v>
      </c>
      <c r="D197" s="416">
        <f ca="1">IFERROR(VLOOKUP(B197,'Risultati 2005'!$B$68:$G$111, 2, FALSE), 0)</f>
        <v>0</v>
      </c>
      <c r="E197" s="413">
        <f ca="1">IFERROR(VLOOKUP(B197,'Risultati 2006'!$B$75:$G$125, 2, FALSE),0)</f>
        <v>5.9722222222222223</v>
      </c>
      <c r="F197" s="413">
        <f ca="1">IFERROR(VLOOKUP(B197,'Risultati 2007'!$C$86:$H$147, 2, FALSE),0)</f>
        <v>7.3658536585365857</v>
      </c>
      <c r="G197" s="413">
        <f ca="1">IFERROR(VLOOKUP(B197,'Risultati 2008'!$C$81:$D$137, 2, FALSE),0)</f>
        <v>5.4390243902439028</v>
      </c>
      <c r="H197" s="413">
        <f ca="1">IFERROR(VLOOKUP($B197,'Risultati 2009'!$C$81:$G$141,2, FALSE), 0)</f>
        <v>4.7317073170731705</v>
      </c>
      <c r="I197" s="500">
        <f t="shared" ca="1" si="27"/>
        <v>5.7804878048780486</v>
      </c>
      <c r="J197" s="416">
        <f ca="1">IFERROR(VLOOKUP(B197,'Risultati 2005'!$B$68:$G$111, 3, FALSE),0)</f>
        <v>0</v>
      </c>
      <c r="K197" s="413">
        <f ca="1">IFERROR(VLOOKUP(B197,'Risultati 2006'!$B$75:$G$125, 3, FALSE),0)</f>
        <v>9.5</v>
      </c>
      <c r="L197" s="413">
        <f ca="1">IFERROR(VLOOKUP(B197,'Risultati 2007'!$C$86:$H$147, 3, FALSE), 0)</f>
        <v>8.9</v>
      </c>
      <c r="M197" s="413">
        <f ca="1">IFERROR(VLOOKUP(B197,'Risultati 2008'!$C$81:$G$142, 3, FALSE), 0)</f>
        <v>7.2</v>
      </c>
      <c r="N197" s="413">
        <f ca="1">IFERROR(VLOOKUP($B197,'Risultati 2009'!$C$81:$G$141, 3, FALSE), 0)</f>
        <v>9.1</v>
      </c>
      <c r="O197" s="417">
        <f t="shared" ca="1" si="28"/>
        <v>5.6</v>
      </c>
      <c r="P197" s="416">
        <f ca="1">IFERROR(VLOOKUP(B197,'Risultati 2005'!$B$68:$G$111, 4, FALSE),0)</f>
        <v>0</v>
      </c>
      <c r="Q197" s="413">
        <f ca="1">IFERROR(VLOOKUP(B197,'Risultati 2006'!$B$75:$G$125, 4, FALSE),0)</f>
        <v>6</v>
      </c>
      <c r="R197" s="413">
        <f ca="1">IFERROR(VLOOKUP(B197,'Risultati 2007'!$C$86:$H$147, 4, FALSE),0)</f>
        <v>4.5555555555555554</v>
      </c>
      <c r="S197" s="413">
        <f ca="1">IFERROR(VLOOKUP(B197,'Risultati 2008'!$C$81:$G$142, 4, FALSE), 0)</f>
        <v>5.2222222222222223</v>
      </c>
      <c r="T197" s="413">
        <f ca="1">IFERROR(VLOOKUP($B197,'Risultati 2009'!$C$81:$G$141, 4, FALSE), 0)</f>
        <v>6.333333333333333</v>
      </c>
      <c r="U197" s="417">
        <f t="shared" ca="1" si="29"/>
        <v>3.6666666666666665</v>
      </c>
      <c r="V197" s="416">
        <f ca="1">IFERROR(VLOOKUP(B197,'Risultati 2005'!$B$68:$G$111, 5, FALSE),0)</f>
        <v>0</v>
      </c>
      <c r="W197" s="413">
        <f ca="1">IFERROR(VLOOKUP(B197,'Risultati 2006'!$B$75:$G$125, 5, FALSE),0)</f>
        <v>3.2222222222222223</v>
      </c>
      <c r="X197" s="413">
        <f ca="1">IFERROR(VLOOKUP(B197,'Risultati 2007'!$C$86:$H$147, 5, FALSE),0)</f>
        <v>10</v>
      </c>
      <c r="Y197" s="413">
        <f ca="1">IFERROR(VLOOKUP(B197,'Risultati 2008'!$C$81:$G$142, 5, FALSE), 0)</f>
        <v>5.5555555555555554</v>
      </c>
      <c r="Z197" s="413">
        <f ca="1">IFERROR(VLOOKUP($B197,'Risultati 2009'!$C$81:$G$141, 5, FALSE), 0)</f>
        <v>5.1111111111111107</v>
      </c>
      <c r="AA197" s="417">
        <f t="shared" ca="1" si="30"/>
        <v>8.4444444444444446</v>
      </c>
      <c r="AB197" s="416">
        <f ca="1">IFERROR(VLOOKUP(B197,'Risultati 2005'!$B$68:$G$111, 6, FALSE),0)</f>
        <v>0</v>
      </c>
      <c r="AC197" s="413">
        <f ca="1">IFERROR(VLOOKUP(B197,'Risultati 2006'!$B$75:$G$125, 6, FALSE),0)</f>
        <v>5.6923076923076925</v>
      </c>
      <c r="AD197" s="413">
        <f ca="1">IFERROR(VLOOKUP(B197,'Risultati 2007'!$C$86:$H$147, 6, FALSE),0)</f>
        <v>6.3076923076923075</v>
      </c>
      <c r="AE197" s="413">
        <f ca="1">IFERROR(VLOOKUP(B197,'Risultati 2008'!$C$81:$H$142, 6, FALSE), 0)</f>
        <v>4.1538461538461542</v>
      </c>
      <c r="AF197" s="413">
        <f ca="1">IFERROR(VLOOKUP($B197,'Risultati 2009'!$C$81:$H$141, 6, FALSE), 0)</f>
        <v>0</v>
      </c>
      <c r="AG197" s="417">
        <f t="shared" ca="1" si="31"/>
        <v>5.5384615384615383</v>
      </c>
      <c r="AH197" s="413"/>
      <c r="AI197" s="413"/>
      <c r="AJ197" s="413"/>
    </row>
    <row r="198" spans="1:36">
      <c r="A198" s="257" t="str">
        <f t="shared" ca="1" si="32"/>
        <v xml:space="preserve">Istituto nazionale per l'assicurazione infortuni sul lavoro                </v>
      </c>
      <c r="B198" s="11">
        <f t="shared" ca="1" si="32"/>
        <v>46</v>
      </c>
      <c r="C198" s="19">
        <f t="shared" ca="1" si="32"/>
        <v>9993</v>
      </c>
      <c r="D198" s="416">
        <f ca="1">IFERROR(VLOOKUP(B198,'Risultati 2005'!$B$68:$G$111, 2, FALSE), 0)</f>
        <v>6.25</v>
      </c>
      <c r="E198" s="413">
        <f ca="1">IFERROR(VLOOKUP(B198,'Risultati 2006'!$B$75:$G$125, 2, FALSE),0)</f>
        <v>5.75</v>
      </c>
      <c r="F198" s="413">
        <f ca="1">IFERROR(VLOOKUP(B198,'Risultati 2007'!$C$86:$H$147, 2, FALSE),0)</f>
        <v>8.2195121951219505</v>
      </c>
      <c r="G198" s="413">
        <f ca="1">IFERROR(VLOOKUP(B198,'Risultati 2008'!$C$81:$D$137, 2, FALSE),0)</f>
        <v>7.9024390243902438</v>
      </c>
      <c r="H198" s="413">
        <f ca="1">IFERROR(VLOOKUP($B198,'Risultati 2009'!$C$81:$G$141,2, FALSE), 0)</f>
        <v>8.1951219512195124</v>
      </c>
      <c r="I198" s="500">
        <f t="shared" ca="1" si="27"/>
        <v>8.3658536585365848</v>
      </c>
      <c r="J198" s="416">
        <f ca="1">IFERROR(VLOOKUP(B198,'Risultati 2005'!$B$68:$G$111, 3, FALSE),0)</f>
        <v>6.25</v>
      </c>
      <c r="K198" s="413">
        <f ca="1">IFERROR(VLOOKUP(B198,'Risultati 2006'!$B$75:$G$125, 3, FALSE),0)</f>
        <v>6.875</v>
      </c>
      <c r="L198" s="413">
        <f ca="1">IFERROR(VLOOKUP(B198,'Risultati 2007'!$C$86:$H$147, 3, FALSE), 0)</f>
        <v>8.5</v>
      </c>
      <c r="M198" s="413">
        <f ca="1">IFERROR(VLOOKUP(B198,'Risultati 2008'!$C$81:$G$142, 3, FALSE), 0)</f>
        <v>6.9</v>
      </c>
      <c r="N198" s="413">
        <f ca="1">IFERROR(VLOOKUP($B198,'Risultati 2009'!$C$81:$G$141, 3, FALSE), 0)</f>
        <v>7.9</v>
      </c>
      <c r="O198" s="417">
        <f t="shared" ca="1" si="28"/>
        <v>8.6</v>
      </c>
      <c r="P198" s="416">
        <f ca="1">IFERROR(VLOOKUP(B198,'Risultati 2005'!$B$68:$G$111, 4, FALSE),0)</f>
        <v>5</v>
      </c>
      <c r="Q198" s="413">
        <f ca="1">IFERROR(VLOOKUP(B198,'Risultati 2006'!$B$75:$G$125, 4, FALSE),0)</f>
        <v>3.6666666666666665</v>
      </c>
      <c r="R198" s="413">
        <f ca="1">IFERROR(VLOOKUP(B198,'Risultati 2007'!$C$86:$H$147, 4, FALSE),0)</f>
        <v>7.333333333333333</v>
      </c>
      <c r="S198" s="413">
        <f ca="1">IFERROR(VLOOKUP(B198,'Risultati 2008'!$C$81:$G$142, 4, FALSE), 0)</f>
        <v>7.333333333333333</v>
      </c>
      <c r="T198" s="413">
        <f ca="1">IFERROR(VLOOKUP($B198,'Risultati 2009'!$C$81:$G$141, 4, FALSE), 0)</f>
        <v>8.4444444444444446</v>
      </c>
      <c r="U198" s="417">
        <f t="shared" ca="1" si="29"/>
        <v>8.4444444444444446</v>
      </c>
      <c r="V198" s="416">
        <f ca="1">IFERROR(VLOOKUP(B198,'Risultati 2005'!$B$68:$G$111, 5, FALSE),0)</f>
        <v>10</v>
      </c>
      <c r="W198" s="413">
        <f ca="1">IFERROR(VLOOKUP(B198,'Risultati 2006'!$B$75:$G$125, 5, FALSE),0)</f>
        <v>4.8888888888888893</v>
      </c>
      <c r="X198" s="413">
        <f ca="1">IFERROR(VLOOKUP(B198,'Risultati 2007'!$C$86:$H$147, 5, FALSE),0)</f>
        <v>7.7777777777777777</v>
      </c>
      <c r="Y198" s="413">
        <f ca="1">IFERROR(VLOOKUP(B198,'Risultati 2008'!$C$81:$G$142, 5, FALSE), 0)</f>
        <v>8.1111111111111107</v>
      </c>
      <c r="Z198" s="413">
        <f ca="1">IFERROR(VLOOKUP($B198,'Risultati 2009'!$C$81:$G$141, 5, FALSE), 0)</f>
        <v>7.2222222222222223</v>
      </c>
      <c r="AA198" s="417">
        <f t="shared" ca="1" si="30"/>
        <v>9.2222222222222214</v>
      </c>
      <c r="AB198" s="416">
        <f ca="1">IFERROR(VLOOKUP(B198,'Risultati 2005'!$B$68:$G$111, 6, FALSE),0)</f>
        <v>5.882352941176471</v>
      </c>
      <c r="AC198" s="413">
        <f ca="1">IFERROR(VLOOKUP(B198,'Risultati 2006'!$B$75:$G$125, 6, FALSE),0)</f>
        <v>6.615384615384615</v>
      </c>
      <c r="AD198" s="413">
        <f ca="1">IFERROR(VLOOKUP(B198,'Risultati 2007'!$C$86:$H$147, 6, FALSE),0)</f>
        <v>8.9230769230769234</v>
      </c>
      <c r="AE198" s="413">
        <f ca="1">IFERROR(VLOOKUP(B198,'Risultati 2008'!$C$81:$H$142, 6, FALSE), 0)</f>
        <v>8.9230769230769234</v>
      </c>
      <c r="AF198" s="413">
        <f ca="1">IFERROR(VLOOKUP($B198,'Risultati 2009'!$C$81:$H$141, 6, FALSE), 0)</f>
        <v>8.9230769230769234</v>
      </c>
      <c r="AG198" s="417">
        <f t="shared" ca="1" si="31"/>
        <v>7.5384615384615383</v>
      </c>
      <c r="AH198" s="413"/>
      <c r="AI198" s="413"/>
      <c r="AJ198" s="413"/>
    </row>
    <row r="199" spans="1:36">
      <c r="A199" s="257" t="str">
        <f t="shared" ca="1" si="32"/>
        <v xml:space="preserve">Istituto nazionale di economia agraria                 </v>
      </c>
      <c r="B199" s="11">
        <f t="shared" ca="1" si="32"/>
        <v>60</v>
      </c>
      <c r="C199" s="19">
        <f t="shared" ca="1" si="32"/>
        <v>237</v>
      </c>
      <c r="D199" s="416">
        <f ca="1">IFERROR(VLOOKUP(B199,'Risultati 2005'!$B$68:$G$111, 2, FALSE), 0)</f>
        <v>4.375</v>
      </c>
      <c r="E199" s="413">
        <f ca="1">IFERROR(VLOOKUP(B199,'Risultati 2006'!$B$75:$G$125, 2, FALSE),0)</f>
        <v>3.6111111111111112</v>
      </c>
      <c r="F199" s="413">
        <f ca="1">IFERROR(VLOOKUP(B199,'Risultati 2007'!$C$86:$H$147, 2, FALSE),0)</f>
        <v>4.5365853658536581</v>
      </c>
      <c r="G199" s="413">
        <f ca="1">IFERROR(VLOOKUP(B199,'Risultati 2008'!$C$81:$D$137, 2, FALSE),0)</f>
        <v>5.2195121951219514</v>
      </c>
      <c r="H199" s="413">
        <f ca="1">IFERROR(VLOOKUP($B199,'Risultati 2009'!$C$81:$G$141,2, FALSE), 0)</f>
        <v>4.1463414634146343</v>
      </c>
      <c r="I199" s="500">
        <f t="shared" ca="1" si="27"/>
        <v>5.8780487804878048</v>
      </c>
      <c r="J199" s="416">
        <f ca="1">IFERROR(VLOOKUP(B199,'Risultati 2005'!$B$68:$G$111, 3, FALSE),0)</f>
        <v>3.3333333333333335</v>
      </c>
      <c r="K199" s="413">
        <f ca="1">IFERROR(VLOOKUP(B199,'Risultati 2006'!$B$75:$G$125, 3, FALSE),0)</f>
        <v>4</v>
      </c>
      <c r="L199" s="413">
        <f ca="1">IFERROR(VLOOKUP(B199,'Risultati 2007'!$C$86:$H$147, 3, FALSE), 0)</f>
        <v>5.6</v>
      </c>
      <c r="M199" s="413">
        <f ca="1">IFERROR(VLOOKUP(B199,'Risultati 2008'!$C$81:$G$142, 3, FALSE), 0)</f>
        <v>8.8000000000000007</v>
      </c>
      <c r="N199" s="413">
        <f ca="1">IFERROR(VLOOKUP($B199,'Risultati 2009'!$C$81:$G$141, 3, FALSE), 0)</f>
        <v>5.4</v>
      </c>
      <c r="O199" s="417">
        <f t="shared" ca="1" si="28"/>
        <v>5.5</v>
      </c>
      <c r="P199" s="416">
        <f ca="1">IFERROR(VLOOKUP(B199,'Risultati 2005'!$B$68:$G$111, 4, FALSE),0)</f>
        <v>6.5714285714285712</v>
      </c>
      <c r="Q199" s="413">
        <f ca="1">IFERROR(VLOOKUP(B199,'Risultati 2006'!$B$75:$G$125, 4, FALSE),0)</f>
        <v>6.666666666666667</v>
      </c>
      <c r="R199" s="413">
        <f ca="1">IFERROR(VLOOKUP(B199,'Risultati 2007'!$C$86:$H$147, 4, FALSE),0)</f>
        <v>6.666666666666667</v>
      </c>
      <c r="S199" s="413">
        <f ca="1">IFERROR(VLOOKUP(B199,'Risultati 2008'!$C$81:$G$142, 4, FALSE), 0)</f>
        <v>6.8888888888888893</v>
      </c>
      <c r="T199" s="413">
        <f ca="1">IFERROR(VLOOKUP($B199,'Risultati 2009'!$C$81:$G$141, 4, FALSE), 0)</f>
        <v>6.8888888888888893</v>
      </c>
      <c r="U199" s="417">
        <f t="shared" ca="1" si="29"/>
        <v>6.2222222222222223</v>
      </c>
      <c r="V199" s="416">
        <f ca="1">IFERROR(VLOOKUP(B199,'Risultati 2005'!$B$68:$G$111, 5, FALSE),0)</f>
        <v>7.5</v>
      </c>
      <c r="W199" s="413">
        <f ca="1">IFERROR(VLOOKUP(B199,'Risultati 2006'!$B$75:$G$125, 5, FALSE),0)</f>
        <v>3</v>
      </c>
      <c r="X199" s="413">
        <f ca="1">IFERROR(VLOOKUP(B199,'Risultati 2007'!$C$86:$H$147, 5, FALSE),0)</f>
        <v>5.5555555555555554</v>
      </c>
      <c r="Y199" s="413">
        <f ca="1">IFERROR(VLOOKUP(B199,'Risultati 2008'!$C$81:$G$142, 5, FALSE), 0)</f>
        <v>5.5555555555555554</v>
      </c>
      <c r="Z199" s="413">
        <f ca="1">IFERROR(VLOOKUP($B199,'Risultati 2009'!$C$81:$G$141, 5, FALSE), 0)</f>
        <v>4.4444444444444446</v>
      </c>
      <c r="AA199" s="417">
        <f t="shared" ca="1" si="30"/>
        <v>6.2222222222222223</v>
      </c>
      <c r="AB199" s="416">
        <f ca="1">IFERROR(VLOOKUP(B199,'Risultati 2005'!$B$68:$G$111, 6, FALSE),0)</f>
        <v>3.4705882352941178</v>
      </c>
      <c r="AC199" s="413">
        <f ca="1">IFERROR(VLOOKUP(B199,'Risultati 2006'!$B$75:$G$125, 6, FALSE),0)</f>
        <v>2.3846153846153846</v>
      </c>
      <c r="AD199" s="413">
        <f ca="1">IFERROR(VLOOKUP(B199,'Risultati 2007'!$C$86:$H$147, 6, FALSE),0)</f>
        <v>1.5384615384615385</v>
      </c>
      <c r="AE199" s="413">
        <f ca="1">IFERROR(VLOOKUP(B199,'Risultati 2008'!$C$81:$H$142, 6, FALSE), 0)</f>
        <v>1.0769230769230769</v>
      </c>
      <c r="AF199" s="413">
        <f ca="1">IFERROR(VLOOKUP($B199,'Risultati 2009'!$C$81:$H$141, 6, FALSE), 0)</f>
        <v>1.0769230769230769</v>
      </c>
      <c r="AG199" s="417">
        <f t="shared" ca="1" si="31"/>
        <v>5.6923076923076925</v>
      </c>
      <c r="AH199" s="413"/>
      <c r="AI199" s="413"/>
      <c r="AJ199" s="413"/>
    </row>
    <row r="200" spans="1:36">
      <c r="A200" s="257" t="str">
        <f t="shared" ca="1" si="32"/>
        <v>Istituto nazionale di previdenza dei dipendenti dell'amministrazione pubblica</v>
      </c>
      <c r="B200" s="11">
        <f t="shared" ca="1" si="32"/>
        <v>48</v>
      </c>
      <c r="C200" s="19">
        <f t="shared" ca="1" si="32"/>
        <v>7665</v>
      </c>
      <c r="D200" s="416">
        <f ca="1">IFERROR(VLOOKUP(B200,'Risultati 2005'!$B$68:$G$111, 2, FALSE), 0)</f>
        <v>5.55</v>
      </c>
      <c r="E200" s="413">
        <f ca="1">IFERROR(VLOOKUP(B200,'Risultati 2006'!$B$75:$G$125, 2, FALSE),0)</f>
        <v>5.1388888888888893</v>
      </c>
      <c r="F200" s="413">
        <f ca="1">IFERROR(VLOOKUP(B200,'Risultati 2007'!$C$86:$H$147, 2, FALSE),0)</f>
        <v>7.9024390243902438</v>
      </c>
      <c r="G200" s="413">
        <f ca="1">IFERROR(VLOOKUP(B200,'Risultati 2008'!$C$81:$D$137, 2, FALSE),0)</f>
        <v>7.9024390243902438</v>
      </c>
      <c r="H200" s="413">
        <f ca="1">IFERROR(VLOOKUP($B200,'Risultati 2009'!$C$81:$G$141,2, FALSE), 0)</f>
        <v>9</v>
      </c>
      <c r="I200" s="500">
        <f t="shared" ca="1" si="27"/>
        <v>8.3414634146341466</v>
      </c>
      <c r="J200" s="416">
        <f ca="1">IFERROR(VLOOKUP(B200,'Risultati 2005'!$B$68:$G$111, 3, FALSE),0)</f>
        <v>4.5</v>
      </c>
      <c r="K200" s="413">
        <f ca="1">IFERROR(VLOOKUP(B200,'Risultati 2006'!$B$75:$G$125, 3, FALSE),0)</f>
        <v>6.75</v>
      </c>
      <c r="L200" s="413">
        <f ca="1">IFERROR(VLOOKUP(B200,'Risultati 2007'!$C$86:$H$147, 3, FALSE), 0)</f>
        <v>9</v>
      </c>
      <c r="M200" s="413">
        <f ca="1">IFERROR(VLOOKUP(B200,'Risultati 2008'!$C$81:$G$142, 3, FALSE), 0)</f>
        <v>9</v>
      </c>
      <c r="N200" s="413">
        <f ca="1">IFERROR(VLOOKUP($B200,'Risultati 2009'!$C$81:$G$141, 3, FALSE), 0)</f>
        <v>8</v>
      </c>
      <c r="O200" s="417">
        <f t="shared" ca="1" si="28"/>
        <v>8.4</v>
      </c>
      <c r="P200" s="416">
        <f ca="1">IFERROR(VLOOKUP(B200,'Risultati 2005'!$B$68:$G$111, 4, FALSE),0)</f>
        <v>5.7142857142857144</v>
      </c>
      <c r="Q200" s="413">
        <f ca="1">IFERROR(VLOOKUP(B200,'Risultati 2006'!$B$75:$G$125, 4, FALSE),0)</f>
        <v>6.666666666666667</v>
      </c>
      <c r="R200" s="413">
        <f ca="1">IFERROR(VLOOKUP(B200,'Risultati 2007'!$C$86:$H$147, 4, FALSE),0)</f>
        <v>10</v>
      </c>
      <c r="S200" s="413">
        <f ca="1">IFERROR(VLOOKUP(B200,'Risultati 2008'!$C$81:$G$142, 4, FALSE), 0)</f>
        <v>9.3333333333333339</v>
      </c>
      <c r="T200" s="413">
        <f ca="1">IFERROR(VLOOKUP($B200,'Risultati 2009'!$C$81:$G$141, 4, FALSE), 0)</f>
        <v>9.4444444444444446</v>
      </c>
      <c r="U200" s="417">
        <f t="shared" ca="1" si="29"/>
        <v>9.4444444444444446</v>
      </c>
      <c r="V200" s="416">
        <f ca="1">IFERROR(VLOOKUP(B200,'Risultati 2005'!$B$68:$G$111, 5, FALSE),0)</f>
        <v>10</v>
      </c>
      <c r="W200" s="413">
        <f ca="1">IFERROR(VLOOKUP(B200,'Risultati 2006'!$B$75:$G$125, 5, FALSE),0)</f>
        <v>5.2222222222222223</v>
      </c>
      <c r="X200" s="413">
        <f ca="1">IFERROR(VLOOKUP(B200,'Risultati 2007'!$C$86:$H$147, 5, FALSE),0)</f>
        <v>7.333333333333333</v>
      </c>
      <c r="Y200" s="413">
        <f ca="1">IFERROR(VLOOKUP(B200,'Risultati 2008'!$C$81:$G$142, 5, FALSE), 0)</f>
        <v>7.333333333333333</v>
      </c>
      <c r="Z200" s="413">
        <f ca="1">IFERROR(VLOOKUP($B200,'Risultati 2009'!$C$81:$G$141, 5, FALSE), 0)</f>
        <v>9.1111111111111107</v>
      </c>
      <c r="AA200" s="417">
        <f t="shared" ca="1" si="30"/>
        <v>8.3333333333333339</v>
      </c>
      <c r="AB200" s="416">
        <f ca="1">IFERROR(VLOOKUP(B200,'Risultati 2005'!$B$68:$G$111, 6, FALSE),0)</f>
        <v>5.1764705882352944</v>
      </c>
      <c r="AC200" s="413">
        <f ca="1">IFERROR(VLOOKUP(B200,'Risultati 2006'!$B$75:$G$125, 6, FALSE),0)</f>
        <v>3.3846153846153846</v>
      </c>
      <c r="AD200" s="413">
        <f ca="1">IFERROR(VLOOKUP(B200,'Risultati 2007'!$C$86:$H$147, 6, FALSE),0)</f>
        <v>6</v>
      </c>
      <c r="AE200" s="413">
        <f ca="1">IFERROR(VLOOKUP(B200,'Risultati 2008'!$C$81:$H$142, 6, FALSE), 0)</f>
        <v>6.4615384615384617</v>
      </c>
      <c r="AF200" s="413">
        <f ca="1">IFERROR(VLOOKUP($B200,'Risultati 2009'!$C$81:$H$141, 6, FALSE), 0)</f>
        <v>9.384615384615385</v>
      </c>
      <c r="AG200" s="417">
        <f t="shared" ca="1" si="31"/>
        <v>7.5384615384615383</v>
      </c>
      <c r="AH200" s="413"/>
      <c r="AI200" s="413"/>
      <c r="AJ200" s="413"/>
    </row>
    <row r="201" spans="1:36">
      <c r="A201" s="257" t="str">
        <f t="shared" ref="A201:C206" ca="1" si="33">A72</f>
        <v xml:space="preserve">Istituto nazionale per la previdenza sociale                                  </v>
      </c>
      <c r="B201" s="11">
        <f t="shared" ca="1" si="33"/>
        <v>50</v>
      </c>
      <c r="C201" s="19">
        <f t="shared" ca="1" si="33"/>
        <v>28257</v>
      </c>
      <c r="D201" s="416">
        <f ca="1">IFERROR(VLOOKUP(B201,'Risultati 2005'!$B$68:$G$111, 2, FALSE), 0)</f>
        <v>6.05</v>
      </c>
      <c r="E201" s="413">
        <f ca="1">IFERROR(VLOOKUP(B201,'Risultati 2006'!$B$75:$G$125, 2, FALSE),0)</f>
        <v>6.166666666666667</v>
      </c>
      <c r="F201" s="413">
        <f ca="1">IFERROR(VLOOKUP(B201,'Risultati 2007'!$C$86:$H$147, 2, FALSE),0)</f>
        <v>8.6829268292682933</v>
      </c>
      <c r="G201" s="413">
        <f ca="1">IFERROR(VLOOKUP(B201,'Risultati 2008'!$C$81:$D$137, 2, FALSE),0)</f>
        <v>8.6341463414634152</v>
      </c>
      <c r="H201" s="413">
        <f ca="1">IFERROR(VLOOKUP($B201,'Risultati 2009'!$C$81:$G$141,2, FALSE), 0)</f>
        <v>8.6829268292682933</v>
      </c>
      <c r="I201" s="500">
        <f t="shared" ca="1" si="27"/>
        <v>9.4878048780487809</v>
      </c>
      <c r="J201" s="416">
        <f ca="1">IFERROR(VLOOKUP(B201,'Risultati 2005'!$B$68:$G$111, 3, FALSE),0)</f>
        <v>8.0833333333333339</v>
      </c>
      <c r="K201" s="413">
        <f ca="1">IFERROR(VLOOKUP(B201,'Risultati 2006'!$B$75:$G$125, 3, FALSE),0)</f>
        <v>6.5</v>
      </c>
      <c r="L201" s="413">
        <f ca="1">IFERROR(VLOOKUP(B201,'Risultati 2007'!$C$86:$H$147, 3, FALSE), 0)</f>
        <v>9.1</v>
      </c>
      <c r="M201" s="413">
        <f ca="1">IFERROR(VLOOKUP(B201,'Risultati 2008'!$C$81:$G$142, 3, FALSE), 0)</f>
        <v>7.7</v>
      </c>
      <c r="N201" s="413">
        <f ca="1">IFERROR(VLOOKUP($B201,'Risultati 2009'!$C$81:$G$141, 3, FALSE), 0)</f>
        <v>8.1</v>
      </c>
      <c r="O201" s="417">
        <f t="shared" ca="1" si="28"/>
        <v>9.1</v>
      </c>
      <c r="P201" s="416">
        <f ca="1">IFERROR(VLOOKUP(B201,'Risultati 2005'!$B$68:$G$111, 4, FALSE),0)</f>
        <v>2.8571428571428572</v>
      </c>
      <c r="Q201" s="413">
        <f ca="1">IFERROR(VLOOKUP(B201,'Risultati 2006'!$B$75:$G$125, 4, FALSE),0)</f>
        <v>7.333333333333333</v>
      </c>
      <c r="R201" s="413">
        <f ca="1">IFERROR(VLOOKUP(B201,'Risultati 2007'!$C$86:$H$147, 4, FALSE),0)</f>
        <v>10</v>
      </c>
      <c r="S201" s="413">
        <f ca="1">IFERROR(VLOOKUP(B201,'Risultati 2008'!$C$81:$G$142, 4, FALSE), 0)</f>
        <v>10</v>
      </c>
      <c r="T201" s="413">
        <f ca="1">IFERROR(VLOOKUP($B201,'Risultati 2009'!$C$81:$G$141, 4, FALSE), 0)</f>
        <v>9.4444444444444446</v>
      </c>
      <c r="U201" s="417">
        <f t="shared" ca="1" si="29"/>
        <v>10</v>
      </c>
      <c r="V201" s="416">
        <f ca="1">IFERROR(VLOOKUP(B201,'Risultati 2005'!$B$68:$G$111, 5, FALSE),0)</f>
        <v>10</v>
      </c>
      <c r="W201" s="413">
        <f ca="1">IFERROR(VLOOKUP(B201,'Risultati 2006'!$B$75:$G$125, 5, FALSE),0)</f>
        <v>5.2222222222222223</v>
      </c>
      <c r="X201" s="413">
        <f ca="1">IFERROR(VLOOKUP(B201,'Risultati 2007'!$C$86:$H$147, 5, FALSE),0)</f>
        <v>9.2222222222222214</v>
      </c>
      <c r="Y201" s="413">
        <f ca="1">IFERROR(VLOOKUP(B201,'Risultati 2008'!$C$81:$G$142, 5, FALSE), 0)</f>
        <v>9.2222222222222214</v>
      </c>
      <c r="Z201" s="413">
        <f ca="1">IFERROR(VLOOKUP($B201,'Risultati 2009'!$C$81:$G$141, 5, FALSE), 0)</f>
        <v>10</v>
      </c>
      <c r="AA201" s="417">
        <f t="shared" ca="1" si="30"/>
        <v>10</v>
      </c>
      <c r="AB201" s="416">
        <f ca="1">IFERROR(VLOOKUP(B201,'Risultati 2005'!$B$68:$G$111, 6, FALSE),0)</f>
        <v>5</v>
      </c>
      <c r="AC201" s="413">
        <f ca="1">IFERROR(VLOOKUP(B201,'Risultati 2006'!$B$75:$G$125, 6, FALSE),0)</f>
        <v>6.0769230769230766</v>
      </c>
      <c r="AD201" s="413">
        <f ca="1">IFERROR(VLOOKUP(B201,'Risultati 2007'!$C$86:$H$147, 6, FALSE),0)</f>
        <v>7.0769230769230766</v>
      </c>
      <c r="AE201" s="413">
        <f ca="1">IFERROR(VLOOKUP(B201,'Risultati 2008'!$C$81:$H$142, 6, FALSE), 0)</f>
        <v>8</v>
      </c>
      <c r="AF201" s="413">
        <f ca="1">IFERROR(VLOOKUP($B201,'Risultati 2009'!$C$81:$H$141, 6, FALSE), 0)</f>
        <v>7.6923076923076925</v>
      </c>
      <c r="AG201" s="417">
        <f t="shared" ca="1" si="31"/>
        <v>9.0769230769230766</v>
      </c>
      <c r="AH201" s="413"/>
      <c r="AI201" s="413"/>
      <c r="AJ201" s="413"/>
    </row>
    <row r="202" spans="1:36">
      <c r="A202" s="257" t="str">
        <f t="shared" ca="1" si="33"/>
        <v xml:space="preserve">Istituto dei postelegrafonici                                                                       </v>
      </c>
      <c r="B202" s="11">
        <f t="shared" ca="1" si="33"/>
        <v>36</v>
      </c>
      <c r="C202" s="19">
        <f t="shared" ca="1" si="33"/>
        <v>295</v>
      </c>
      <c r="D202" s="416">
        <f ca="1">IFERROR(VLOOKUP(B202,'Risultati 2005'!$B$68:$G$111, 2, FALSE), 0)</f>
        <v>6.95</v>
      </c>
      <c r="E202" s="413">
        <f ca="1">IFERROR(VLOOKUP(B202,'Risultati 2006'!$B$75:$G$125, 2, FALSE),0)</f>
        <v>6.5277777777777777</v>
      </c>
      <c r="F202" s="413">
        <f ca="1">IFERROR(VLOOKUP(B202,'Risultati 2007'!$C$86:$H$147, 2, FALSE),0)</f>
        <v>7.9512195121951219</v>
      </c>
      <c r="G202" s="413">
        <f ca="1">IFERROR(VLOOKUP(B202,'Risultati 2008'!$C$81:$D$137, 2, FALSE),0)</f>
        <v>8.1707317073170724</v>
      </c>
      <c r="H202" s="413">
        <f ca="1">IFERROR(VLOOKUP($B202,'Risultati 2009'!$C$81:$G$141,2, FALSE), 0)</f>
        <v>8.0975609756097562</v>
      </c>
      <c r="I202" s="500">
        <f t="shared" ca="1" si="27"/>
        <v>8.0975609756097562</v>
      </c>
      <c r="J202" s="416">
        <f ca="1">IFERROR(VLOOKUP(B202,'Risultati 2005'!$B$68:$G$111, 3, FALSE),0)</f>
        <v>6.833333333333333</v>
      </c>
      <c r="K202" s="413">
        <f ca="1">IFERROR(VLOOKUP(B202,'Risultati 2006'!$B$75:$G$125, 3, FALSE),0)</f>
        <v>7.625</v>
      </c>
      <c r="L202" s="413">
        <f ca="1">IFERROR(VLOOKUP(B202,'Risultati 2007'!$C$86:$H$147, 3, FALSE), 0)</f>
        <v>8.1999999999999993</v>
      </c>
      <c r="M202" s="413">
        <f ca="1">IFERROR(VLOOKUP(B202,'Risultati 2008'!$C$81:$G$142, 3, FALSE), 0)</f>
        <v>8.1</v>
      </c>
      <c r="N202" s="413">
        <f ca="1">IFERROR(VLOOKUP($B202,'Risultati 2009'!$C$81:$G$141, 3, FALSE), 0)</f>
        <v>7.2</v>
      </c>
      <c r="O202" s="417">
        <f t="shared" ca="1" si="28"/>
        <v>7.2</v>
      </c>
      <c r="P202" s="416">
        <f ca="1">IFERROR(VLOOKUP(B202,'Risultati 2005'!$B$68:$G$111, 4, FALSE),0)</f>
        <v>7.2857142857142856</v>
      </c>
      <c r="Q202" s="413">
        <f ca="1">IFERROR(VLOOKUP(B202,'Risultati 2006'!$B$75:$G$125, 4, FALSE),0)</f>
        <v>10</v>
      </c>
      <c r="R202" s="413">
        <f ca="1">IFERROR(VLOOKUP(B202,'Risultati 2007'!$C$86:$H$147, 4, FALSE),0)</f>
        <v>8</v>
      </c>
      <c r="S202" s="413">
        <f ca="1">IFERROR(VLOOKUP(B202,'Risultati 2008'!$C$81:$G$142, 4, FALSE), 0)</f>
        <v>8.4444444444444446</v>
      </c>
      <c r="T202" s="413">
        <f ca="1">IFERROR(VLOOKUP($B202,'Risultati 2009'!$C$81:$G$141, 4, FALSE), 0)</f>
        <v>8.4444444444444446</v>
      </c>
      <c r="U202" s="417">
        <f t="shared" ca="1" si="29"/>
        <v>8.4444444444444446</v>
      </c>
      <c r="V202" s="416">
        <f ca="1">IFERROR(VLOOKUP(B202,'Risultati 2005'!$B$68:$G$111, 5, FALSE),0)</f>
        <v>10</v>
      </c>
      <c r="W202" s="413">
        <f ca="1">IFERROR(VLOOKUP(B202,'Risultati 2006'!$B$75:$G$125, 5, FALSE),0)</f>
        <v>7.7777777777777777</v>
      </c>
      <c r="X202" s="413">
        <f ca="1">IFERROR(VLOOKUP(B202,'Risultati 2007'!$C$86:$H$147, 5, FALSE),0)</f>
        <v>8</v>
      </c>
      <c r="Y202" s="413">
        <f ca="1">IFERROR(VLOOKUP(B202,'Risultati 2008'!$C$81:$G$142, 5, FALSE), 0)</f>
        <v>7.5555555555555554</v>
      </c>
      <c r="Z202" s="413">
        <f ca="1">IFERROR(VLOOKUP($B202,'Risultati 2009'!$C$81:$G$141, 5, FALSE), 0)</f>
        <v>8</v>
      </c>
      <c r="AA202" s="417">
        <f t="shared" ca="1" si="30"/>
        <v>8</v>
      </c>
      <c r="AB202" s="416">
        <f ca="1">IFERROR(VLOOKUP(B202,'Risultati 2005'!$B$68:$G$111, 6, FALSE),0)</f>
        <v>6.1764705882352944</v>
      </c>
      <c r="AC202" s="413">
        <f ca="1">IFERROR(VLOOKUP(B202,'Risultati 2006'!$B$75:$G$125, 6, FALSE),0)</f>
        <v>3.3846153846153846</v>
      </c>
      <c r="AD202" s="413">
        <f ca="1">IFERROR(VLOOKUP(B202,'Risultati 2007'!$C$86:$H$147, 6, FALSE),0)</f>
        <v>7.6923076923076925</v>
      </c>
      <c r="AE202" s="413">
        <f ca="1">IFERROR(VLOOKUP(B202,'Risultati 2008'!$C$81:$H$142, 6, FALSE), 0)</f>
        <v>8.4615384615384617</v>
      </c>
      <c r="AF202" s="413">
        <f ca="1">IFERROR(VLOOKUP($B202,'Risultati 2009'!$C$81:$H$141, 6, FALSE), 0)</f>
        <v>8.615384615384615</v>
      </c>
      <c r="AG202" s="417">
        <f t="shared" ca="1" si="31"/>
        <v>8.615384615384615</v>
      </c>
      <c r="AH202" s="413"/>
      <c r="AI202" s="413"/>
      <c r="AJ202" s="413"/>
    </row>
    <row r="203" spans="1:36">
      <c r="A203" s="257" t="str">
        <f t="shared" ca="1" si="33"/>
        <v xml:space="preserve">Istituto per lo sviluppo della formazione professionale dei lavoratori                              </v>
      </c>
      <c r="B203" s="11">
        <f t="shared" ca="1" si="33"/>
        <v>120</v>
      </c>
      <c r="C203" s="19">
        <f t="shared" ca="1" si="33"/>
        <v>619</v>
      </c>
      <c r="D203" s="416">
        <f ca="1">IFERROR(VLOOKUP(B203,'Risultati 2005'!$B$68:$G$111, 2, FALSE), 0)</f>
        <v>0</v>
      </c>
      <c r="E203" s="413">
        <f ca="1">IFERROR(VLOOKUP(B203,'Risultati 2006'!$B$75:$G$125, 2, FALSE),0)</f>
        <v>5.9722222222222223</v>
      </c>
      <c r="F203" s="413">
        <f ca="1">IFERROR(VLOOKUP(B203,'Risultati 2007'!$C$86:$H$147, 2, FALSE),0)</f>
        <v>7.3658536585365857</v>
      </c>
      <c r="G203" s="413">
        <f ca="1">IFERROR(VLOOKUP(B203,'Risultati 2008'!$C$81:$D$137, 2, FALSE),0)</f>
        <v>5.4390243902439028</v>
      </c>
      <c r="H203" s="413">
        <f ca="1">IFERROR(VLOOKUP($B203,'Risultati 2009'!$C$81:$G$141,2, FALSE), 0)</f>
        <v>4.7317073170731705</v>
      </c>
      <c r="I203" s="500">
        <f t="shared" ca="1" si="27"/>
        <v>5.9268292682926829</v>
      </c>
      <c r="J203" s="416">
        <f ca="1">IFERROR(VLOOKUP(B203,'Risultati 2005'!$B$68:$G$111, 3, FALSE),0)</f>
        <v>0</v>
      </c>
      <c r="K203" s="413">
        <f ca="1">IFERROR(VLOOKUP(B203,'Risultati 2006'!$B$75:$G$125, 3, FALSE),0)</f>
        <v>9.5</v>
      </c>
      <c r="L203" s="413">
        <f ca="1">IFERROR(VLOOKUP(B203,'Risultati 2007'!$C$86:$H$147, 3, FALSE), 0)</f>
        <v>8.9</v>
      </c>
      <c r="M203" s="413">
        <f ca="1">IFERROR(VLOOKUP(B203,'Risultati 2008'!$C$81:$G$142, 3, FALSE), 0)</f>
        <v>7.2</v>
      </c>
      <c r="N203" s="413">
        <f ca="1">IFERROR(VLOOKUP($B203,'Risultati 2009'!$C$81:$G$141, 3, FALSE), 0)</f>
        <v>9.1</v>
      </c>
      <c r="O203" s="417">
        <f t="shared" ca="1" si="28"/>
        <v>8.1999999999999993</v>
      </c>
      <c r="P203" s="416">
        <f ca="1">IFERROR(VLOOKUP(B203,'Risultati 2005'!$B$68:$G$111, 4, FALSE),0)</f>
        <v>0</v>
      </c>
      <c r="Q203" s="413">
        <f ca="1">IFERROR(VLOOKUP(B203,'Risultati 2006'!$B$75:$G$125, 4, FALSE),0)</f>
        <v>6</v>
      </c>
      <c r="R203" s="413">
        <f ca="1">IFERROR(VLOOKUP(B203,'Risultati 2007'!$C$86:$H$147, 4, FALSE),0)</f>
        <v>4.5555555555555554</v>
      </c>
      <c r="S203" s="413">
        <f ca="1">IFERROR(VLOOKUP(B203,'Risultati 2008'!$C$81:$G$142, 4, FALSE), 0)</f>
        <v>5.2222222222222223</v>
      </c>
      <c r="T203" s="413">
        <f ca="1">IFERROR(VLOOKUP($B203,'Risultati 2009'!$C$81:$G$141, 4, FALSE), 0)</f>
        <v>6.333333333333333</v>
      </c>
      <c r="U203" s="417">
        <f t="shared" ca="1" si="29"/>
        <v>3.8888888888888888</v>
      </c>
      <c r="V203" s="416">
        <f ca="1">IFERROR(VLOOKUP(B203,'Risultati 2005'!$B$68:$G$111, 5, FALSE),0)</f>
        <v>0</v>
      </c>
      <c r="W203" s="413">
        <f ca="1">IFERROR(VLOOKUP(B203,'Risultati 2006'!$B$75:$G$125, 5, FALSE),0)</f>
        <v>3.2222222222222223</v>
      </c>
      <c r="X203" s="413">
        <f ca="1">IFERROR(VLOOKUP(B203,'Risultati 2007'!$C$86:$H$147, 5, FALSE),0)</f>
        <v>10</v>
      </c>
      <c r="Y203" s="413">
        <f ca="1">IFERROR(VLOOKUP(B203,'Risultati 2008'!$C$81:$G$142, 5, FALSE), 0)</f>
        <v>5.5555555555555554</v>
      </c>
      <c r="Z203" s="413">
        <f ca="1">IFERROR(VLOOKUP($B203,'Risultati 2009'!$C$81:$G$141, 5, FALSE), 0)</f>
        <v>5.1111111111111107</v>
      </c>
      <c r="AA203" s="417">
        <f t="shared" ca="1" si="30"/>
        <v>6.666666666666667</v>
      </c>
      <c r="AB203" s="416">
        <f ca="1">IFERROR(VLOOKUP(B203,'Risultati 2005'!$B$68:$G$111, 6, FALSE),0)</f>
        <v>0</v>
      </c>
      <c r="AC203" s="413">
        <f ca="1">IFERROR(VLOOKUP(B203,'Risultati 2006'!$B$75:$G$125, 6, FALSE),0)</f>
        <v>5.6923076923076925</v>
      </c>
      <c r="AD203" s="413">
        <f ca="1">IFERROR(VLOOKUP(B203,'Risultati 2007'!$C$86:$H$147, 6, FALSE),0)</f>
        <v>6.3076923076923075</v>
      </c>
      <c r="AE203" s="413">
        <f ca="1">IFERROR(VLOOKUP(B203,'Risultati 2008'!$C$81:$H$142, 6, FALSE), 0)</f>
        <v>4.1538461538461542</v>
      </c>
      <c r="AF203" s="413">
        <f ca="1">IFERROR(VLOOKUP($B203,'Risultati 2009'!$C$81:$H$141, 6, FALSE), 0)</f>
        <v>0</v>
      </c>
      <c r="AG203" s="417">
        <f t="shared" ca="1" si="31"/>
        <v>5.0769230769230766</v>
      </c>
      <c r="AH203" s="413"/>
      <c r="AI203" s="413"/>
      <c r="AJ203" s="413"/>
    </row>
    <row r="204" spans="1:36">
      <c r="A204" s="257" t="str">
        <f t="shared" ca="1" si="33"/>
        <v xml:space="preserve">Istituto superiore di sanità                                                                        </v>
      </c>
      <c r="B204" s="11">
        <f t="shared" ca="1" si="33"/>
        <v>34</v>
      </c>
      <c r="C204" s="19">
        <f t="shared" ca="1" si="33"/>
        <v>1970</v>
      </c>
      <c r="D204" s="416">
        <f ca="1">IFERROR(VLOOKUP(B204,'Risultati 2005'!$B$68:$G$111, 2, FALSE), 0)</f>
        <v>6.4249999999999998</v>
      </c>
      <c r="E204" s="413">
        <f ca="1">IFERROR(VLOOKUP(B204,'Risultati 2006'!$B$75:$G$125, 2, FALSE),0)</f>
        <v>8.2222222222222214</v>
      </c>
      <c r="F204" s="413">
        <f ca="1">IFERROR(VLOOKUP(B204,'Risultati 2007'!$C$86:$H$147, 2, FALSE),0)</f>
        <v>8.2682926829268286</v>
      </c>
      <c r="G204" s="413">
        <f ca="1">IFERROR(VLOOKUP(B204,'Risultati 2008'!$C$81:$D$137, 2, FALSE),0)</f>
        <v>8.4878048780487809</v>
      </c>
      <c r="H204" s="413">
        <f ca="1">IFERROR(VLOOKUP($B204,'Risultati 2009'!$C$81:$G$141,2, FALSE), 0)</f>
        <v>5.6585365853658534</v>
      </c>
      <c r="I204" s="500">
        <f t="shared" ca="1" si="27"/>
        <v>6.9268292682926829</v>
      </c>
      <c r="J204" s="416">
        <f ca="1">IFERROR(VLOOKUP(B204,'Risultati 2005'!$B$68:$G$111, 3, FALSE),0)</f>
        <v>7.333333333333333</v>
      </c>
      <c r="K204" s="413">
        <f ca="1">IFERROR(VLOOKUP(B204,'Risultati 2006'!$B$75:$G$125, 3, FALSE),0)</f>
        <v>8.75</v>
      </c>
      <c r="L204" s="413">
        <f ca="1">IFERROR(VLOOKUP(B204,'Risultati 2007'!$C$86:$H$147, 3, FALSE), 0)</f>
        <v>9.1</v>
      </c>
      <c r="M204" s="413">
        <f ca="1">IFERROR(VLOOKUP(B204,'Risultati 2008'!$C$81:$G$142, 3, FALSE), 0)</f>
        <v>7</v>
      </c>
      <c r="N204" s="413">
        <f ca="1">IFERROR(VLOOKUP($B204,'Risultati 2009'!$C$81:$G$141, 3, FALSE), 0)</f>
        <v>7</v>
      </c>
      <c r="O204" s="417">
        <f t="shared" ca="1" si="28"/>
        <v>7</v>
      </c>
      <c r="P204" s="416">
        <f ca="1">IFERROR(VLOOKUP(B204,'Risultati 2005'!$B$68:$G$111, 4, FALSE),0)</f>
        <v>5.2857142857142856</v>
      </c>
      <c r="Q204" s="413">
        <f ca="1">IFERROR(VLOOKUP(B204,'Risultati 2006'!$B$75:$G$125, 4, FALSE),0)</f>
        <v>9</v>
      </c>
      <c r="R204" s="413">
        <f ca="1">IFERROR(VLOOKUP(B204,'Risultati 2007'!$C$86:$H$147, 4, FALSE),0)</f>
        <v>8.2222222222222214</v>
      </c>
      <c r="S204" s="413">
        <f ca="1">IFERROR(VLOOKUP(B204,'Risultati 2008'!$C$81:$G$142, 4, FALSE), 0)</f>
        <v>9.3333333333333339</v>
      </c>
      <c r="T204" s="413">
        <f ca="1">IFERROR(VLOOKUP($B204,'Risultati 2009'!$C$81:$G$141, 4, FALSE), 0)</f>
        <v>9.3333333333333339</v>
      </c>
      <c r="U204" s="417">
        <f t="shared" ca="1" si="29"/>
        <v>9.3333333333333339</v>
      </c>
      <c r="V204" s="416">
        <f ca="1">IFERROR(VLOOKUP(B204,'Risultati 2005'!$B$68:$G$111, 5, FALSE),0)</f>
        <v>10</v>
      </c>
      <c r="W204" s="413">
        <f ca="1">IFERROR(VLOOKUP(B204,'Risultati 2006'!$B$75:$G$125, 5, FALSE),0)</f>
        <v>9.1111111111111107</v>
      </c>
      <c r="X204" s="413">
        <f ca="1">IFERROR(VLOOKUP(B204,'Risultati 2007'!$C$86:$H$147, 5, FALSE),0)</f>
        <v>6.8888888888888893</v>
      </c>
      <c r="Y204" s="413">
        <f ca="1">IFERROR(VLOOKUP(B204,'Risultati 2008'!$C$81:$G$142, 5, FALSE), 0)</f>
        <v>8.6666666666666661</v>
      </c>
      <c r="Z204" s="413">
        <f ca="1">IFERROR(VLOOKUP($B204,'Risultati 2009'!$C$81:$G$141, 5, FALSE), 0)</f>
        <v>8.6666666666666661</v>
      </c>
      <c r="AA204" s="417">
        <f t="shared" ca="1" si="30"/>
        <v>8.6666666666666661</v>
      </c>
      <c r="AB204" s="416">
        <f ca="1">IFERROR(VLOOKUP(B204,'Risultati 2005'!$B$68:$G$111, 6, FALSE),0)</f>
        <v>5.4117647058823533</v>
      </c>
      <c r="AC204" s="413">
        <f ca="1">IFERROR(VLOOKUP(B204,'Risultati 2006'!$B$75:$G$125, 6, FALSE),0)</f>
        <v>6.9230769230769234</v>
      </c>
      <c r="AD204" s="413">
        <f ca="1">IFERROR(VLOOKUP(B204,'Risultati 2007'!$C$86:$H$147, 6, FALSE),0)</f>
        <v>8.615384615384615</v>
      </c>
      <c r="AE204" s="413">
        <f ca="1">IFERROR(VLOOKUP(B204,'Risultati 2008'!$C$81:$H$142, 6, FALSE), 0)</f>
        <v>8.9230769230769234</v>
      </c>
      <c r="AF204" s="413">
        <f ca="1">IFERROR(VLOOKUP($B204,'Risultati 2009'!$C$81:$H$141, 6, FALSE), 0)</f>
        <v>0</v>
      </c>
      <c r="AG204" s="417">
        <f t="shared" ca="1" si="31"/>
        <v>4</v>
      </c>
      <c r="AH204" s="413"/>
      <c r="AI204" s="413"/>
      <c r="AJ204" s="413"/>
    </row>
    <row r="205" spans="1:36">
      <c r="A205" s="257" t="str">
        <f t="shared" ca="1" si="33"/>
        <v xml:space="preserve">Istituto nazionale di statistica                                   </v>
      </c>
      <c r="B205" s="11">
        <f t="shared" ca="1" si="33"/>
        <v>14</v>
      </c>
      <c r="C205" s="19">
        <f t="shared" ca="1" si="33"/>
        <v>2120</v>
      </c>
      <c r="D205" s="416">
        <f ca="1">IFERROR(VLOOKUP(B205,'Risultati 2005'!$B$68:$G$111, 2, FALSE), 0)</f>
        <v>6.4</v>
      </c>
      <c r="E205" s="413">
        <f ca="1">IFERROR(VLOOKUP(B205,'Risultati 2006'!$B$75:$G$125, 2, FALSE),0)</f>
        <v>8.1666666666666661</v>
      </c>
      <c r="F205" s="413">
        <f ca="1">IFERROR(VLOOKUP(B205,'Risultati 2007'!$C$86:$H$147, 2, FALSE),0)</f>
        <v>6.9268292682926829</v>
      </c>
      <c r="G205" s="413">
        <f ca="1">IFERROR(VLOOKUP(B205,'Risultati 2008'!$C$81:$D$137, 2, FALSE),0)</f>
        <v>7.5609756097560972</v>
      </c>
      <c r="H205" s="413">
        <f ca="1">IFERROR(VLOOKUP($B205,'Risultati 2009'!$C$81:$G$141,2, FALSE), 0)</f>
        <v>6.3658536585365857</v>
      </c>
      <c r="I205" s="500">
        <f t="shared" ca="1" si="27"/>
        <v>6.6341463414634143</v>
      </c>
      <c r="J205" s="416">
        <f ca="1">IFERROR(VLOOKUP(B205,'Risultati 2005'!$B$68:$G$111, 3, FALSE),0)</f>
        <v>4.416666666666667</v>
      </c>
      <c r="K205" s="413">
        <f ca="1">IFERROR(VLOOKUP(B205,'Risultati 2006'!$B$75:$G$125, 3, FALSE),0)</f>
        <v>7.375</v>
      </c>
      <c r="L205" s="413">
        <f ca="1">IFERROR(VLOOKUP(B205,'Risultati 2007'!$C$86:$H$147, 3, FALSE), 0)</f>
        <v>4.5999999999999996</v>
      </c>
      <c r="M205" s="413">
        <f ca="1">IFERROR(VLOOKUP(B205,'Risultati 2008'!$C$81:$G$142, 3, FALSE), 0)</f>
        <v>5</v>
      </c>
      <c r="N205" s="413">
        <f ca="1">IFERROR(VLOOKUP($B205,'Risultati 2009'!$C$81:$G$141, 3, FALSE), 0)</f>
        <v>7.6</v>
      </c>
      <c r="O205" s="417">
        <f t="shared" ca="1" si="28"/>
        <v>7.8</v>
      </c>
      <c r="P205" s="416">
        <f ca="1">IFERROR(VLOOKUP(B205,'Risultati 2005'!$B$68:$G$111, 4, FALSE),0)</f>
        <v>7.8571428571428568</v>
      </c>
      <c r="Q205" s="413">
        <f ca="1">IFERROR(VLOOKUP(B205,'Risultati 2006'!$B$75:$G$125, 4, FALSE),0)</f>
        <v>10</v>
      </c>
      <c r="R205" s="413">
        <f ca="1">IFERROR(VLOOKUP(B205,'Risultati 2007'!$C$86:$H$147, 4, FALSE),0)</f>
        <v>9.5555555555555554</v>
      </c>
      <c r="S205" s="413">
        <f ca="1">IFERROR(VLOOKUP(B205,'Risultati 2008'!$C$81:$G$142, 4, FALSE), 0)</f>
        <v>8.8888888888888893</v>
      </c>
      <c r="T205" s="413">
        <f ca="1">IFERROR(VLOOKUP($B205,'Risultati 2009'!$C$81:$G$141, 4, FALSE), 0)</f>
        <v>7.1111111111111107</v>
      </c>
      <c r="U205" s="417">
        <f t="shared" ca="1" si="29"/>
        <v>8.8888888888888893</v>
      </c>
      <c r="V205" s="416">
        <f ca="1">IFERROR(VLOOKUP(B205,'Risultati 2005'!$B$68:$G$111, 5, FALSE),0)</f>
        <v>10</v>
      </c>
      <c r="W205" s="413">
        <f ca="1">IFERROR(VLOOKUP(B205,'Risultati 2006'!$B$75:$G$125, 5, FALSE),0)</f>
        <v>8</v>
      </c>
      <c r="X205" s="413">
        <f ca="1">IFERROR(VLOOKUP(B205,'Risultati 2007'!$C$86:$H$147, 5, FALSE),0)</f>
        <v>6.666666666666667</v>
      </c>
      <c r="Y205" s="413">
        <f ca="1">IFERROR(VLOOKUP(B205,'Risultati 2008'!$C$81:$G$142, 5, FALSE), 0)</f>
        <v>7.7777777777777777</v>
      </c>
      <c r="Z205" s="413">
        <f ca="1">IFERROR(VLOOKUP($B205,'Risultati 2009'!$C$81:$G$141, 5, FALSE), 0)</f>
        <v>4.7777777777777777</v>
      </c>
      <c r="AA205" s="417">
        <f t="shared" ca="1" si="30"/>
        <v>5.5555555555555554</v>
      </c>
      <c r="AB205" s="416">
        <f ca="1">IFERROR(VLOOKUP(B205,'Risultati 2005'!$B$68:$G$111, 6, FALSE),0)</f>
        <v>6.3529411764705879</v>
      </c>
      <c r="AC205" s="413">
        <f ca="1">IFERROR(VLOOKUP(B205,'Risultati 2006'!$B$75:$G$125, 6, FALSE),0)</f>
        <v>7.9230769230769234</v>
      </c>
      <c r="AD205" s="413">
        <f ca="1">IFERROR(VLOOKUP(B205,'Risultati 2007'!$C$86:$H$147, 6, FALSE),0)</f>
        <v>7.0769230769230766</v>
      </c>
      <c r="AE205" s="413">
        <f ca="1">IFERROR(VLOOKUP(B205,'Risultati 2008'!$C$81:$H$142, 6, FALSE), 0)</f>
        <v>8.4615384615384617</v>
      </c>
      <c r="AF205" s="413">
        <f ca="1">IFERROR(VLOOKUP($B205,'Risultati 2009'!$C$81:$H$141, 6, FALSE), 0)</f>
        <v>6</v>
      </c>
      <c r="AG205" s="417">
        <f t="shared" ca="1" si="31"/>
        <v>4.9230769230769234</v>
      </c>
      <c r="AH205" s="413"/>
      <c r="AI205" s="413"/>
      <c r="AJ205" s="413"/>
    </row>
    <row r="206" spans="1:36">
      <c r="A206" s="292" t="str">
        <f t="shared" ca="1" si="33"/>
        <v>Unione nazionale incremento razze equine</v>
      </c>
      <c r="B206" s="13">
        <f t="shared" ca="1" si="33"/>
        <v>64</v>
      </c>
      <c r="C206" s="127">
        <f t="shared" ca="1" si="33"/>
        <v>181</v>
      </c>
      <c r="D206" s="501">
        <f ca="1">IFERROR(VLOOKUP(B206,'Risultati 2005'!$B$68:$G$111, 2, FALSE), 0)</f>
        <v>3.1</v>
      </c>
      <c r="E206" s="502">
        <f ca="1">IFERROR(VLOOKUP(B206,'Risultati 2006'!$B$75:$G$125, 2, FALSE),0)</f>
        <v>4.9444444444444446</v>
      </c>
      <c r="F206" s="502">
        <f ca="1">IFERROR(VLOOKUP(B206,'Risultati 2007'!$C$86:$H$147, 2, FALSE),0)</f>
        <v>5.6829268292682924</v>
      </c>
      <c r="G206" s="502">
        <f ca="1">IFERROR(VLOOKUP(B206,'Risultati 2008'!$C$81:$D$137, 2, FALSE),0)</f>
        <v>5.7804878048780486</v>
      </c>
      <c r="H206" s="502">
        <f ca="1">IFERROR(VLOOKUP($B206,'Risultati 2009'!$C$81:$G$141,2, FALSE), 0)</f>
        <v>5.6829268292682924</v>
      </c>
      <c r="I206" s="503">
        <f t="shared" ca="1" si="27"/>
        <v>4.9024390243902438</v>
      </c>
      <c r="J206" s="501">
        <f ca="1">IFERROR(VLOOKUP(B206,'Risultati 2005'!$B$68:$G$111, 3, FALSE),0)</f>
        <v>2.6666666666666665</v>
      </c>
      <c r="K206" s="502">
        <f ca="1">IFERROR(VLOOKUP(B206,'Risultati 2006'!$B$75:$G$125, 3, FALSE),0)</f>
        <v>6.75</v>
      </c>
      <c r="L206" s="502">
        <f ca="1">IFERROR(VLOOKUP(B206,'Risultati 2007'!$C$86:$H$147, 3, FALSE), 0)</f>
        <v>7</v>
      </c>
      <c r="M206" s="502">
        <f ca="1">IFERROR(VLOOKUP(B206,'Risultati 2008'!$C$81:$G$142, 3, FALSE), 0)</f>
        <v>7.8</v>
      </c>
      <c r="N206" s="502">
        <f ca="1">IFERROR(VLOOKUP($B206,'Risultati 2009'!$C$81:$G$141, 3, FALSE), 0)</f>
        <v>7.8</v>
      </c>
      <c r="O206" s="504">
        <f t="shared" ca="1" si="28"/>
        <v>6.8</v>
      </c>
      <c r="P206" s="501">
        <f ca="1">IFERROR(VLOOKUP(B206,'Risultati 2005'!$B$68:$G$111, 4, FALSE),0)</f>
        <v>3.5714285714285716</v>
      </c>
      <c r="Q206" s="502">
        <f ca="1">IFERROR(VLOOKUP(B206,'Risultati 2006'!$B$75:$G$125, 4, FALSE),0)</f>
        <v>4.333333333333333</v>
      </c>
      <c r="R206" s="502">
        <f ca="1">IFERROR(VLOOKUP(B206,'Risultati 2007'!$C$86:$H$147, 4, FALSE),0)</f>
        <v>5.2222222222222223</v>
      </c>
      <c r="S206" s="502">
        <f ca="1">IFERROR(VLOOKUP(B206,'Risultati 2008'!$C$81:$G$142, 4, FALSE), 0)</f>
        <v>4.5555555555555554</v>
      </c>
      <c r="T206" s="502">
        <f ca="1">IFERROR(VLOOKUP($B206,'Risultati 2009'!$C$81:$G$141, 4, FALSE), 0)</f>
        <v>4.5555555555555554</v>
      </c>
      <c r="U206" s="504">
        <f t="shared" ca="1" si="29"/>
        <v>3.6666666666666665</v>
      </c>
      <c r="V206" s="501">
        <f ca="1">IFERROR(VLOOKUP(B206,'Risultati 2005'!$B$68:$G$111, 5, FALSE),0)</f>
        <v>2.5</v>
      </c>
      <c r="W206" s="502">
        <f ca="1">IFERROR(VLOOKUP(B206,'Risultati 2006'!$B$75:$G$125, 5, FALSE),0)</f>
        <v>3.3333333333333335</v>
      </c>
      <c r="X206" s="502">
        <f ca="1">IFERROR(VLOOKUP(B206,'Risultati 2007'!$C$86:$H$147, 5, FALSE),0)</f>
        <v>4.4444444444444446</v>
      </c>
      <c r="Y206" s="502">
        <f ca="1">IFERROR(VLOOKUP(B206,'Risultati 2008'!$C$81:$G$142, 5, FALSE), 0)</f>
        <v>4.4444444444444446</v>
      </c>
      <c r="Z206" s="502">
        <f ca="1">IFERROR(VLOOKUP($B206,'Risultati 2009'!$C$81:$G$141, 5, FALSE), 0)</f>
        <v>4.4444444444444446</v>
      </c>
      <c r="AA206" s="504">
        <f t="shared" ca="1" si="30"/>
        <v>3.3333333333333335</v>
      </c>
      <c r="AB206" s="501">
        <f ca="1">IFERROR(VLOOKUP(B206,'Risultati 2005'!$B$68:$G$111, 6, FALSE),0)</f>
        <v>3.3529411764705883</v>
      </c>
      <c r="AC206" s="502">
        <f ca="1">IFERROR(VLOOKUP(B206,'Risultati 2006'!$B$75:$G$125, 6, FALSE),0)</f>
        <v>5.2307692307692308</v>
      </c>
      <c r="AD206" s="502">
        <f ca="1">IFERROR(VLOOKUP(B206,'Risultati 2007'!$C$86:$H$147, 6, FALSE),0)</f>
        <v>5.8461538461538458</v>
      </c>
      <c r="AE206" s="502">
        <f ca="1">IFERROR(VLOOKUP(B206,'Risultati 2008'!$C$81:$H$142, 6, FALSE), 0)</f>
        <v>6</v>
      </c>
      <c r="AF206" s="502">
        <f ca="1">IFERROR(VLOOKUP($B206,'Risultati 2009'!$C$81:$H$141, 6, FALSE), 0)</f>
        <v>5.6923076923076925</v>
      </c>
      <c r="AG206" s="504">
        <f t="shared" ca="1" si="31"/>
        <v>5.384615384615385</v>
      </c>
      <c r="AH206" s="413"/>
      <c r="AI206" s="413"/>
      <c r="AJ206" s="413"/>
    </row>
    <row r="207" spans="1:36">
      <c r="A207" s="18"/>
      <c r="B207" s="18"/>
      <c r="C207" s="18"/>
      <c r="D207" s="413"/>
      <c r="E207" s="413"/>
      <c r="F207" s="413"/>
      <c r="G207" s="414"/>
      <c r="H207" s="413"/>
      <c r="I207" s="413"/>
      <c r="J207" s="413"/>
      <c r="K207" s="414"/>
      <c r="L207" s="413"/>
      <c r="M207" s="413"/>
      <c r="N207" s="413"/>
      <c r="O207" s="414"/>
      <c r="P207" s="413"/>
      <c r="Q207" s="413"/>
      <c r="R207" s="413"/>
      <c r="S207" s="414"/>
      <c r="T207" s="413"/>
      <c r="U207" s="413"/>
      <c r="V207" s="413"/>
      <c r="W207" s="414"/>
    </row>
    <row r="208" spans="1:36">
      <c r="A208" s="18"/>
      <c r="B208" s="18"/>
      <c r="C208" s="18"/>
      <c r="D208" s="413"/>
      <c r="E208" s="413"/>
      <c r="F208" s="413"/>
      <c r="G208" s="414"/>
      <c r="H208" s="413"/>
      <c r="I208" s="413"/>
      <c r="J208" s="413"/>
      <c r="K208" s="414"/>
      <c r="L208" s="413"/>
      <c r="M208" s="413"/>
      <c r="N208" s="413"/>
      <c r="O208" s="414"/>
      <c r="P208" s="413"/>
      <c r="Q208" s="413"/>
      <c r="R208" s="413"/>
      <c r="S208" s="414"/>
      <c r="T208" s="413"/>
      <c r="U208" s="413"/>
      <c r="V208" s="413"/>
      <c r="W208" s="414"/>
    </row>
    <row r="209" spans="1:23">
      <c r="A209" s="18"/>
      <c r="B209" s="18"/>
      <c r="C209" s="18"/>
      <c r="D209" s="413"/>
      <c r="E209" s="413"/>
      <c r="F209" s="413"/>
      <c r="G209" s="414"/>
      <c r="H209" s="413"/>
      <c r="I209" s="413"/>
      <c r="J209" s="413"/>
      <c r="K209" s="414"/>
      <c r="L209" s="413"/>
      <c r="M209" s="413"/>
      <c r="N209" s="413"/>
      <c r="O209" s="414"/>
      <c r="P209" s="413"/>
      <c r="Q209" s="413"/>
      <c r="R209" s="413"/>
      <c r="S209" s="414"/>
      <c r="T209" s="413"/>
      <c r="U209" s="413"/>
      <c r="V209" s="413"/>
      <c r="W209" s="414"/>
    </row>
    <row r="210" spans="1:23">
      <c r="A210" s="18"/>
      <c r="B210" s="18"/>
      <c r="C210" s="18"/>
      <c r="D210" s="413"/>
      <c r="E210" s="413"/>
      <c r="F210" s="413"/>
      <c r="G210" s="414"/>
      <c r="H210" s="413"/>
      <c r="I210" s="413"/>
      <c r="J210" s="413"/>
      <c r="K210" s="414"/>
      <c r="L210" s="413"/>
      <c r="M210" s="413"/>
      <c r="N210" s="413"/>
      <c r="O210" s="414"/>
      <c r="P210" s="413"/>
      <c r="Q210" s="413"/>
      <c r="R210" s="413"/>
      <c r="S210" s="414"/>
      <c r="T210" s="413"/>
      <c r="U210" s="413"/>
      <c r="V210" s="413"/>
      <c r="W210" s="414"/>
    </row>
    <row r="211" spans="1:23">
      <c r="A211" s="18"/>
      <c r="B211" s="18"/>
      <c r="C211" s="18"/>
      <c r="D211" s="413"/>
      <c r="E211" s="413"/>
      <c r="F211" s="413"/>
      <c r="G211" s="414"/>
      <c r="H211" s="413"/>
      <c r="I211" s="413"/>
      <c r="J211" s="413"/>
      <c r="K211" s="414"/>
      <c r="L211" s="413"/>
      <c r="M211" s="413"/>
      <c r="N211" s="413"/>
      <c r="O211" s="414"/>
      <c r="P211" s="413"/>
      <c r="Q211" s="413"/>
      <c r="R211" s="413"/>
      <c r="S211" s="414"/>
      <c r="T211" s="413"/>
      <c r="U211" s="413"/>
      <c r="V211" s="413"/>
      <c r="W211" s="414"/>
    </row>
    <row r="212" spans="1:23">
      <c r="A212" s="18"/>
      <c r="B212" s="18"/>
    </row>
    <row r="213" spans="1:23">
      <c r="A213" s="18"/>
      <c r="B213" s="18"/>
    </row>
    <row r="215" spans="1:23">
      <c r="A215" s="131"/>
      <c r="B215" s="130"/>
      <c r="C215" s="131"/>
      <c r="D215" s="131"/>
      <c r="E215" s="131"/>
      <c r="F215" s="131"/>
      <c r="G215" s="131"/>
      <c r="H215" s="131"/>
      <c r="I215" s="131"/>
      <c r="J215" s="131"/>
    </row>
    <row r="216" spans="1:23">
      <c r="A216" s="131"/>
      <c r="B216" s="130"/>
      <c r="C216" s="131"/>
      <c r="D216" s="131"/>
      <c r="E216" s="131"/>
      <c r="F216" s="131"/>
      <c r="G216" s="131"/>
      <c r="H216" s="131"/>
      <c r="I216" s="131"/>
      <c r="J216" s="131"/>
    </row>
    <row r="217" spans="1:23">
      <c r="A217" s="131"/>
      <c r="B217" s="130"/>
      <c r="C217" s="131"/>
      <c r="D217" s="131"/>
      <c r="E217" s="131"/>
      <c r="F217" s="131"/>
      <c r="G217" s="131"/>
      <c r="H217" s="131"/>
      <c r="I217" s="131"/>
      <c r="J217" s="131"/>
    </row>
    <row r="218" spans="1:23">
      <c r="A218" s="131"/>
      <c r="B218" s="130"/>
      <c r="C218" s="131"/>
      <c r="D218" s="131"/>
      <c r="E218" s="131"/>
      <c r="F218" s="131"/>
      <c r="G218" s="131"/>
      <c r="H218" s="131"/>
      <c r="I218" s="131"/>
      <c r="J218" s="131"/>
    </row>
    <row r="219" spans="1:23">
      <c r="A219" s="131"/>
      <c r="B219" s="131"/>
      <c r="C219" s="131"/>
      <c r="D219" s="131"/>
      <c r="E219" s="131"/>
      <c r="F219" s="131"/>
      <c r="G219" s="131"/>
      <c r="H219" s="131"/>
      <c r="I219" s="131"/>
      <c r="J219" s="131"/>
    </row>
    <row r="220" spans="1:23">
      <c r="A220" s="131"/>
      <c r="J220" s="71"/>
    </row>
    <row r="221" spans="1:23">
      <c r="J221" s="71"/>
    </row>
    <row r="222" spans="1:23" ht="22">
      <c r="C222" s="128" t="s">
        <v>41</v>
      </c>
      <c r="D222" s="128" t="s">
        <v>42</v>
      </c>
      <c r="E222" s="44" t="s">
        <v>358</v>
      </c>
      <c r="F222" s="44" t="s">
        <v>359</v>
      </c>
      <c r="G222" s="44" t="s">
        <v>393</v>
      </c>
      <c r="H222" s="66" t="s">
        <v>215</v>
      </c>
      <c r="I222" s="157" t="s">
        <v>40</v>
      </c>
      <c r="J222" s="157" t="s">
        <v>330</v>
      </c>
      <c r="K222" s="70" t="s">
        <v>331</v>
      </c>
      <c r="L222" s="65" t="s">
        <v>216</v>
      </c>
      <c r="M222" s="72" t="s">
        <v>332</v>
      </c>
      <c r="N222" s="4">
        <v>113</v>
      </c>
    </row>
    <row r="223" spans="1:23">
      <c r="A223" s="59" t="str">
        <f ca="1">INDIRECT("A"&amp;N222)</f>
        <v xml:space="preserve">Automobile club d'Italia                                                                            </v>
      </c>
      <c r="B223" s="4" t="str">
        <f>$B$19</f>
        <v>KPI 1</v>
      </c>
      <c r="C223" s="138">
        <f t="shared" ref="C223:D226" ca="1" si="34">J223-I223</f>
        <v>0</v>
      </c>
      <c r="D223" s="138">
        <f t="shared" ca="1" si="34"/>
        <v>0</v>
      </c>
      <c r="E223" s="57">
        <f ca="1">$G$79</f>
        <v>0</v>
      </c>
      <c r="F223" s="57">
        <f ca="1">$G$80</f>
        <v>9.6</v>
      </c>
      <c r="G223" s="57">
        <f ca="1">$H$78</f>
        <v>7.4304347826086961</v>
      </c>
      <c r="H223" s="68" t="str">
        <f>$B$19</f>
        <v>KPI 1</v>
      </c>
      <c r="I223" s="158">
        <f ca="1">INDIRECT("M"&amp;N222)</f>
        <v>0</v>
      </c>
      <c r="J223" s="158">
        <f ca="1">INDIRECT("K"&amp;N222)</f>
        <v>0</v>
      </c>
      <c r="K223" s="69">
        <f ca="1">INDIRECT("I"&amp;N222)</f>
        <v>0</v>
      </c>
      <c r="L223" s="67">
        <f ca="1">$H$78</f>
        <v>7.4304347826086961</v>
      </c>
      <c r="M223" s="73">
        <f ca="1">(K223-L223)/10</f>
        <v>-0.74304347826086958</v>
      </c>
    </row>
    <row r="224" spans="1:23">
      <c r="A224" s="59"/>
      <c r="B224" s="312" t="str">
        <f>$B$20</f>
        <v>KPI 2</v>
      </c>
      <c r="C224" s="138">
        <f t="shared" ca="1" si="34"/>
        <v>0</v>
      </c>
      <c r="D224" s="138">
        <f t="shared" ca="1" si="34"/>
        <v>0</v>
      </c>
      <c r="E224" s="57">
        <f ca="1">$J$79</f>
        <v>1.1111111111111112</v>
      </c>
      <c r="F224" s="57">
        <f ca="1">$J$80</f>
        <v>10</v>
      </c>
      <c r="G224" s="57">
        <f ca="1">$K$78</f>
        <v>7.9589371980676349</v>
      </c>
      <c r="H224" s="68" t="str">
        <f>$B$20</f>
        <v>KPI 2</v>
      </c>
      <c r="I224" s="158">
        <f ca="1">INDIRECT("R"&amp;N222)</f>
        <v>0</v>
      </c>
      <c r="J224" s="158">
        <f ca="1">INDIRECT("P"&amp;N222)</f>
        <v>0</v>
      </c>
      <c r="K224" s="69">
        <f ca="1">INDIRECT("N"&amp;N222)</f>
        <v>0</v>
      </c>
      <c r="L224" s="67">
        <f ca="1">$K$78</f>
        <v>7.9589371980676349</v>
      </c>
      <c r="M224" s="73">
        <f ca="1">(K224-L224)/10</f>
        <v>-0.79589371980676349</v>
      </c>
    </row>
    <row r="225" spans="1:14">
      <c r="A225" s="59"/>
      <c r="B225" s="4" t="str">
        <f>$B$21</f>
        <v>KPI 3</v>
      </c>
      <c r="C225" s="138">
        <f t="shared" ca="1" si="34"/>
        <v>0</v>
      </c>
      <c r="D225" s="138">
        <f t="shared" ca="1" si="34"/>
        <v>0</v>
      </c>
      <c r="E225" s="57">
        <f ca="1">$M$79</f>
        <v>0.22222222222222221</v>
      </c>
      <c r="F225" s="57">
        <f ca="1">$M$80</f>
        <v>10</v>
      </c>
      <c r="G225" s="57">
        <f ca="1">$N$78</f>
        <v>6.8743961352657008</v>
      </c>
      <c r="H225" s="68" t="str">
        <f>$B$21</f>
        <v>KPI 3</v>
      </c>
      <c r="I225" s="158">
        <f ca="1">INDIRECT("W"&amp;N222)</f>
        <v>0</v>
      </c>
      <c r="J225" s="158">
        <f ca="1">INDIRECT("U"&amp;N222)</f>
        <v>0</v>
      </c>
      <c r="K225" s="69">
        <f ca="1">INDIRECT("S"&amp;N222)</f>
        <v>0</v>
      </c>
      <c r="L225" s="67">
        <f ca="1">$N$78</f>
        <v>6.8743961352657008</v>
      </c>
      <c r="M225" s="73">
        <f ca="1">(K225-L225)/10</f>
        <v>-0.68743961352657013</v>
      </c>
    </row>
    <row r="226" spans="1:14">
      <c r="A226" s="59"/>
      <c r="B226" s="4" t="str">
        <f>$B$22</f>
        <v>KPI 4</v>
      </c>
      <c r="C226" s="138">
        <f t="shared" ca="1" si="34"/>
        <v>0</v>
      </c>
      <c r="D226" s="138">
        <f t="shared" ca="1" si="34"/>
        <v>0</v>
      </c>
      <c r="E226" s="57">
        <f ca="1">$P$79</f>
        <v>0</v>
      </c>
      <c r="F226" s="57">
        <f ca="1">$P$80</f>
        <v>9.6923076923076916</v>
      </c>
      <c r="G226" s="57">
        <f ca="1">$Q$78</f>
        <v>6.1337792642140467</v>
      </c>
      <c r="H226" s="68" t="str">
        <f>$B$22</f>
        <v>KPI 4</v>
      </c>
      <c r="I226" s="158">
        <f ca="1">INDIRECT("AB"&amp;N222)</f>
        <v>0</v>
      </c>
      <c r="J226" s="158">
        <f ca="1">INDIRECT("Z"&amp;N222)</f>
        <v>0</v>
      </c>
      <c r="K226" s="69">
        <f ca="1">INDIRECT("X"&amp;N222)</f>
        <v>0</v>
      </c>
      <c r="L226" s="67">
        <f ca="1">$Q$78</f>
        <v>6.1337792642140467</v>
      </c>
      <c r="M226" s="73">
        <f ca="1">(K226-L226)/10</f>
        <v>-0.61337792642140465</v>
      </c>
    </row>
    <row r="227" spans="1:14">
      <c r="A227" s="59"/>
      <c r="J227" s="71"/>
    </row>
    <row r="228" spans="1:14">
      <c r="A228" s="59"/>
      <c r="J228" s="71"/>
    </row>
    <row r="229" spans="1:14" ht="22">
      <c r="A229" s="59"/>
      <c r="C229" s="128" t="s">
        <v>41</v>
      </c>
      <c r="D229" s="128" t="s">
        <v>42</v>
      </c>
      <c r="E229" s="44" t="s">
        <v>358</v>
      </c>
      <c r="F229" s="44" t="s">
        <v>359</v>
      </c>
      <c r="G229" s="44" t="s">
        <v>393</v>
      </c>
      <c r="H229" s="66" t="s">
        <v>215</v>
      </c>
      <c r="I229" s="157" t="s">
        <v>40</v>
      </c>
      <c r="J229" s="157" t="s">
        <v>330</v>
      </c>
      <c r="K229" s="70" t="s">
        <v>331</v>
      </c>
      <c r="L229" s="65" t="s">
        <v>216</v>
      </c>
      <c r="M229" s="72" t="s">
        <v>332</v>
      </c>
      <c r="N229" s="4">
        <f>N222+1</f>
        <v>114</v>
      </c>
    </row>
    <row r="230" spans="1:14">
      <c r="A230" s="59" t="str">
        <f ca="1">INDIRECT("A"&amp;N229)</f>
        <v xml:space="preserve">Corte dei conti                                                                                     </v>
      </c>
      <c r="B230" s="4" t="str">
        <f>$B$19</f>
        <v>KPI 1</v>
      </c>
      <c r="C230" s="138">
        <f t="shared" ref="C230:D233" ca="1" si="35">J230-I230</f>
        <v>0</v>
      </c>
      <c r="D230" s="138">
        <f t="shared" ca="1" si="35"/>
        <v>0</v>
      </c>
      <c r="E230" s="57">
        <f ca="1">$G$79</f>
        <v>0</v>
      </c>
      <c r="F230" s="57">
        <f ca="1">$G$80</f>
        <v>9.6</v>
      </c>
      <c r="G230" s="57">
        <f ca="1">$H$78</f>
        <v>7.4304347826086961</v>
      </c>
      <c r="H230" s="68" t="str">
        <f>$B$19</f>
        <v>KPI 1</v>
      </c>
      <c r="I230" s="158">
        <f ca="1">INDIRECT("M"&amp;N229)</f>
        <v>0</v>
      </c>
      <c r="J230" s="158">
        <f ca="1">INDIRECT("K"&amp;N229)</f>
        <v>0</v>
      </c>
      <c r="K230" s="69">
        <f ca="1">INDIRECT("I"&amp;N229)</f>
        <v>0</v>
      </c>
      <c r="L230" s="67">
        <f ca="1">$H$78</f>
        <v>7.4304347826086961</v>
      </c>
      <c r="M230" s="73">
        <f ca="1">(K230-L230)/10</f>
        <v>-0.74304347826086958</v>
      </c>
    </row>
    <row r="231" spans="1:14">
      <c r="A231" s="59"/>
      <c r="B231" s="312" t="str">
        <f>$B$20</f>
        <v>KPI 2</v>
      </c>
      <c r="C231" s="138">
        <f t="shared" ca="1" si="35"/>
        <v>0</v>
      </c>
      <c r="D231" s="138">
        <f t="shared" ca="1" si="35"/>
        <v>0</v>
      </c>
      <c r="E231" s="57">
        <f ca="1">$J$79</f>
        <v>1.1111111111111112</v>
      </c>
      <c r="F231" s="57">
        <f ca="1">$J$80</f>
        <v>10</v>
      </c>
      <c r="G231" s="57">
        <f ca="1">$K$78</f>
        <v>7.9589371980676349</v>
      </c>
      <c r="H231" s="68" t="str">
        <f>$B$20</f>
        <v>KPI 2</v>
      </c>
      <c r="I231" s="158">
        <f ca="1">INDIRECT("R"&amp;N229)</f>
        <v>0</v>
      </c>
      <c r="J231" s="158">
        <f ca="1">INDIRECT("P"&amp;N229)</f>
        <v>0</v>
      </c>
      <c r="K231" s="69">
        <f ca="1">INDIRECT("N"&amp;N229)</f>
        <v>0</v>
      </c>
      <c r="L231" s="67">
        <f ca="1">$K$78</f>
        <v>7.9589371980676349</v>
      </c>
      <c r="M231" s="73">
        <f ca="1">(K231-L231)/10</f>
        <v>-0.79589371980676349</v>
      </c>
    </row>
    <row r="232" spans="1:14">
      <c r="A232" s="59"/>
      <c r="B232" s="4" t="str">
        <f>$B$21</f>
        <v>KPI 3</v>
      </c>
      <c r="C232" s="138">
        <f t="shared" ca="1" si="35"/>
        <v>0</v>
      </c>
      <c r="D232" s="138">
        <f t="shared" ca="1" si="35"/>
        <v>0</v>
      </c>
      <c r="E232" s="57">
        <f ca="1">$M$79</f>
        <v>0.22222222222222221</v>
      </c>
      <c r="F232" s="57">
        <f ca="1">$M$80</f>
        <v>10</v>
      </c>
      <c r="G232" s="57">
        <f ca="1">$N$78</f>
        <v>6.8743961352657008</v>
      </c>
      <c r="H232" s="68" t="str">
        <f>$B$21</f>
        <v>KPI 3</v>
      </c>
      <c r="I232" s="158">
        <f ca="1">INDIRECT("W"&amp;N229)</f>
        <v>0</v>
      </c>
      <c r="J232" s="158">
        <f ca="1">INDIRECT("U"&amp;N229)</f>
        <v>0</v>
      </c>
      <c r="K232" s="69">
        <f ca="1">INDIRECT("S"&amp;N229)</f>
        <v>0</v>
      </c>
      <c r="L232" s="67">
        <f ca="1">$N$78</f>
        <v>6.8743961352657008</v>
      </c>
      <c r="M232" s="73">
        <f ca="1">(K232-L232)/10</f>
        <v>-0.68743961352657013</v>
      </c>
    </row>
    <row r="233" spans="1:14">
      <c r="A233" s="59"/>
      <c r="B233" s="4" t="str">
        <f>$B$22</f>
        <v>KPI 4</v>
      </c>
      <c r="C233" s="138">
        <f t="shared" ca="1" si="35"/>
        <v>0</v>
      </c>
      <c r="D233" s="138">
        <f t="shared" ca="1" si="35"/>
        <v>0</v>
      </c>
      <c r="E233" s="57">
        <f ca="1">$P$79</f>
        <v>0</v>
      </c>
      <c r="F233" s="57">
        <f ca="1">$P$80</f>
        <v>9.6923076923076916</v>
      </c>
      <c r="G233" s="57">
        <f ca="1">$Q$78</f>
        <v>6.1337792642140467</v>
      </c>
      <c r="H233" s="68" t="str">
        <f>$B$22</f>
        <v>KPI 4</v>
      </c>
      <c r="I233" s="158">
        <f ca="1">INDIRECT("AB"&amp;N229)</f>
        <v>0</v>
      </c>
      <c r="J233" s="158">
        <f ca="1">INDIRECT("Z"&amp;N229)</f>
        <v>0</v>
      </c>
      <c r="K233" s="69">
        <f ca="1">INDIRECT("X"&amp;N229)</f>
        <v>0</v>
      </c>
      <c r="L233" s="67">
        <f ca="1">$Q$78</f>
        <v>6.1337792642140467</v>
      </c>
      <c r="M233" s="73">
        <f ca="1">(K233-L233)/10</f>
        <v>-0.61337792642140465</v>
      </c>
    </row>
    <row r="234" spans="1:14">
      <c r="A234" s="59"/>
      <c r="J234" s="71"/>
    </row>
    <row r="235" spans="1:14">
      <c r="A235" s="59"/>
      <c r="J235" s="71"/>
    </row>
    <row r="236" spans="1:14" ht="22">
      <c r="A236" s="59"/>
      <c r="C236" s="128" t="s">
        <v>41</v>
      </c>
      <c r="D236" s="128" t="s">
        <v>42</v>
      </c>
      <c r="E236" s="44" t="s">
        <v>358</v>
      </c>
      <c r="F236" s="44" t="s">
        <v>359</v>
      </c>
      <c r="G236" s="44" t="s">
        <v>393</v>
      </c>
      <c r="H236" s="66" t="s">
        <v>215</v>
      </c>
      <c r="I236" s="157" t="s">
        <v>40</v>
      </c>
      <c r="J236" s="157" t="s">
        <v>330</v>
      </c>
      <c r="K236" s="70" t="s">
        <v>331</v>
      </c>
      <c r="L236" s="65" t="s">
        <v>216</v>
      </c>
      <c r="M236" s="72" t="s">
        <v>332</v>
      </c>
      <c r="N236" s="4">
        <f>N229+1</f>
        <v>115</v>
      </c>
    </row>
    <row r="237" spans="1:14" ht="12" customHeight="1">
      <c r="A237" s="59" t="str">
        <f ca="1">INDIRECT("A"&amp;N236)</f>
        <v xml:space="preserve">Ministero della salute                        </v>
      </c>
      <c r="B237" s="4" t="str">
        <f>$B$19</f>
        <v>KPI 1</v>
      </c>
      <c r="C237" s="138">
        <f t="shared" ref="C237:D240" ca="1" si="36">J237-I237</f>
        <v>0</v>
      </c>
      <c r="D237" s="138">
        <f t="shared" ca="1" si="36"/>
        <v>0</v>
      </c>
      <c r="E237" s="57">
        <f ca="1">$G$79</f>
        <v>0</v>
      </c>
      <c r="F237" s="57">
        <f ca="1">$G$80</f>
        <v>9.6</v>
      </c>
      <c r="G237" s="57">
        <f ca="1">$H$78</f>
        <v>7.4304347826086961</v>
      </c>
      <c r="H237" s="68" t="str">
        <f>$B$19</f>
        <v>KPI 1</v>
      </c>
      <c r="I237" s="158">
        <f ca="1">INDIRECT("M"&amp;N236)</f>
        <v>0</v>
      </c>
      <c r="J237" s="158">
        <f ca="1">INDIRECT("K"&amp;N236)</f>
        <v>0</v>
      </c>
      <c r="K237" s="69">
        <f ca="1">INDIRECT("I"&amp;N236)</f>
        <v>0</v>
      </c>
      <c r="L237" s="67">
        <f ca="1">$H$78</f>
        <v>7.4304347826086961</v>
      </c>
      <c r="M237" s="73">
        <f ca="1">(K237-L237)/10</f>
        <v>-0.74304347826086958</v>
      </c>
    </row>
    <row r="238" spans="1:14">
      <c r="A238" s="59"/>
      <c r="B238" s="312" t="str">
        <f>$B$20</f>
        <v>KPI 2</v>
      </c>
      <c r="C238" s="138">
        <f t="shared" ca="1" si="36"/>
        <v>0</v>
      </c>
      <c r="D238" s="138">
        <f t="shared" ca="1" si="36"/>
        <v>0</v>
      </c>
      <c r="E238" s="57">
        <f ca="1">$J$79</f>
        <v>1.1111111111111112</v>
      </c>
      <c r="F238" s="57">
        <f ca="1">$J$80</f>
        <v>10</v>
      </c>
      <c r="G238" s="57">
        <f ca="1">$K$78</f>
        <v>7.9589371980676349</v>
      </c>
      <c r="H238" s="68" t="str">
        <f>$B$20</f>
        <v>KPI 2</v>
      </c>
      <c r="I238" s="158">
        <f ca="1">INDIRECT("R"&amp;N236)</f>
        <v>0</v>
      </c>
      <c r="J238" s="158">
        <f ca="1">INDIRECT("P"&amp;N236)</f>
        <v>0</v>
      </c>
      <c r="K238" s="69">
        <f ca="1">INDIRECT("N"&amp;N236)</f>
        <v>0</v>
      </c>
      <c r="L238" s="67">
        <f ca="1">$K$78</f>
        <v>7.9589371980676349</v>
      </c>
      <c r="M238" s="73">
        <f ca="1">(K238-L238)/10</f>
        <v>-0.79589371980676349</v>
      </c>
    </row>
    <row r="239" spans="1:14">
      <c r="A239" s="59"/>
      <c r="B239" s="4" t="str">
        <f>$B$21</f>
        <v>KPI 3</v>
      </c>
      <c r="C239" s="138">
        <f t="shared" ca="1" si="36"/>
        <v>0</v>
      </c>
      <c r="D239" s="138">
        <f t="shared" ca="1" si="36"/>
        <v>0</v>
      </c>
      <c r="E239" s="57">
        <f ca="1">$M$79</f>
        <v>0.22222222222222221</v>
      </c>
      <c r="F239" s="57">
        <f ca="1">$M$80</f>
        <v>10</v>
      </c>
      <c r="G239" s="57">
        <f ca="1">$N$78</f>
        <v>6.8743961352657008</v>
      </c>
      <c r="H239" s="68" t="str">
        <f>$B$21</f>
        <v>KPI 3</v>
      </c>
      <c r="I239" s="158">
        <f ca="1">INDIRECT("W"&amp;N236)</f>
        <v>0</v>
      </c>
      <c r="J239" s="158">
        <f ca="1">INDIRECT("U"&amp;N236)</f>
        <v>0</v>
      </c>
      <c r="K239" s="69">
        <f ca="1">INDIRECT("S"&amp;N236)</f>
        <v>0</v>
      </c>
      <c r="L239" s="67">
        <f ca="1">$N$78</f>
        <v>6.8743961352657008</v>
      </c>
      <c r="M239" s="73">
        <f ca="1">(K239-L239)/10</f>
        <v>-0.68743961352657013</v>
      </c>
    </row>
    <row r="240" spans="1:14">
      <c r="A240" s="59"/>
      <c r="B240" s="4" t="str">
        <f>$B$22</f>
        <v>KPI 4</v>
      </c>
      <c r="C240" s="138">
        <f t="shared" ca="1" si="36"/>
        <v>0</v>
      </c>
      <c r="D240" s="138">
        <f t="shared" ca="1" si="36"/>
        <v>0</v>
      </c>
      <c r="E240" s="57">
        <f ca="1">$P$79</f>
        <v>0</v>
      </c>
      <c r="F240" s="57">
        <f ca="1">$P$80</f>
        <v>9.6923076923076916</v>
      </c>
      <c r="G240" s="57">
        <f ca="1">$Q$78</f>
        <v>6.1337792642140467</v>
      </c>
      <c r="H240" s="68" t="str">
        <f>$B$22</f>
        <v>KPI 4</v>
      </c>
      <c r="I240" s="158">
        <f ca="1">INDIRECT("AB"&amp;N236)</f>
        <v>0</v>
      </c>
      <c r="J240" s="158">
        <f ca="1">INDIRECT("Z"&amp;N236)</f>
        <v>0</v>
      </c>
      <c r="K240" s="69">
        <f ca="1">INDIRECT("X"&amp;N236)</f>
        <v>0</v>
      </c>
      <c r="L240" s="67">
        <f ca="1">$Q$78</f>
        <v>6.1337792642140467</v>
      </c>
      <c r="M240" s="73">
        <f ca="1">(K240-L240)/10</f>
        <v>-0.61337792642140465</v>
      </c>
    </row>
    <row r="241" spans="1:14">
      <c r="A241" s="59"/>
      <c r="J241" s="71"/>
    </row>
    <row r="242" spans="1:14">
      <c r="A242" s="59"/>
      <c r="J242" s="71"/>
    </row>
    <row r="243" spans="1:14" ht="22">
      <c r="A243" s="59"/>
      <c r="C243" s="128" t="s">
        <v>41</v>
      </c>
      <c r="D243" s="128" t="s">
        <v>42</v>
      </c>
      <c r="E243" s="44" t="s">
        <v>358</v>
      </c>
      <c r="F243" s="44" t="s">
        <v>359</v>
      </c>
      <c r="G243" s="44" t="s">
        <v>393</v>
      </c>
      <c r="H243" s="66" t="s">
        <v>215</v>
      </c>
      <c r="I243" s="157" t="s">
        <v>40</v>
      </c>
      <c r="J243" s="157" t="s">
        <v>330</v>
      </c>
      <c r="K243" s="70" t="s">
        <v>331</v>
      </c>
      <c r="L243" s="65" t="s">
        <v>216</v>
      </c>
      <c r="M243" s="72" t="s">
        <v>332</v>
      </c>
      <c r="N243" s="4">
        <f>N236+1</f>
        <v>116</v>
      </c>
    </row>
    <row r="244" spans="1:14">
      <c r="A244" s="59" t="str">
        <f ca="1">INDIRECT("A"&amp;N243)</f>
        <v xml:space="preserve">Presidenza del Consiglio dei ministri                     </v>
      </c>
      <c r="B244" s="4" t="str">
        <f>$B$19</f>
        <v>KPI 1</v>
      </c>
      <c r="C244" s="138">
        <f t="shared" ref="C244:D247" ca="1" si="37">J244-I244</f>
        <v>0</v>
      </c>
      <c r="D244" s="138">
        <f t="shared" ca="1" si="37"/>
        <v>0</v>
      </c>
      <c r="E244" s="57">
        <f ca="1">$G$79</f>
        <v>0</v>
      </c>
      <c r="F244" s="57">
        <f ca="1">$G$80</f>
        <v>9.6</v>
      </c>
      <c r="G244" s="57">
        <f ca="1">$H$78</f>
        <v>7.4304347826086961</v>
      </c>
      <c r="H244" s="68" t="str">
        <f>$B$19</f>
        <v>KPI 1</v>
      </c>
      <c r="I244" s="158">
        <f ca="1">INDIRECT("M"&amp;N243)</f>
        <v>0</v>
      </c>
      <c r="J244" s="158">
        <f ca="1">INDIRECT("K"&amp;N243)</f>
        <v>0</v>
      </c>
      <c r="K244" s="69">
        <f ca="1">INDIRECT("I"&amp;N243)</f>
        <v>0</v>
      </c>
      <c r="L244" s="67">
        <f ca="1">$H$78</f>
        <v>7.4304347826086961</v>
      </c>
      <c r="M244" s="73">
        <f ca="1">(K244-L244)/10</f>
        <v>-0.74304347826086958</v>
      </c>
    </row>
    <row r="245" spans="1:14">
      <c r="A245" s="59"/>
      <c r="B245" s="312" t="str">
        <f>$B$20</f>
        <v>KPI 2</v>
      </c>
      <c r="C245" s="138">
        <f t="shared" ca="1" si="37"/>
        <v>0</v>
      </c>
      <c r="D245" s="138">
        <f t="shared" ca="1" si="37"/>
        <v>0</v>
      </c>
      <c r="E245" s="57">
        <f ca="1">$J$79</f>
        <v>1.1111111111111112</v>
      </c>
      <c r="F245" s="57">
        <f ca="1">$J$80</f>
        <v>10</v>
      </c>
      <c r="G245" s="57">
        <f ca="1">$K$78</f>
        <v>7.9589371980676349</v>
      </c>
      <c r="H245" s="68" t="str">
        <f>$B$20</f>
        <v>KPI 2</v>
      </c>
      <c r="I245" s="158">
        <f ca="1">INDIRECT("R"&amp;N243)</f>
        <v>0</v>
      </c>
      <c r="J245" s="158">
        <f ca="1">INDIRECT("P"&amp;N243)</f>
        <v>0</v>
      </c>
      <c r="K245" s="69">
        <f ca="1">INDIRECT("N"&amp;N243)</f>
        <v>0</v>
      </c>
      <c r="L245" s="67">
        <f ca="1">$K$78</f>
        <v>7.9589371980676349</v>
      </c>
      <c r="M245" s="73">
        <f ca="1">(K245-L245)/10</f>
        <v>-0.79589371980676349</v>
      </c>
    </row>
    <row r="246" spans="1:14">
      <c r="A246" s="59"/>
      <c r="B246" s="4" t="str">
        <f>$B$21</f>
        <v>KPI 3</v>
      </c>
      <c r="C246" s="138">
        <f t="shared" ca="1" si="37"/>
        <v>0</v>
      </c>
      <c r="D246" s="138">
        <f t="shared" ca="1" si="37"/>
        <v>0</v>
      </c>
      <c r="E246" s="57">
        <f ca="1">$M$79</f>
        <v>0.22222222222222221</v>
      </c>
      <c r="F246" s="57">
        <f ca="1">$M$80</f>
        <v>10</v>
      </c>
      <c r="G246" s="57">
        <f ca="1">$N$78</f>
        <v>6.8743961352657008</v>
      </c>
      <c r="H246" s="68" t="str">
        <f>$B$21</f>
        <v>KPI 3</v>
      </c>
      <c r="I246" s="158">
        <f ca="1">INDIRECT("W"&amp;N243)</f>
        <v>0</v>
      </c>
      <c r="J246" s="158">
        <f ca="1">INDIRECT("U"&amp;N243)</f>
        <v>0</v>
      </c>
      <c r="K246" s="69">
        <f ca="1">INDIRECT("S"&amp;N243)</f>
        <v>0</v>
      </c>
      <c r="L246" s="67">
        <f ca="1">$N$78</f>
        <v>6.8743961352657008</v>
      </c>
      <c r="M246" s="73">
        <f ca="1">(K246-L246)/10</f>
        <v>-0.68743961352657013</v>
      </c>
    </row>
    <row r="247" spans="1:14">
      <c r="A247" s="59"/>
      <c r="B247" s="4" t="str">
        <f>$B$22</f>
        <v>KPI 4</v>
      </c>
      <c r="C247" s="138">
        <f t="shared" ca="1" si="37"/>
        <v>0</v>
      </c>
      <c r="D247" s="138">
        <f t="shared" ca="1" si="37"/>
        <v>0</v>
      </c>
      <c r="E247" s="57">
        <f ca="1">$P$79</f>
        <v>0</v>
      </c>
      <c r="F247" s="57">
        <f ca="1">$P$80</f>
        <v>9.6923076923076916</v>
      </c>
      <c r="G247" s="57">
        <f ca="1">$Q$78</f>
        <v>6.1337792642140467</v>
      </c>
      <c r="H247" s="68" t="str">
        <f>$B$22</f>
        <v>KPI 4</v>
      </c>
      <c r="I247" s="158">
        <f ca="1">INDIRECT("AB"&amp;N243)</f>
        <v>0</v>
      </c>
      <c r="J247" s="158">
        <f ca="1">INDIRECT("Z"&amp;N243)</f>
        <v>0</v>
      </c>
      <c r="K247" s="69">
        <f ca="1">INDIRECT("X"&amp;N243)</f>
        <v>0</v>
      </c>
      <c r="L247" s="67">
        <f ca="1">$Q$78</f>
        <v>6.1337792642140467</v>
      </c>
      <c r="M247" s="73">
        <f ca="1">(K247-L247)/10</f>
        <v>-0.61337792642140465</v>
      </c>
    </row>
    <row r="248" spans="1:14">
      <c r="A248" s="59"/>
      <c r="J248" s="71"/>
    </row>
    <row r="249" spans="1:14">
      <c r="A249" s="59"/>
      <c r="J249" s="71"/>
    </row>
    <row r="250" spans="1:14" ht="22">
      <c r="A250" s="59"/>
      <c r="C250" s="128" t="s">
        <v>41</v>
      </c>
      <c r="D250" s="128" t="s">
        <v>42</v>
      </c>
      <c r="E250" s="44" t="s">
        <v>358</v>
      </c>
      <c r="F250" s="44" t="s">
        <v>359</v>
      </c>
      <c r="G250" s="44" t="s">
        <v>393</v>
      </c>
      <c r="H250" s="66" t="s">
        <v>215</v>
      </c>
      <c r="I250" s="157" t="s">
        <v>40</v>
      </c>
      <c r="J250" s="157" t="s">
        <v>330</v>
      </c>
      <c r="K250" s="70" t="s">
        <v>331</v>
      </c>
      <c r="L250" s="65" t="s">
        <v>216</v>
      </c>
      <c r="M250" s="72" t="s">
        <v>332</v>
      </c>
      <c r="N250" s="4">
        <f>N243+1</f>
        <v>117</v>
      </c>
    </row>
    <row r="251" spans="1:14">
      <c r="A251" s="59" t="str">
        <f ca="1">INDIRECT("A"&amp;N250)</f>
        <v xml:space="preserve">Istituto nazionale di statistica                                   </v>
      </c>
      <c r="B251" s="4" t="str">
        <f>$B$19</f>
        <v>KPI 1</v>
      </c>
      <c r="C251" s="138">
        <f t="shared" ref="C251:D254" ca="1" si="38">J251-I251</f>
        <v>0</v>
      </c>
      <c r="D251" s="138">
        <f t="shared" ca="1" si="38"/>
        <v>0</v>
      </c>
      <c r="E251" s="57">
        <f ca="1">$G$79</f>
        <v>0</v>
      </c>
      <c r="F251" s="57">
        <f ca="1">$G$80</f>
        <v>9.6</v>
      </c>
      <c r="G251" s="57">
        <f ca="1">$H$78</f>
        <v>7.4304347826086961</v>
      </c>
      <c r="H251" s="68" t="str">
        <f>$B$19</f>
        <v>KPI 1</v>
      </c>
      <c r="I251" s="158">
        <f ca="1">INDIRECT("M"&amp;N250)</f>
        <v>0</v>
      </c>
      <c r="J251" s="158">
        <f ca="1">INDIRECT("K"&amp;N250)</f>
        <v>0</v>
      </c>
      <c r="K251" s="69">
        <f ca="1">INDIRECT("I"&amp;N250)</f>
        <v>0</v>
      </c>
      <c r="L251" s="67">
        <f ca="1">$H$78</f>
        <v>7.4304347826086961</v>
      </c>
      <c r="M251" s="73">
        <f ca="1">(K251-L251)/10</f>
        <v>-0.74304347826086958</v>
      </c>
    </row>
    <row r="252" spans="1:14">
      <c r="A252" s="59"/>
      <c r="B252" s="312" t="str">
        <f>$B$20</f>
        <v>KPI 2</v>
      </c>
      <c r="C252" s="138">
        <f t="shared" ca="1" si="38"/>
        <v>0</v>
      </c>
      <c r="D252" s="138">
        <f t="shared" ca="1" si="38"/>
        <v>0</v>
      </c>
      <c r="E252" s="57">
        <f ca="1">$J$79</f>
        <v>1.1111111111111112</v>
      </c>
      <c r="F252" s="57">
        <f ca="1">$J$80</f>
        <v>10</v>
      </c>
      <c r="G252" s="57">
        <f ca="1">$K$78</f>
        <v>7.9589371980676349</v>
      </c>
      <c r="H252" s="68" t="str">
        <f>$B$20</f>
        <v>KPI 2</v>
      </c>
      <c r="I252" s="158">
        <f ca="1">INDIRECT("R"&amp;N250)</f>
        <v>0</v>
      </c>
      <c r="J252" s="158">
        <f ca="1">INDIRECT("P"&amp;N250)</f>
        <v>0</v>
      </c>
      <c r="K252" s="69">
        <f ca="1">INDIRECT("N"&amp;N250)</f>
        <v>0</v>
      </c>
      <c r="L252" s="67">
        <f ca="1">$K$78</f>
        <v>7.9589371980676349</v>
      </c>
      <c r="M252" s="73">
        <f ca="1">(K252-L252)/10</f>
        <v>-0.79589371980676349</v>
      </c>
    </row>
    <row r="253" spans="1:14">
      <c r="A253" s="59"/>
      <c r="B253" s="4" t="str">
        <f>$B$21</f>
        <v>KPI 3</v>
      </c>
      <c r="C253" s="138">
        <f t="shared" ca="1" si="38"/>
        <v>0</v>
      </c>
      <c r="D253" s="138">
        <f t="shared" ca="1" si="38"/>
        <v>0</v>
      </c>
      <c r="E253" s="57">
        <f ca="1">$M$79</f>
        <v>0.22222222222222221</v>
      </c>
      <c r="F253" s="57">
        <f ca="1">$M$80</f>
        <v>10</v>
      </c>
      <c r="G253" s="57">
        <f ca="1">$N$78</f>
        <v>6.8743961352657008</v>
      </c>
      <c r="H253" s="68" t="str">
        <f>$B$21</f>
        <v>KPI 3</v>
      </c>
      <c r="I253" s="158">
        <f ca="1">INDIRECT("W"&amp;N250)</f>
        <v>0</v>
      </c>
      <c r="J253" s="158">
        <f ca="1">INDIRECT("U"&amp;N250)</f>
        <v>0</v>
      </c>
      <c r="K253" s="69">
        <f ca="1">INDIRECT("S"&amp;N250)</f>
        <v>0</v>
      </c>
      <c r="L253" s="67">
        <f ca="1">$N$78</f>
        <v>6.8743961352657008</v>
      </c>
      <c r="M253" s="73">
        <f ca="1">(K253-L253)/10</f>
        <v>-0.68743961352657013</v>
      </c>
    </row>
    <row r="254" spans="1:14">
      <c r="A254" s="59"/>
      <c r="B254" s="4" t="str">
        <f>$B$22</f>
        <v>KPI 4</v>
      </c>
      <c r="C254" s="138">
        <f t="shared" ca="1" si="38"/>
        <v>0</v>
      </c>
      <c r="D254" s="138">
        <f t="shared" ca="1" si="38"/>
        <v>0</v>
      </c>
      <c r="E254" s="57">
        <f ca="1">$P$79</f>
        <v>0</v>
      </c>
      <c r="F254" s="57">
        <f ca="1">$P$80</f>
        <v>9.6923076923076916</v>
      </c>
      <c r="G254" s="57">
        <f ca="1">$Q$78</f>
        <v>6.1337792642140467</v>
      </c>
      <c r="H254" s="68" t="str">
        <f>$B$22</f>
        <v>KPI 4</v>
      </c>
      <c r="I254" s="158">
        <f ca="1">INDIRECT("AB"&amp;N250)</f>
        <v>0</v>
      </c>
      <c r="J254" s="158">
        <f ca="1">INDIRECT("Z"&amp;N250)</f>
        <v>0</v>
      </c>
      <c r="K254" s="69">
        <f ca="1">INDIRECT("X"&amp;N250)</f>
        <v>0</v>
      </c>
      <c r="L254" s="67">
        <f ca="1">$Q$78</f>
        <v>6.1337792642140467</v>
      </c>
      <c r="M254" s="73">
        <f ca="1">(K254-L254)/10</f>
        <v>-0.61337792642140465</v>
      </c>
    </row>
    <row r="255" spans="1:14">
      <c r="A255" s="59"/>
      <c r="J255" s="71"/>
    </row>
    <row r="256" spans="1:14">
      <c r="A256" s="59"/>
      <c r="J256" s="71"/>
    </row>
    <row r="257" spans="1:14" ht="22">
      <c r="A257" s="59"/>
      <c r="C257" s="128" t="s">
        <v>41</v>
      </c>
      <c r="D257" s="128" t="s">
        <v>42</v>
      </c>
      <c r="E257" s="44" t="s">
        <v>358</v>
      </c>
      <c r="F257" s="44" t="s">
        <v>359</v>
      </c>
      <c r="G257" s="44" t="s">
        <v>393</v>
      </c>
      <c r="H257" s="66" t="s">
        <v>215</v>
      </c>
      <c r="I257" s="157" t="s">
        <v>40</v>
      </c>
      <c r="J257" s="157" t="s">
        <v>330</v>
      </c>
      <c r="K257" s="70" t="s">
        <v>331</v>
      </c>
      <c r="L257" s="65" t="s">
        <v>216</v>
      </c>
      <c r="M257" s="72" t="s">
        <v>332</v>
      </c>
      <c r="N257" s="4">
        <f>N250+1</f>
        <v>118</v>
      </c>
    </row>
    <row r="258" spans="1:14">
      <c r="A258" s="59" t="str">
        <f ca="1">INDIRECT("A"&amp;N257)</f>
        <v xml:space="preserve">Istituto superiore di sanità                                                                        </v>
      </c>
      <c r="B258" s="4" t="str">
        <f>$B$19</f>
        <v>KPI 1</v>
      </c>
      <c r="C258" s="138">
        <f t="shared" ref="C258:D261" ca="1" si="39">J258-I258</f>
        <v>0</v>
      </c>
      <c r="D258" s="138">
        <f t="shared" ca="1" si="39"/>
        <v>0</v>
      </c>
      <c r="E258" s="57">
        <f ca="1">$G$79</f>
        <v>0</v>
      </c>
      <c r="F258" s="57">
        <f ca="1">$G$80</f>
        <v>9.6</v>
      </c>
      <c r="G258" s="57">
        <f ca="1">$H$78</f>
        <v>7.4304347826086961</v>
      </c>
      <c r="H258" s="68" t="str">
        <f>$B$19</f>
        <v>KPI 1</v>
      </c>
      <c r="I258" s="158">
        <f ca="1">INDIRECT("M"&amp;N257)</f>
        <v>0</v>
      </c>
      <c r="J258" s="158">
        <f ca="1">INDIRECT("K"&amp;N257)</f>
        <v>0</v>
      </c>
      <c r="K258" s="69">
        <f ca="1">INDIRECT("I"&amp;N257)</f>
        <v>0</v>
      </c>
      <c r="L258" s="67">
        <f ca="1">$H$78</f>
        <v>7.4304347826086961</v>
      </c>
      <c r="M258" s="73">
        <f ca="1">(K258-L258)/10</f>
        <v>-0.74304347826086958</v>
      </c>
    </row>
    <row r="259" spans="1:14">
      <c r="A259" s="59"/>
      <c r="B259" s="312" t="str">
        <f>$B$20</f>
        <v>KPI 2</v>
      </c>
      <c r="C259" s="138">
        <f t="shared" ca="1" si="39"/>
        <v>0</v>
      </c>
      <c r="D259" s="138">
        <f t="shared" ca="1" si="39"/>
        <v>0</v>
      </c>
      <c r="E259" s="57">
        <f ca="1">$J$79</f>
        <v>1.1111111111111112</v>
      </c>
      <c r="F259" s="57">
        <f ca="1">$J$80</f>
        <v>10</v>
      </c>
      <c r="G259" s="57">
        <f ca="1">$K$78</f>
        <v>7.9589371980676349</v>
      </c>
      <c r="H259" s="68" t="str">
        <f>$B$20</f>
        <v>KPI 2</v>
      </c>
      <c r="I259" s="158">
        <f ca="1">INDIRECT("R"&amp;N257)</f>
        <v>0</v>
      </c>
      <c r="J259" s="158">
        <f ca="1">INDIRECT("P"&amp;N257)</f>
        <v>0</v>
      </c>
      <c r="K259" s="69">
        <f ca="1">INDIRECT("N"&amp;N257)</f>
        <v>0</v>
      </c>
      <c r="L259" s="67">
        <f ca="1">$K$78</f>
        <v>7.9589371980676349</v>
      </c>
      <c r="M259" s="73">
        <f ca="1">(K259-L259)/10</f>
        <v>-0.79589371980676349</v>
      </c>
    </row>
    <row r="260" spans="1:14">
      <c r="A260" s="59"/>
      <c r="B260" s="4" t="str">
        <f>$B$21</f>
        <v>KPI 3</v>
      </c>
      <c r="C260" s="138">
        <f t="shared" ca="1" si="39"/>
        <v>0</v>
      </c>
      <c r="D260" s="138">
        <f t="shared" ca="1" si="39"/>
        <v>0</v>
      </c>
      <c r="E260" s="57">
        <f ca="1">$M$79</f>
        <v>0.22222222222222221</v>
      </c>
      <c r="F260" s="57">
        <f ca="1">$M$80</f>
        <v>10</v>
      </c>
      <c r="G260" s="57">
        <f ca="1">$N$78</f>
        <v>6.8743961352657008</v>
      </c>
      <c r="H260" s="68" t="str">
        <f>$B$21</f>
        <v>KPI 3</v>
      </c>
      <c r="I260" s="158">
        <f ca="1">INDIRECT("W"&amp;N257)</f>
        <v>0</v>
      </c>
      <c r="J260" s="158">
        <f ca="1">INDIRECT("U"&amp;N257)</f>
        <v>0</v>
      </c>
      <c r="K260" s="69">
        <f ca="1">INDIRECT("S"&amp;N257)</f>
        <v>0</v>
      </c>
      <c r="L260" s="67">
        <f ca="1">$N$78</f>
        <v>6.8743961352657008</v>
      </c>
      <c r="M260" s="73">
        <f ca="1">(K260-L260)/10</f>
        <v>-0.68743961352657013</v>
      </c>
    </row>
    <row r="261" spans="1:14">
      <c r="A261" s="59"/>
      <c r="B261" s="4" t="str">
        <f>$B$22</f>
        <v>KPI 4</v>
      </c>
      <c r="C261" s="138">
        <f t="shared" ca="1" si="39"/>
        <v>0</v>
      </c>
      <c r="D261" s="138">
        <f t="shared" ca="1" si="39"/>
        <v>0</v>
      </c>
      <c r="E261" s="57">
        <f ca="1">$P$79</f>
        <v>0</v>
      </c>
      <c r="F261" s="57">
        <f ca="1">$P$80</f>
        <v>9.6923076923076916</v>
      </c>
      <c r="G261" s="57">
        <f ca="1">$Q$78</f>
        <v>6.1337792642140467</v>
      </c>
      <c r="H261" s="68" t="str">
        <f>$B$22</f>
        <v>KPI 4</v>
      </c>
      <c r="I261" s="158">
        <f ca="1">INDIRECT("AB"&amp;N257)</f>
        <v>0</v>
      </c>
      <c r="J261" s="158">
        <f ca="1">INDIRECT("Z"&amp;N257)</f>
        <v>0</v>
      </c>
      <c r="K261" s="69">
        <f ca="1">INDIRECT("X"&amp;N257)</f>
        <v>0</v>
      </c>
      <c r="L261" s="67">
        <f ca="1">$Q$78</f>
        <v>6.1337792642140467</v>
      </c>
      <c r="M261" s="73">
        <f ca="1">(K261-L261)/10</f>
        <v>-0.61337792642140465</v>
      </c>
    </row>
    <row r="262" spans="1:14">
      <c r="A262" s="59"/>
      <c r="J262" s="71"/>
    </row>
    <row r="263" spans="1:14">
      <c r="A263" s="59"/>
      <c r="J263" s="71"/>
    </row>
    <row r="264" spans="1:14" ht="22">
      <c r="A264" s="59"/>
      <c r="C264" s="128" t="s">
        <v>41</v>
      </c>
      <c r="D264" s="128" t="s">
        <v>42</v>
      </c>
      <c r="E264" s="44" t="s">
        <v>358</v>
      </c>
      <c r="F264" s="44" t="s">
        <v>359</v>
      </c>
      <c r="G264" s="44" t="s">
        <v>393</v>
      </c>
      <c r="H264" s="66" t="s">
        <v>215</v>
      </c>
      <c r="I264" s="157" t="s">
        <v>40</v>
      </c>
      <c r="J264" s="157" t="s">
        <v>330</v>
      </c>
      <c r="K264" s="70" t="s">
        <v>331</v>
      </c>
      <c r="L264" s="65" t="s">
        <v>216</v>
      </c>
      <c r="M264" s="72" t="s">
        <v>332</v>
      </c>
      <c r="N264" s="4">
        <f>N257+1</f>
        <v>119</v>
      </c>
    </row>
    <row r="265" spans="1:14">
      <c r="A265" s="59" t="str">
        <f ca="1">INDIRECT("A"&amp;N264)</f>
        <v xml:space="preserve">Ministero delle politiche agricole e forestali                                        </v>
      </c>
      <c r="B265" s="4" t="str">
        <f>$B$19</f>
        <v>KPI 1</v>
      </c>
      <c r="C265" s="138">
        <f t="shared" ref="C265:D268" ca="1" si="40">J265-I265</f>
        <v>0</v>
      </c>
      <c r="D265" s="138">
        <f t="shared" ca="1" si="40"/>
        <v>0</v>
      </c>
      <c r="E265" s="57">
        <f ca="1">$G$79</f>
        <v>0</v>
      </c>
      <c r="F265" s="57">
        <f ca="1">$G$80</f>
        <v>9.6</v>
      </c>
      <c r="G265" s="57">
        <f ca="1">$H$78</f>
        <v>7.4304347826086961</v>
      </c>
      <c r="H265" s="68" t="str">
        <f>$B$19</f>
        <v>KPI 1</v>
      </c>
      <c r="I265" s="158">
        <f ca="1">INDIRECT("M"&amp;N264)</f>
        <v>0</v>
      </c>
      <c r="J265" s="158">
        <f ca="1">INDIRECT("K"&amp;N264)</f>
        <v>0</v>
      </c>
      <c r="K265" s="69">
        <f ca="1">INDIRECT("I"&amp;N264)</f>
        <v>0</v>
      </c>
      <c r="L265" s="67">
        <f ca="1">$H$78</f>
        <v>7.4304347826086961</v>
      </c>
      <c r="M265" s="73">
        <f ca="1">(K265-L265)/10</f>
        <v>-0.74304347826086958</v>
      </c>
    </row>
    <row r="266" spans="1:14">
      <c r="A266" s="59"/>
      <c r="B266" s="312" t="str">
        <f>$B$20</f>
        <v>KPI 2</v>
      </c>
      <c r="C266" s="138">
        <f t="shared" ca="1" si="40"/>
        <v>0</v>
      </c>
      <c r="D266" s="138">
        <f t="shared" ca="1" si="40"/>
        <v>0</v>
      </c>
      <c r="E266" s="57">
        <f ca="1">$J$79</f>
        <v>1.1111111111111112</v>
      </c>
      <c r="F266" s="57">
        <f ca="1">$J$80</f>
        <v>10</v>
      </c>
      <c r="G266" s="57">
        <f ca="1">$K$78</f>
        <v>7.9589371980676349</v>
      </c>
      <c r="H266" s="68" t="str">
        <f>$B$20</f>
        <v>KPI 2</v>
      </c>
      <c r="I266" s="158">
        <f ca="1">INDIRECT("R"&amp;N264)</f>
        <v>0</v>
      </c>
      <c r="J266" s="158">
        <f ca="1">INDIRECT("P"&amp;N264)</f>
        <v>0</v>
      </c>
      <c r="K266" s="69">
        <f ca="1">INDIRECT("N"&amp;N264)</f>
        <v>0</v>
      </c>
      <c r="L266" s="67">
        <f ca="1">$K$78</f>
        <v>7.9589371980676349</v>
      </c>
      <c r="M266" s="73">
        <f ca="1">(K266-L266)/10</f>
        <v>-0.79589371980676349</v>
      </c>
    </row>
    <row r="267" spans="1:14">
      <c r="A267" s="59"/>
      <c r="B267" s="4" t="str">
        <f>$B$21</f>
        <v>KPI 3</v>
      </c>
      <c r="C267" s="138">
        <f t="shared" ca="1" si="40"/>
        <v>0</v>
      </c>
      <c r="D267" s="138">
        <f t="shared" ca="1" si="40"/>
        <v>0</v>
      </c>
      <c r="E267" s="57">
        <f ca="1">$M$79</f>
        <v>0.22222222222222221</v>
      </c>
      <c r="F267" s="57">
        <f ca="1">$M$80</f>
        <v>10</v>
      </c>
      <c r="G267" s="57">
        <f ca="1">$N$78</f>
        <v>6.8743961352657008</v>
      </c>
      <c r="H267" s="68" t="str">
        <f>$B$21</f>
        <v>KPI 3</v>
      </c>
      <c r="I267" s="158">
        <f ca="1">INDIRECT("W"&amp;N264)</f>
        <v>0</v>
      </c>
      <c r="J267" s="158">
        <f ca="1">INDIRECT("U"&amp;N264)</f>
        <v>0</v>
      </c>
      <c r="K267" s="69">
        <f ca="1">INDIRECT("S"&amp;N264)</f>
        <v>0</v>
      </c>
      <c r="L267" s="67">
        <f ca="1">$N$78</f>
        <v>6.8743961352657008</v>
      </c>
      <c r="M267" s="73">
        <f ca="1">(K267-L267)/10</f>
        <v>-0.68743961352657013</v>
      </c>
    </row>
    <row r="268" spans="1:14">
      <c r="A268" s="59"/>
      <c r="B268" s="4" t="str">
        <f>$B$22</f>
        <v>KPI 4</v>
      </c>
      <c r="C268" s="138">
        <f t="shared" ca="1" si="40"/>
        <v>0</v>
      </c>
      <c r="D268" s="138">
        <f t="shared" ca="1" si="40"/>
        <v>0</v>
      </c>
      <c r="E268" s="57">
        <f ca="1">$P$79</f>
        <v>0</v>
      </c>
      <c r="F268" s="57">
        <f ca="1">$P$80</f>
        <v>9.6923076923076916</v>
      </c>
      <c r="G268" s="57">
        <f ca="1">$Q$78</f>
        <v>6.1337792642140467</v>
      </c>
      <c r="H268" s="68" t="str">
        <f>$B$22</f>
        <v>KPI 4</v>
      </c>
      <c r="I268" s="158">
        <f ca="1">INDIRECT("AB"&amp;N264)</f>
        <v>0</v>
      </c>
      <c r="J268" s="158">
        <f ca="1">INDIRECT("Z"&amp;N264)</f>
        <v>0</v>
      </c>
      <c r="K268" s="69">
        <f ca="1">INDIRECT("X"&amp;N264)</f>
        <v>0</v>
      </c>
      <c r="L268" s="67">
        <f ca="1">$Q$78</f>
        <v>6.1337792642140467</v>
      </c>
      <c r="M268" s="73">
        <f ca="1">(K268-L268)/10</f>
        <v>-0.61337792642140465</v>
      </c>
    </row>
    <row r="269" spans="1:14">
      <c r="A269" s="59"/>
      <c r="J269" s="71"/>
    </row>
    <row r="270" spans="1:14">
      <c r="A270" s="59"/>
      <c r="J270" s="71"/>
    </row>
    <row r="271" spans="1:14" ht="22">
      <c r="A271" s="59"/>
      <c r="C271" s="128" t="s">
        <v>41</v>
      </c>
      <c r="D271" s="128" t="s">
        <v>42</v>
      </c>
      <c r="E271" s="44" t="s">
        <v>358</v>
      </c>
      <c r="F271" s="44" t="s">
        <v>359</v>
      </c>
      <c r="G271" s="44" t="s">
        <v>393</v>
      </c>
      <c r="H271" s="66" t="s">
        <v>215</v>
      </c>
      <c r="I271" s="157" t="s">
        <v>40</v>
      </c>
      <c r="J271" s="157" t="s">
        <v>330</v>
      </c>
      <c r="K271" s="70" t="s">
        <v>331</v>
      </c>
      <c r="L271" s="65" t="s">
        <v>216</v>
      </c>
      <c r="M271" s="72" t="s">
        <v>332</v>
      </c>
      <c r="N271" s="4">
        <f>N264+1</f>
        <v>120</v>
      </c>
    </row>
    <row r="272" spans="1:14">
      <c r="A272" s="59" t="str">
        <f ca="1">INDIRECT("A"&amp;N271)</f>
        <v>Avvocatura Generale dello Stato</v>
      </c>
      <c r="B272" s="4" t="str">
        <f>$B$19</f>
        <v>KPI 1</v>
      </c>
      <c r="C272" s="138">
        <f t="shared" ref="C272:D275" ca="1" si="41">J272-I272</f>
        <v>0</v>
      </c>
      <c r="D272" s="138">
        <f t="shared" ca="1" si="41"/>
        <v>0</v>
      </c>
      <c r="E272" s="57">
        <f ca="1">$G$79</f>
        <v>0</v>
      </c>
      <c r="F272" s="57">
        <f ca="1">$G$80</f>
        <v>9.6</v>
      </c>
      <c r="G272" s="57">
        <f ca="1">$H$78</f>
        <v>7.4304347826086961</v>
      </c>
      <c r="H272" s="68" t="str">
        <f>$B$19</f>
        <v>KPI 1</v>
      </c>
      <c r="I272" s="158">
        <f ca="1">INDIRECT("M"&amp;N271)</f>
        <v>0</v>
      </c>
      <c r="J272" s="158">
        <f ca="1">INDIRECT("K"&amp;N271)</f>
        <v>0</v>
      </c>
      <c r="K272" s="69">
        <f ca="1">INDIRECT("I"&amp;N271)</f>
        <v>0</v>
      </c>
      <c r="L272" s="67">
        <f ca="1">$H$78</f>
        <v>7.4304347826086961</v>
      </c>
      <c r="M272" s="73">
        <f ca="1">(K272-L272)/10</f>
        <v>-0.74304347826086958</v>
      </c>
    </row>
    <row r="273" spans="1:14">
      <c r="A273" s="59"/>
      <c r="B273" s="312" t="str">
        <f>$B$20</f>
        <v>KPI 2</v>
      </c>
      <c r="C273" s="138">
        <f t="shared" ca="1" si="41"/>
        <v>0</v>
      </c>
      <c r="D273" s="138">
        <f t="shared" ca="1" si="41"/>
        <v>0</v>
      </c>
      <c r="E273" s="57">
        <f ca="1">$J$79</f>
        <v>1.1111111111111112</v>
      </c>
      <c r="F273" s="57">
        <f ca="1">$J$80</f>
        <v>10</v>
      </c>
      <c r="G273" s="57">
        <f ca="1">$K$78</f>
        <v>7.9589371980676349</v>
      </c>
      <c r="H273" s="68" t="str">
        <f>$B$20</f>
        <v>KPI 2</v>
      </c>
      <c r="I273" s="158">
        <f ca="1">INDIRECT("R"&amp;N271)</f>
        <v>0</v>
      </c>
      <c r="J273" s="158">
        <f ca="1">INDIRECT("P"&amp;N271)</f>
        <v>0</v>
      </c>
      <c r="K273" s="69">
        <f ca="1">INDIRECT("N"&amp;N271)</f>
        <v>0</v>
      </c>
      <c r="L273" s="67">
        <f ca="1">$K$78</f>
        <v>7.9589371980676349</v>
      </c>
      <c r="M273" s="73">
        <f ca="1">(K273-L273)/10</f>
        <v>-0.79589371980676349</v>
      </c>
    </row>
    <row r="274" spans="1:14">
      <c r="A274" s="59"/>
      <c r="B274" s="4" t="str">
        <f>$B$21</f>
        <v>KPI 3</v>
      </c>
      <c r="C274" s="138">
        <f t="shared" ca="1" si="41"/>
        <v>0</v>
      </c>
      <c r="D274" s="138">
        <f t="shared" ca="1" si="41"/>
        <v>0</v>
      </c>
      <c r="E274" s="57">
        <f ca="1">$M$79</f>
        <v>0.22222222222222221</v>
      </c>
      <c r="F274" s="57">
        <f ca="1">$M$80</f>
        <v>10</v>
      </c>
      <c r="G274" s="57">
        <f ca="1">$N$78</f>
        <v>6.8743961352657008</v>
      </c>
      <c r="H274" s="68" t="str">
        <f>$B$21</f>
        <v>KPI 3</v>
      </c>
      <c r="I274" s="158">
        <f ca="1">INDIRECT("W"&amp;N271)</f>
        <v>0</v>
      </c>
      <c r="J274" s="158">
        <f ca="1">INDIRECT("U"&amp;N271)</f>
        <v>0</v>
      </c>
      <c r="K274" s="69">
        <f ca="1">INDIRECT("S"&amp;N271)</f>
        <v>0</v>
      </c>
      <c r="L274" s="67">
        <f ca="1">$N$78</f>
        <v>6.8743961352657008</v>
      </c>
      <c r="M274" s="73">
        <f ca="1">(K274-L274)/10</f>
        <v>-0.68743961352657013</v>
      </c>
    </row>
    <row r="275" spans="1:14">
      <c r="A275" s="59"/>
      <c r="B275" s="4" t="str">
        <f>$B$22</f>
        <v>KPI 4</v>
      </c>
      <c r="C275" s="138">
        <f t="shared" ca="1" si="41"/>
        <v>0</v>
      </c>
      <c r="D275" s="138">
        <f t="shared" ca="1" si="41"/>
        <v>0</v>
      </c>
      <c r="E275" s="57">
        <f ca="1">$P$79</f>
        <v>0</v>
      </c>
      <c r="F275" s="57">
        <f ca="1">$P$80</f>
        <v>9.6923076923076916</v>
      </c>
      <c r="G275" s="57">
        <f ca="1">$Q$78</f>
        <v>6.1337792642140467</v>
      </c>
      <c r="H275" s="68" t="str">
        <f>$B$22</f>
        <v>KPI 4</v>
      </c>
      <c r="I275" s="158">
        <f ca="1">INDIRECT("AB"&amp;N271)</f>
        <v>0</v>
      </c>
      <c r="J275" s="158">
        <f ca="1">INDIRECT("Z"&amp;N271)</f>
        <v>0</v>
      </c>
      <c r="K275" s="69">
        <f ca="1">INDIRECT("X"&amp;N271)</f>
        <v>0</v>
      </c>
      <c r="L275" s="67">
        <f ca="1">$Q$78</f>
        <v>6.1337792642140467</v>
      </c>
      <c r="M275" s="73">
        <f ca="1">(K275-L275)/10</f>
        <v>-0.61337792642140465</v>
      </c>
    </row>
    <row r="276" spans="1:14">
      <c r="A276" s="59"/>
      <c r="J276" s="71"/>
    </row>
    <row r="277" spans="1:14">
      <c r="A277" s="59"/>
      <c r="J277" s="71"/>
    </row>
    <row r="278" spans="1:14" ht="22">
      <c r="A278" s="59"/>
      <c r="C278" s="128" t="s">
        <v>41</v>
      </c>
      <c r="D278" s="128" t="s">
        <v>42</v>
      </c>
      <c r="E278" s="44" t="s">
        <v>358</v>
      </c>
      <c r="F278" s="44" t="s">
        <v>359</v>
      </c>
      <c r="G278" s="44" t="s">
        <v>393</v>
      </c>
      <c r="H278" s="66" t="s">
        <v>215</v>
      </c>
      <c r="I278" s="157" t="s">
        <v>40</v>
      </c>
      <c r="J278" s="157" t="s">
        <v>330</v>
      </c>
      <c r="K278" s="70" t="s">
        <v>331</v>
      </c>
      <c r="L278" s="65" t="s">
        <v>216</v>
      </c>
      <c r="M278" s="72" t="s">
        <v>332</v>
      </c>
      <c r="N278" s="4">
        <f>N271+1</f>
        <v>121</v>
      </c>
    </row>
    <row r="279" spans="1:14">
      <c r="A279" s="59" t="str">
        <f ca="1">INDIRECT("A"&amp;N278)</f>
        <v xml:space="preserve">Istituto nazionale per il commercio estero                                              </v>
      </c>
      <c r="B279" s="4" t="str">
        <f>$B$19</f>
        <v>KPI 1</v>
      </c>
      <c r="C279" s="138">
        <f t="shared" ref="C279:D282" ca="1" si="42">J279-I279</f>
        <v>0</v>
      </c>
      <c r="D279" s="138">
        <f t="shared" ca="1" si="42"/>
        <v>0</v>
      </c>
      <c r="E279" s="57">
        <f ca="1">$G$79</f>
        <v>0</v>
      </c>
      <c r="F279" s="57">
        <f ca="1">$G$80</f>
        <v>9.6</v>
      </c>
      <c r="G279" s="57">
        <f ca="1">$H$78</f>
        <v>7.4304347826086961</v>
      </c>
      <c r="H279" s="68" t="str">
        <f>$B$19</f>
        <v>KPI 1</v>
      </c>
      <c r="I279" s="158">
        <f ca="1">INDIRECT("M"&amp;N278)</f>
        <v>0</v>
      </c>
      <c r="J279" s="158">
        <f ca="1">INDIRECT("K"&amp;N278)</f>
        <v>0</v>
      </c>
      <c r="K279" s="69">
        <f ca="1">INDIRECT("I"&amp;N278)</f>
        <v>0</v>
      </c>
      <c r="L279" s="67">
        <f ca="1">$H$78</f>
        <v>7.4304347826086961</v>
      </c>
      <c r="M279" s="73">
        <f ca="1">(K279-L279)/10</f>
        <v>-0.74304347826086958</v>
      </c>
    </row>
    <row r="280" spans="1:14">
      <c r="A280" s="59"/>
      <c r="B280" s="312" t="str">
        <f>$B$20</f>
        <v>KPI 2</v>
      </c>
      <c r="C280" s="138">
        <f t="shared" ca="1" si="42"/>
        <v>0</v>
      </c>
      <c r="D280" s="138">
        <f t="shared" ca="1" si="42"/>
        <v>0</v>
      </c>
      <c r="E280" s="57">
        <f ca="1">$J$79</f>
        <v>1.1111111111111112</v>
      </c>
      <c r="F280" s="57">
        <f ca="1">$J$80</f>
        <v>10</v>
      </c>
      <c r="G280" s="57">
        <f ca="1">$K$78</f>
        <v>7.9589371980676349</v>
      </c>
      <c r="H280" s="68" t="str">
        <f>$B$20</f>
        <v>KPI 2</v>
      </c>
      <c r="I280" s="158">
        <f ca="1">INDIRECT("R"&amp;N278)</f>
        <v>0</v>
      </c>
      <c r="J280" s="158">
        <f ca="1">INDIRECT("P"&amp;N278)</f>
        <v>0</v>
      </c>
      <c r="K280" s="69">
        <f ca="1">INDIRECT("N"&amp;N278)</f>
        <v>0</v>
      </c>
      <c r="L280" s="67">
        <f ca="1">$K$78</f>
        <v>7.9589371980676349</v>
      </c>
      <c r="M280" s="73">
        <f ca="1">(K280-L280)/10</f>
        <v>-0.79589371980676349</v>
      </c>
    </row>
    <row r="281" spans="1:14">
      <c r="A281" s="59"/>
      <c r="B281" s="4" t="str">
        <f>$B$21</f>
        <v>KPI 3</v>
      </c>
      <c r="C281" s="138">
        <f t="shared" ca="1" si="42"/>
        <v>0</v>
      </c>
      <c r="D281" s="138">
        <f t="shared" ca="1" si="42"/>
        <v>0</v>
      </c>
      <c r="E281" s="57">
        <f ca="1">$M$79</f>
        <v>0.22222222222222221</v>
      </c>
      <c r="F281" s="57">
        <f ca="1">$M$80</f>
        <v>10</v>
      </c>
      <c r="G281" s="57">
        <f ca="1">$N$78</f>
        <v>6.8743961352657008</v>
      </c>
      <c r="H281" s="68" t="str">
        <f>$B$21</f>
        <v>KPI 3</v>
      </c>
      <c r="I281" s="158">
        <f ca="1">INDIRECT("W"&amp;N278)</f>
        <v>0</v>
      </c>
      <c r="J281" s="158">
        <f ca="1">INDIRECT("U"&amp;N278)</f>
        <v>0</v>
      </c>
      <c r="K281" s="69">
        <f ca="1">INDIRECT("S"&amp;N278)</f>
        <v>0</v>
      </c>
      <c r="L281" s="67">
        <f ca="1">$N$78</f>
        <v>6.8743961352657008</v>
      </c>
      <c r="M281" s="73">
        <f ca="1">(K281-L281)/10</f>
        <v>-0.68743961352657013</v>
      </c>
    </row>
    <row r="282" spans="1:14">
      <c r="A282" s="59"/>
      <c r="B282" s="4" t="str">
        <f>$B$22</f>
        <v>KPI 4</v>
      </c>
      <c r="C282" s="138">
        <f t="shared" ca="1" si="42"/>
        <v>0</v>
      </c>
      <c r="D282" s="138">
        <f t="shared" ca="1" si="42"/>
        <v>0</v>
      </c>
      <c r="E282" s="57">
        <f ca="1">$P$79</f>
        <v>0</v>
      </c>
      <c r="F282" s="57">
        <f ca="1">$P$80</f>
        <v>9.6923076923076916</v>
      </c>
      <c r="G282" s="57">
        <f ca="1">$Q$78</f>
        <v>6.1337792642140467</v>
      </c>
      <c r="H282" s="68" t="str">
        <f>$B$22</f>
        <v>KPI 4</v>
      </c>
      <c r="I282" s="158">
        <f ca="1">INDIRECT("AB"&amp;N278)</f>
        <v>0</v>
      </c>
      <c r="J282" s="158">
        <f ca="1">INDIRECT("Z"&amp;N278)</f>
        <v>0</v>
      </c>
      <c r="K282" s="69">
        <f ca="1">INDIRECT("X"&amp;N278)</f>
        <v>0</v>
      </c>
      <c r="L282" s="67">
        <f ca="1">$Q$78</f>
        <v>6.1337792642140467</v>
      </c>
      <c r="M282" s="73">
        <f ca="1">(K282-L282)/10</f>
        <v>-0.61337792642140465</v>
      </c>
    </row>
    <row r="283" spans="1:14">
      <c r="A283" s="59"/>
      <c r="J283" s="71"/>
    </row>
    <row r="284" spans="1:14">
      <c r="A284" s="59"/>
      <c r="J284" s="71"/>
    </row>
    <row r="285" spans="1:14" ht="22">
      <c r="A285" s="59"/>
      <c r="C285" s="128" t="s">
        <v>41</v>
      </c>
      <c r="D285" s="128" t="s">
        <v>42</v>
      </c>
      <c r="E285" s="44" t="s">
        <v>358</v>
      </c>
      <c r="F285" s="44" t="s">
        <v>359</v>
      </c>
      <c r="G285" s="44" t="s">
        <v>393</v>
      </c>
      <c r="H285" s="66" t="s">
        <v>215</v>
      </c>
      <c r="I285" s="157" t="s">
        <v>40</v>
      </c>
      <c r="J285" s="157" t="s">
        <v>330</v>
      </c>
      <c r="K285" s="70" t="s">
        <v>331</v>
      </c>
      <c r="L285" s="65" t="s">
        <v>216</v>
      </c>
      <c r="M285" s="72" t="s">
        <v>332</v>
      </c>
      <c r="N285" s="4">
        <f>N278+1</f>
        <v>122</v>
      </c>
    </row>
    <row r="286" spans="1:14">
      <c r="A286" s="59" t="str">
        <f ca="1">INDIRECT("A"&amp;N285)</f>
        <v>Ente Nazionale per l'Aviazione Civile</v>
      </c>
      <c r="B286" s="4" t="str">
        <f>$B$19</f>
        <v>KPI 1</v>
      </c>
      <c r="C286" s="138">
        <f t="shared" ref="C286:D289" ca="1" si="43">J286-I286</f>
        <v>0</v>
      </c>
      <c r="D286" s="138">
        <f t="shared" ca="1" si="43"/>
        <v>0</v>
      </c>
      <c r="E286" s="57">
        <f ca="1">$G$79</f>
        <v>0</v>
      </c>
      <c r="F286" s="57">
        <f ca="1">$G$80</f>
        <v>9.6</v>
      </c>
      <c r="G286" s="57">
        <f ca="1">$H$78</f>
        <v>7.4304347826086961</v>
      </c>
      <c r="H286" s="68" t="str">
        <f>$B$19</f>
        <v>KPI 1</v>
      </c>
      <c r="I286" s="158">
        <f ca="1">INDIRECT("M"&amp;N285)</f>
        <v>0</v>
      </c>
      <c r="J286" s="158">
        <f ca="1">INDIRECT("K"&amp;N285)</f>
        <v>0</v>
      </c>
      <c r="K286" s="69">
        <f ca="1">INDIRECT("I"&amp;N285)</f>
        <v>0</v>
      </c>
      <c r="L286" s="67">
        <f ca="1">$H$78</f>
        <v>7.4304347826086961</v>
      </c>
      <c r="M286" s="73">
        <f ca="1">(K286-L286)/10</f>
        <v>-0.74304347826086958</v>
      </c>
    </row>
    <row r="287" spans="1:14">
      <c r="A287" s="59"/>
      <c r="B287" s="312" t="str">
        <f>$B$20</f>
        <v>KPI 2</v>
      </c>
      <c r="C287" s="138">
        <f t="shared" ca="1" si="43"/>
        <v>0</v>
      </c>
      <c r="D287" s="138">
        <f t="shared" ca="1" si="43"/>
        <v>0</v>
      </c>
      <c r="E287" s="57">
        <f ca="1">$J$79</f>
        <v>1.1111111111111112</v>
      </c>
      <c r="F287" s="57">
        <f ca="1">$J$80</f>
        <v>10</v>
      </c>
      <c r="G287" s="57">
        <f ca="1">$K$78</f>
        <v>7.9589371980676349</v>
      </c>
      <c r="H287" s="68" t="str">
        <f>$B$20</f>
        <v>KPI 2</v>
      </c>
      <c r="I287" s="158">
        <f ca="1">INDIRECT("R"&amp;N285)</f>
        <v>0</v>
      </c>
      <c r="J287" s="158">
        <f ca="1">INDIRECT("P"&amp;N285)</f>
        <v>0</v>
      </c>
      <c r="K287" s="69">
        <f ca="1">INDIRECT("N"&amp;N285)</f>
        <v>0</v>
      </c>
      <c r="L287" s="67">
        <f ca="1">$K$78</f>
        <v>7.9589371980676349</v>
      </c>
      <c r="M287" s="73">
        <f ca="1">(K287-L287)/10</f>
        <v>-0.79589371980676349</v>
      </c>
    </row>
    <row r="288" spans="1:14">
      <c r="A288" s="59"/>
      <c r="B288" s="4" t="str">
        <f>$B$21</f>
        <v>KPI 3</v>
      </c>
      <c r="C288" s="138">
        <f t="shared" ca="1" si="43"/>
        <v>0</v>
      </c>
      <c r="D288" s="138">
        <f t="shared" ca="1" si="43"/>
        <v>0</v>
      </c>
      <c r="E288" s="57">
        <f ca="1">$M$79</f>
        <v>0.22222222222222221</v>
      </c>
      <c r="F288" s="57">
        <f ca="1">$M$80</f>
        <v>10</v>
      </c>
      <c r="G288" s="57">
        <f ca="1">$N$78</f>
        <v>6.8743961352657008</v>
      </c>
      <c r="H288" s="68" t="str">
        <f>$B$21</f>
        <v>KPI 3</v>
      </c>
      <c r="I288" s="158">
        <f ca="1">INDIRECT("W"&amp;N285)</f>
        <v>0</v>
      </c>
      <c r="J288" s="158">
        <f ca="1">INDIRECT("U"&amp;N285)</f>
        <v>0</v>
      </c>
      <c r="K288" s="69">
        <f ca="1">INDIRECT("S"&amp;N285)</f>
        <v>0</v>
      </c>
      <c r="L288" s="67">
        <f ca="1">$N$78</f>
        <v>6.8743961352657008</v>
      </c>
      <c r="M288" s="73">
        <f ca="1">(K288-L288)/10</f>
        <v>-0.68743961352657013</v>
      </c>
    </row>
    <row r="289" spans="1:14" ht="12" customHeight="1">
      <c r="A289" s="59"/>
      <c r="B289" s="4" t="str">
        <f>$B$22</f>
        <v>KPI 4</v>
      </c>
      <c r="C289" s="138">
        <f t="shared" ca="1" si="43"/>
        <v>0</v>
      </c>
      <c r="D289" s="138">
        <f t="shared" ca="1" si="43"/>
        <v>0</v>
      </c>
      <c r="E289" s="57">
        <f ca="1">$P$79</f>
        <v>0</v>
      </c>
      <c r="F289" s="57">
        <f ca="1">$P$80</f>
        <v>9.6923076923076916</v>
      </c>
      <c r="G289" s="57">
        <f ca="1">$Q$78</f>
        <v>6.1337792642140467</v>
      </c>
      <c r="H289" s="68" t="str">
        <f>$B$22</f>
        <v>KPI 4</v>
      </c>
      <c r="I289" s="158">
        <f ca="1">INDIRECT("AB"&amp;N285)</f>
        <v>0</v>
      </c>
      <c r="J289" s="158">
        <f ca="1">INDIRECT("Z"&amp;N285)</f>
        <v>0</v>
      </c>
      <c r="K289" s="69">
        <f ca="1">INDIRECT("X"&amp;N285)</f>
        <v>0</v>
      </c>
      <c r="L289" s="67">
        <f ca="1">$Q$78</f>
        <v>6.1337792642140467</v>
      </c>
      <c r="M289" s="73">
        <f ca="1">(K289-L289)/10</f>
        <v>-0.61337792642140465</v>
      </c>
    </row>
    <row r="290" spans="1:14">
      <c r="A290" s="59"/>
      <c r="J290" s="71"/>
    </row>
    <row r="291" spans="1:14">
      <c r="A291" s="59"/>
      <c r="J291" s="71"/>
    </row>
    <row r="292" spans="1:14" ht="22">
      <c r="A292" s="59"/>
      <c r="C292" s="128" t="s">
        <v>41</v>
      </c>
      <c r="D292" s="128" t="s">
        <v>42</v>
      </c>
      <c r="E292" s="44" t="s">
        <v>358</v>
      </c>
      <c r="F292" s="44" t="s">
        <v>359</v>
      </c>
      <c r="G292" s="44" t="s">
        <v>393</v>
      </c>
      <c r="H292" s="66" t="s">
        <v>215</v>
      </c>
      <c r="I292" s="157" t="s">
        <v>40</v>
      </c>
      <c r="J292" s="157" t="s">
        <v>330</v>
      </c>
      <c r="K292" s="70" t="s">
        <v>331</v>
      </c>
      <c r="L292" s="65" t="s">
        <v>216</v>
      </c>
      <c r="M292" s="72" t="s">
        <v>332</v>
      </c>
      <c r="N292" s="4">
        <f>N285+1</f>
        <v>123</v>
      </c>
    </row>
    <row r="293" spans="1:14">
      <c r="A293" s="59" t="str">
        <f ca="1">INDIRECT("A"&amp;N292)</f>
        <v>Ministero dell'interno - Affari Interni e Territoriali - Elettorale</v>
      </c>
      <c r="B293" s="4" t="str">
        <f>$B$19</f>
        <v>KPI 1</v>
      </c>
      <c r="C293" s="138">
        <f t="shared" ref="C293:D296" ca="1" si="44">J293-I293</f>
        <v>0</v>
      </c>
      <c r="D293" s="138">
        <f t="shared" ca="1" si="44"/>
        <v>0</v>
      </c>
      <c r="E293" s="57">
        <f ca="1">$G$79</f>
        <v>0</v>
      </c>
      <c r="F293" s="57">
        <f ca="1">$G$80</f>
        <v>9.6</v>
      </c>
      <c r="G293" s="57">
        <f ca="1">$H$78</f>
        <v>7.4304347826086961</v>
      </c>
      <c r="H293" s="68" t="str">
        <f>$B$19</f>
        <v>KPI 1</v>
      </c>
      <c r="I293" s="158">
        <f ca="1">INDIRECT("M"&amp;N292)</f>
        <v>0</v>
      </c>
      <c r="J293" s="158">
        <f ca="1">INDIRECT("K"&amp;N292)</f>
        <v>0</v>
      </c>
      <c r="K293" s="69">
        <f ca="1">INDIRECT("I"&amp;N292)</f>
        <v>0</v>
      </c>
      <c r="L293" s="67">
        <f ca="1">$H$78</f>
        <v>7.4304347826086961</v>
      </c>
      <c r="M293" s="73">
        <f ca="1">(K293-L293)/10</f>
        <v>-0.74304347826086958</v>
      </c>
    </row>
    <row r="294" spans="1:14">
      <c r="A294" s="59"/>
      <c r="B294" s="312" t="str">
        <f>$B$20</f>
        <v>KPI 2</v>
      </c>
      <c r="C294" s="138">
        <f t="shared" ca="1" si="44"/>
        <v>0</v>
      </c>
      <c r="D294" s="138">
        <f t="shared" ca="1" si="44"/>
        <v>0</v>
      </c>
      <c r="E294" s="57">
        <f ca="1">$J$79</f>
        <v>1.1111111111111112</v>
      </c>
      <c r="F294" s="57">
        <f ca="1">$J$80</f>
        <v>10</v>
      </c>
      <c r="G294" s="57">
        <f ca="1">$K$78</f>
        <v>7.9589371980676349</v>
      </c>
      <c r="H294" s="68" t="str">
        <f>$B$20</f>
        <v>KPI 2</v>
      </c>
      <c r="I294" s="158">
        <f ca="1">INDIRECT("R"&amp;N292)</f>
        <v>0</v>
      </c>
      <c r="J294" s="158">
        <f ca="1">INDIRECT("P"&amp;N292)</f>
        <v>0</v>
      </c>
      <c r="K294" s="69">
        <f ca="1">INDIRECT("N"&amp;N292)</f>
        <v>0</v>
      </c>
      <c r="L294" s="67">
        <f ca="1">$K$78</f>
        <v>7.9589371980676349</v>
      </c>
      <c r="M294" s="73">
        <f ca="1">(K294-L294)/10</f>
        <v>-0.79589371980676349</v>
      </c>
    </row>
    <row r="295" spans="1:14">
      <c r="A295" s="59"/>
      <c r="B295" s="4" t="str">
        <f>$B$21</f>
        <v>KPI 3</v>
      </c>
      <c r="C295" s="138">
        <f t="shared" ca="1" si="44"/>
        <v>0</v>
      </c>
      <c r="D295" s="138">
        <f t="shared" ca="1" si="44"/>
        <v>0</v>
      </c>
      <c r="E295" s="57">
        <f ca="1">$M$79</f>
        <v>0.22222222222222221</v>
      </c>
      <c r="F295" s="57">
        <f ca="1">$M$80</f>
        <v>10</v>
      </c>
      <c r="G295" s="57">
        <f ca="1">$N$78</f>
        <v>6.8743961352657008</v>
      </c>
      <c r="H295" s="68" t="str">
        <f>$B$21</f>
        <v>KPI 3</v>
      </c>
      <c r="I295" s="158">
        <f ca="1">INDIRECT("W"&amp;N292)</f>
        <v>0</v>
      </c>
      <c r="J295" s="158">
        <f ca="1">INDIRECT("U"&amp;N292)</f>
        <v>0</v>
      </c>
      <c r="K295" s="69">
        <f ca="1">INDIRECT("S"&amp;N292)</f>
        <v>0</v>
      </c>
      <c r="L295" s="67">
        <f ca="1">$N$78</f>
        <v>6.8743961352657008</v>
      </c>
      <c r="M295" s="73">
        <f ca="1">(K295-L295)/10</f>
        <v>-0.68743961352657013</v>
      </c>
    </row>
    <row r="296" spans="1:14">
      <c r="A296" s="59"/>
      <c r="B296" s="4" t="str">
        <f>$B$22</f>
        <v>KPI 4</v>
      </c>
      <c r="C296" s="138">
        <f t="shared" ca="1" si="44"/>
        <v>0</v>
      </c>
      <c r="D296" s="138">
        <f t="shared" ca="1" si="44"/>
        <v>0</v>
      </c>
      <c r="E296" s="57">
        <f ca="1">$P$79</f>
        <v>0</v>
      </c>
      <c r="F296" s="57">
        <f ca="1">$P$80</f>
        <v>9.6923076923076916</v>
      </c>
      <c r="G296" s="57">
        <f ca="1">$Q$78</f>
        <v>6.1337792642140467</v>
      </c>
      <c r="H296" s="68" t="str">
        <f>$B$22</f>
        <v>KPI 4</v>
      </c>
      <c r="I296" s="158">
        <f ca="1">INDIRECT("AB"&amp;N292)</f>
        <v>0</v>
      </c>
      <c r="J296" s="158">
        <f ca="1">INDIRECT("Z"&amp;N292)</f>
        <v>0</v>
      </c>
      <c r="K296" s="69">
        <f ca="1">INDIRECT("X"&amp;N292)</f>
        <v>0</v>
      </c>
      <c r="L296" s="67">
        <f ca="1">$Q$78</f>
        <v>6.1337792642140467</v>
      </c>
      <c r="M296" s="73">
        <f ca="1">(K296-L296)/10</f>
        <v>-0.61337792642140465</v>
      </c>
    </row>
    <row r="297" spans="1:14">
      <c r="A297" s="59"/>
      <c r="J297" s="71"/>
    </row>
    <row r="298" spans="1:14">
      <c r="A298" s="59"/>
      <c r="J298" s="71"/>
    </row>
    <row r="299" spans="1:14" ht="22">
      <c r="A299" s="59"/>
      <c r="C299" s="128" t="s">
        <v>41</v>
      </c>
      <c r="D299" s="128" t="s">
        <v>42</v>
      </c>
      <c r="E299" s="44" t="s">
        <v>358</v>
      </c>
      <c r="F299" s="44" t="s">
        <v>359</v>
      </c>
      <c r="G299" s="44" t="s">
        <v>393</v>
      </c>
      <c r="H299" s="66" t="s">
        <v>215</v>
      </c>
      <c r="I299" s="157" t="s">
        <v>40</v>
      </c>
      <c r="J299" s="157" t="s">
        <v>330</v>
      </c>
      <c r="K299" s="70" t="s">
        <v>331</v>
      </c>
      <c r="L299" s="65" t="s">
        <v>216</v>
      </c>
      <c r="M299" s="72" t="s">
        <v>332</v>
      </c>
      <c r="N299" s="4">
        <f>N292+1</f>
        <v>124</v>
      </c>
    </row>
    <row r="300" spans="1:14">
      <c r="A300" s="59" t="str">
        <f ca="1">INDIRECT("A"&amp;N299)</f>
        <v>Stato Maggiore Aeronautica</v>
      </c>
      <c r="B300" s="4" t="str">
        <f>$B$19</f>
        <v>KPI 1</v>
      </c>
      <c r="C300" s="138">
        <f t="shared" ref="C300:D303" ca="1" si="45">J300-I300</f>
        <v>0</v>
      </c>
      <c r="D300" s="138">
        <f t="shared" ca="1" si="45"/>
        <v>0</v>
      </c>
      <c r="E300" s="57">
        <f ca="1">$G$79</f>
        <v>0</v>
      </c>
      <c r="F300" s="57">
        <f ca="1">$G$80</f>
        <v>9.6</v>
      </c>
      <c r="G300" s="57">
        <f ca="1">$H$78</f>
        <v>7.4304347826086961</v>
      </c>
      <c r="H300" s="68" t="str">
        <f>$B$19</f>
        <v>KPI 1</v>
      </c>
      <c r="I300" s="158">
        <f ca="1">INDIRECT("M"&amp;N299)</f>
        <v>0</v>
      </c>
      <c r="J300" s="158">
        <f ca="1">INDIRECT("K"&amp;N299)</f>
        <v>0</v>
      </c>
      <c r="K300" s="69">
        <f ca="1">INDIRECT("I"&amp;N299)</f>
        <v>0</v>
      </c>
      <c r="L300" s="67">
        <f ca="1">$H$78</f>
        <v>7.4304347826086961</v>
      </c>
      <c r="M300" s="73">
        <f ca="1">(K300-L300)/10</f>
        <v>-0.74304347826086958</v>
      </c>
    </row>
    <row r="301" spans="1:14">
      <c r="A301" s="59"/>
      <c r="B301" s="312" t="str">
        <f>$B$20</f>
        <v>KPI 2</v>
      </c>
      <c r="C301" s="138">
        <f t="shared" ca="1" si="45"/>
        <v>0</v>
      </c>
      <c r="D301" s="138">
        <f t="shared" ca="1" si="45"/>
        <v>0</v>
      </c>
      <c r="E301" s="57">
        <f ca="1">$J$79</f>
        <v>1.1111111111111112</v>
      </c>
      <c r="F301" s="57">
        <f ca="1">$J$80</f>
        <v>10</v>
      </c>
      <c r="G301" s="57">
        <f ca="1">$K$78</f>
        <v>7.9589371980676349</v>
      </c>
      <c r="H301" s="68" t="str">
        <f>$B$20</f>
        <v>KPI 2</v>
      </c>
      <c r="I301" s="158">
        <f ca="1">INDIRECT("R"&amp;N299)</f>
        <v>0</v>
      </c>
      <c r="J301" s="158">
        <f ca="1">INDIRECT("P"&amp;N299)</f>
        <v>0</v>
      </c>
      <c r="K301" s="69">
        <f ca="1">INDIRECT("N"&amp;N299)</f>
        <v>0</v>
      </c>
      <c r="L301" s="67">
        <f ca="1">$K$78</f>
        <v>7.9589371980676349</v>
      </c>
      <c r="M301" s="73">
        <f ca="1">(K301-L301)/10</f>
        <v>-0.79589371980676349</v>
      </c>
    </row>
    <row r="302" spans="1:14">
      <c r="A302" s="59"/>
      <c r="B302" s="4" t="str">
        <f>$B$21</f>
        <v>KPI 3</v>
      </c>
      <c r="C302" s="138">
        <f t="shared" ca="1" si="45"/>
        <v>0</v>
      </c>
      <c r="D302" s="138">
        <f t="shared" ca="1" si="45"/>
        <v>0</v>
      </c>
      <c r="E302" s="57">
        <f ca="1">$M$79</f>
        <v>0.22222222222222221</v>
      </c>
      <c r="F302" s="57">
        <f ca="1">$M$80</f>
        <v>10</v>
      </c>
      <c r="G302" s="57">
        <f ca="1">$N$78</f>
        <v>6.8743961352657008</v>
      </c>
      <c r="H302" s="68" t="str">
        <f>$B$21</f>
        <v>KPI 3</v>
      </c>
      <c r="I302" s="158">
        <f ca="1">INDIRECT("W"&amp;N299)</f>
        <v>0</v>
      </c>
      <c r="J302" s="158">
        <f ca="1">INDIRECT("U"&amp;N299)</f>
        <v>0</v>
      </c>
      <c r="K302" s="69">
        <f ca="1">INDIRECT("S"&amp;N299)</f>
        <v>0</v>
      </c>
      <c r="L302" s="67">
        <f ca="1">$N$78</f>
        <v>6.8743961352657008</v>
      </c>
      <c r="M302" s="73">
        <f ca="1">(K302-L302)/10</f>
        <v>-0.68743961352657013</v>
      </c>
    </row>
    <row r="303" spans="1:14">
      <c r="A303" s="59"/>
      <c r="B303" s="4" t="str">
        <f>$B$22</f>
        <v>KPI 4</v>
      </c>
      <c r="C303" s="138">
        <f t="shared" ca="1" si="45"/>
        <v>0</v>
      </c>
      <c r="D303" s="138">
        <f t="shared" ca="1" si="45"/>
        <v>0</v>
      </c>
      <c r="E303" s="57">
        <f ca="1">$P$79</f>
        <v>0</v>
      </c>
      <c r="F303" s="57">
        <f ca="1">$P$80</f>
        <v>9.6923076923076916</v>
      </c>
      <c r="G303" s="57">
        <f ca="1">$Q$78</f>
        <v>6.1337792642140467</v>
      </c>
      <c r="H303" s="68" t="str">
        <f>$B$22</f>
        <v>KPI 4</v>
      </c>
      <c r="I303" s="158">
        <f ca="1">INDIRECT("AB"&amp;N299)</f>
        <v>0</v>
      </c>
      <c r="J303" s="158">
        <f ca="1">INDIRECT("Z"&amp;N299)</f>
        <v>0</v>
      </c>
      <c r="K303" s="69">
        <f ca="1">INDIRECT("X"&amp;N299)</f>
        <v>0</v>
      </c>
      <c r="L303" s="67">
        <f ca="1">$Q$78</f>
        <v>6.1337792642140467</v>
      </c>
      <c r="M303" s="73">
        <f ca="1">(K303-L303)/10</f>
        <v>-0.61337792642140465</v>
      </c>
    </row>
    <row r="304" spans="1:14">
      <c r="A304" s="59"/>
      <c r="J304" s="71"/>
    </row>
    <row r="305" spans="1:14">
      <c r="A305" s="59"/>
      <c r="J305" s="71"/>
    </row>
    <row r="306" spans="1:14" ht="22">
      <c r="A306" s="59"/>
      <c r="C306" s="128" t="s">
        <v>41</v>
      </c>
      <c r="D306" s="128" t="s">
        <v>42</v>
      </c>
      <c r="E306" s="44" t="s">
        <v>358</v>
      </c>
      <c r="F306" s="44" t="s">
        <v>359</v>
      </c>
      <c r="G306" s="44" t="s">
        <v>393</v>
      </c>
      <c r="H306" s="66" t="s">
        <v>215</v>
      </c>
      <c r="I306" s="157" t="s">
        <v>40</v>
      </c>
      <c r="J306" s="157" t="s">
        <v>330</v>
      </c>
      <c r="K306" s="70" t="s">
        <v>331</v>
      </c>
      <c r="L306" s="65" t="s">
        <v>216</v>
      </c>
      <c r="M306" s="72" t="s">
        <v>332</v>
      </c>
      <c r="N306" s="4">
        <f>N299+1</f>
        <v>125</v>
      </c>
    </row>
    <row r="307" spans="1:14">
      <c r="A307" s="59" t="str">
        <f ca="1">INDIRECT("A"&amp;N306)</f>
        <v>Ministero dell'interno - P.S. CED PS</v>
      </c>
      <c r="B307" s="4" t="str">
        <f>$B$19</f>
        <v>KPI 1</v>
      </c>
      <c r="C307" s="138">
        <f t="shared" ref="C307:D310" ca="1" si="46">J307-I307</f>
        <v>0</v>
      </c>
      <c r="D307" s="138">
        <f t="shared" ca="1" si="46"/>
        <v>0</v>
      </c>
      <c r="E307" s="57">
        <f ca="1">$G$79</f>
        <v>0</v>
      </c>
      <c r="F307" s="57">
        <f ca="1">$G$80</f>
        <v>9.6</v>
      </c>
      <c r="G307" s="57">
        <f ca="1">$H$78</f>
        <v>7.4304347826086961</v>
      </c>
      <c r="H307" s="68" t="str">
        <f>$B$19</f>
        <v>KPI 1</v>
      </c>
      <c r="I307" s="158">
        <f ca="1">INDIRECT("M"&amp;N306)</f>
        <v>0</v>
      </c>
      <c r="J307" s="158">
        <f ca="1">INDIRECT("K"&amp;N306)</f>
        <v>0</v>
      </c>
      <c r="K307" s="69">
        <f ca="1">INDIRECT("I"&amp;N306)</f>
        <v>0</v>
      </c>
      <c r="L307" s="67">
        <f ca="1">$H$78</f>
        <v>7.4304347826086961</v>
      </c>
      <c r="M307" s="73">
        <f ca="1">(K307-L307)/10</f>
        <v>-0.74304347826086958</v>
      </c>
    </row>
    <row r="308" spans="1:14">
      <c r="A308" s="59"/>
      <c r="B308" s="312" t="str">
        <f>$B$20</f>
        <v>KPI 2</v>
      </c>
      <c r="C308" s="138">
        <f t="shared" ca="1" si="46"/>
        <v>0</v>
      </c>
      <c r="D308" s="138">
        <f t="shared" ca="1" si="46"/>
        <v>0</v>
      </c>
      <c r="E308" s="57">
        <f ca="1">$J$79</f>
        <v>1.1111111111111112</v>
      </c>
      <c r="F308" s="57">
        <f ca="1">$J$80</f>
        <v>10</v>
      </c>
      <c r="G308" s="57">
        <f ca="1">$K$78</f>
        <v>7.9589371980676349</v>
      </c>
      <c r="H308" s="68" t="str">
        <f>$B$20</f>
        <v>KPI 2</v>
      </c>
      <c r="I308" s="158">
        <f ca="1">INDIRECT("R"&amp;N306)</f>
        <v>0</v>
      </c>
      <c r="J308" s="158">
        <f ca="1">INDIRECT("P"&amp;N306)</f>
        <v>0</v>
      </c>
      <c r="K308" s="69">
        <f ca="1">INDIRECT("N"&amp;N306)</f>
        <v>0</v>
      </c>
      <c r="L308" s="67">
        <f ca="1">$K$78</f>
        <v>7.9589371980676349</v>
      </c>
      <c r="M308" s="73">
        <f ca="1">(K308-L308)/10</f>
        <v>-0.79589371980676349</v>
      </c>
    </row>
    <row r="309" spans="1:14">
      <c r="A309" s="59"/>
      <c r="B309" s="4" t="str">
        <f>$B$21</f>
        <v>KPI 3</v>
      </c>
      <c r="C309" s="138">
        <f t="shared" ca="1" si="46"/>
        <v>0</v>
      </c>
      <c r="D309" s="138">
        <f t="shared" ca="1" si="46"/>
        <v>0</v>
      </c>
      <c r="E309" s="57">
        <f ca="1">$M$79</f>
        <v>0.22222222222222221</v>
      </c>
      <c r="F309" s="57">
        <f ca="1">$M$80</f>
        <v>10</v>
      </c>
      <c r="G309" s="57">
        <f ca="1">$N$78</f>
        <v>6.8743961352657008</v>
      </c>
      <c r="H309" s="68" t="str">
        <f>$B$21</f>
        <v>KPI 3</v>
      </c>
      <c r="I309" s="158">
        <f ca="1">INDIRECT("W"&amp;N306)</f>
        <v>0</v>
      </c>
      <c r="J309" s="158">
        <f ca="1">INDIRECT("U"&amp;N306)</f>
        <v>0</v>
      </c>
      <c r="K309" s="69">
        <f ca="1">INDIRECT("S"&amp;N306)</f>
        <v>0</v>
      </c>
      <c r="L309" s="67">
        <f ca="1">$N$78</f>
        <v>6.8743961352657008</v>
      </c>
      <c r="M309" s="73">
        <f ca="1">(K309-L309)/10</f>
        <v>-0.68743961352657013</v>
      </c>
    </row>
    <row r="310" spans="1:14">
      <c r="A310" s="59"/>
      <c r="B310" s="4" t="str">
        <f>$B$22</f>
        <v>KPI 4</v>
      </c>
      <c r="C310" s="138">
        <f t="shared" ca="1" si="46"/>
        <v>0</v>
      </c>
      <c r="D310" s="138">
        <f t="shared" ca="1" si="46"/>
        <v>0</v>
      </c>
      <c r="E310" s="57">
        <f ca="1">$P$79</f>
        <v>0</v>
      </c>
      <c r="F310" s="57">
        <f ca="1">$P$80</f>
        <v>9.6923076923076916</v>
      </c>
      <c r="G310" s="57">
        <f ca="1">$Q$78</f>
        <v>6.1337792642140467</v>
      </c>
      <c r="H310" s="68" t="str">
        <f>$B$22</f>
        <v>KPI 4</v>
      </c>
      <c r="I310" s="158">
        <f ca="1">INDIRECT("AB"&amp;N306)</f>
        <v>0</v>
      </c>
      <c r="J310" s="158">
        <f ca="1">INDIRECT("Z"&amp;N306)</f>
        <v>0</v>
      </c>
      <c r="K310" s="69">
        <f ca="1">INDIRECT("X"&amp;N306)</f>
        <v>0</v>
      </c>
      <c r="L310" s="67">
        <f ca="1">$Q$78</f>
        <v>6.1337792642140467</v>
      </c>
      <c r="M310" s="73">
        <f ca="1">(K310-L310)/10</f>
        <v>-0.61337792642140465</v>
      </c>
    </row>
    <row r="311" spans="1:14">
      <c r="A311" s="59"/>
      <c r="J311" s="71"/>
    </row>
    <row r="312" spans="1:14">
      <c r="A312" s="59"/>
      <c r="J312" s="71"/>
    </row>
    <row r="313" spans="1:14" ht="22">
      <c r="A313" s="59"/>
      <c r="C313" s="128" t="s">
        <v>41</v>
      </c>
      <c r="D313" s="128" t="s">
        <v>42</v>
      </c>
      <c r="E313" s="44" t="s">
        <v>358</v>
      </c>
      <c r="F313" s="44" t="s">
        <v>359</v>
      </c>
      <c r="G313" s="44" t="s">
        <v>393</v>
      </c>
      <c r="H313" s="66" t="s">
        <v>215</v>
      </c>
      <c r="I313" s="157" t="s">
        <v>40</v>
      </c>
      <c r="J313" s="157" t="s">
        <v>330</v>
      </c>
      <c r="K313" s="70" t="s">
        <v>331</v>
      </c>
      <c r="L313" s="65" t="s">
        <v>216</v>
      </c>
      <c r="M313" s="72" t="s">
        <v>332</v>
      </c>
      <c r="N313" s="4">
        <f>N306+1</f>
        <v>126</v>
      </c>
    </row>
    <row r="314" spans="1:14">
      <c r="A314" s="59" t="str">
        <f ca="1">INDIRECT("A"&amp;N313)</f>
        <v>Ministero dell'interno - Vigili del  Fuoco</v>
      </c>
      <c r="B314" s="4" t="str">
        <f>$B$19</f>
        <v>KPI 1</v>
      </c>
      <c r="C314" s="138">
        <f t="shared" ref="C314:D317" ca="1" si="47">J314-I314</f>
        <v>0</v>
      </c>
      <c r="D314" s="138">
        <f t="shared" ca="1" si="47"/>
        <v>0</v>
      </c>
      <c r="E314" s="57">
        <f ca="1">$G$79</f>
        <v>0</v>
      </c>
      <c r="F314" s="57">
        <f ca="1">$G$80</f>
        <v>9.6</v>
      </c>
      <c r="G314" s="57">
        <f ca="1">$H$78</f>
        <v>7.4304347826086961</v>
      </c>
      <c r="H314" s="68" t="str">
        <f>$B$19</f>
        <v>KPI 1</v>
      </c>
      <c r="I314" s="158">
        <f ca="1">INDIRECT("M"&amp;N313)</f>
        <v>0</v>
      </c>
      <c r="J314" s="158">
        <f ca="1">INDIRECT("K"&amp;N313)</f>
        <v>0</v>
      </c>
      <c r="K314" s="69">
        <f ca="1">INDIRECT("I"&amp;N313)</f>
        <v>0</v>
      </c>
      <c r="L314" s="67">
        <f ca="1">$H$78</f>
        <v>7.4304347826086961</v>
      </c>
      <c r="M314" s="73">
        <f ca="1">(K314-L314)/10</f>
        <v>-0.74304347826086958</v>
      </c>
    </row>
    <row r="315" spans="1:14">
      <c r="A315" s="59"/>
      <c r="B315" s="312" t="str">
        <f>$B$20</f>
        <v>KPI 2</v>
      </c>
      <c r="C315" s="138">
        <f t="shared" ca="1" si="47"/>
        <v>0</v>
      </c>
      <c r="D315" s="138">
        <f t="shared" ca="1" si="47"/>
        <v>0</v>
      </c>
      <c r="E315" s="57">
        <f ca="1">$J$79</f>
        <v>1.1111111111111112</v>
      </c>
      <c r="F315" s="57">
        <f ca="1">$J$80</f>
        <v>10</v>
      </c>
      <c r="G315" s="57">
        <f ca="1">$K$78</f>
        <v>7.9589371980676349</v>
      </c>
      <c r="H315" s="68" t="str">
        <f>$B$20</f>
        <v>KPI 2</v>
      </c>
      <c r="I315" s="158">
        <f ca="1">INDIRECT("R"&amp;N313)</f>
        <v>0</v>
      </c>
      <c r="J315" s="158">
        <f ca="1">INDIRECT("P"&amp;N313)</f>
        <v>0</v>
      </c>
      <c r="K315" s="69">
        <f ca="1">INDIRECT("N"&amp;N313)</f>
        <v>0</v>
      </c>
      <c r="L315" s="67">
        <f ca="1">$K$78</f>
        <v>7.9589371980676349</v>
      </c>
      <c r="M315" s="73">
        <f ca="1">(K315-L315)/10</f>
        <v>-0.79589371980676349</v>
      </c>
    </row>
    <row r="316" spans="1:14">
      <c r="A316" s="59"/>
      <c r="B316" s="4" t="str">
        <f>$B$21</f>
        <v>KPI 3</v>
      </c>
      <c r="C316" s="138">
        <f t="shared" ca="1" si="47"/>
        <v>0</v>
      </c>
      <c r="D316" s="138">
        <f t="shared" ca="1" si="47"/>
        <v>0</v>
      </c>
      <c r="E316" s="57">
        <f ca="1">$M$79</f>
        <v>0.22222222222222221</v>
      </c>
      <c r="F316" s="57">
        <f ca="1">$M$80</f>
        <v>10</v>
      </c>
      <c r="G316" s="57">
        <f ca="1">$N$78</f>
        <v>6.8743961352657008</v>
      </c>
      <c r="H316" s="68" t="str">
        <f>$B$21</f>
        <v>KPI 3</v>
      </c>
      <c r="I316" s="158">
        <f ca="1">INDIRECT("W"&amp;N313)</f>
        <v>0</v>
      </c>
      <c r="J316" s="158">
        <f ca="1">INDIRECT("U"&amp;N313)</f>
        <v>0</v>
      </c>
      <c r="K316" s="69">
        <f ca="1">INDIRECT("S"&amp;N313)</f>
        <v>0</v>
      </c>
      <c r="L316" s="67">
        <f ca="1">$N$78</f>
        <v>6.8743961352657008</v>
      </c>
      <c r="M316" s="73">
        <f ca="1">(K316-L316)/10</f>
        <v>-0.68743961352657013</v>
      </c>
    </row>
    <row r="317" spans="1:14">
      <c r="A317" s="59"/>
      <c r="B317" s="4" t="str">
        <f>$B$22</f>
        <v>KPI 4</v>
      </c>
      <c r="C317" s="138">
        <f t="shared" ca="1" si="47"/>
        <v>0</v>
      </c>
      <c r="D317" s="138">
        <f t="shared" ca="1" si="47"/>
        <v>0</v>
      </c>
      <c r="E317" s="57">
        <f ca="1">$P$79</f>
        <v>0</v>
      </c>
      <c r="F317" s="57">
        <f ca="1">$P$80</f>
        <v>9.6923076923076916</v>
      </c>
      <c r="G317" s="57">
        <f ca="1">$Q$78</f>
        <v>6.1337792642140467</v>
      </c>
      <c r="H317" s="68" t="str">
        <f>$B$22</f>
        <v>KPI 4</v>
      </c>
      <c r="I317" s="158">
        <f ca="1">INDIRECT("AB"&amp;N313)</f>
        <v>0</v>
      </c>
      <c r="J317" s="158">
        <f ca="1">INDIRECT("Z"&amp;N313)</f>
        <v>0</v>
      </c>
      <c r="K317" s="69">
        <f ca="1">INDIRECT("X"&amp;N313)</f>
        <v>0</v>
      </c>
      <c r="L317" s="67">
        <f ca="1">$Q$78</f>
        <v>6.1337792642140467</v>
      </c>
      <c r="M317" s="73">
        <f ca="1">(K317-L317)/10</f>
        <v>-0.61337792642140465</v>
      </c>
    </row>
    <row r="318" spans="1:14">
      <c r="A318" s="59"/>
      <c r="J318" s="71"/>
    </row>
    <row r="319" spans="1:14">
      <c r="A319" s="59"/>
      <c r="J319" s="71"/>
    </row>
    <row r="320" spans="1:14" ht="22">
      <c r="A320" s="59"/>
      <c r="C320" s="128" t="s">
        <v>41</v>
      </c>
      <c r="D320" s="128" t="s">
        <v>42</v>
      </c>
      <c r="E320" s="44" t="s">
        <v>358</v>
      </c>
      <c r="F320" s="44" t="s">
        <v>359</v>
      </c>
      <c r="G320" s="44" t="s">
        <v>393</v>
      </c>
      <c r="H320" s="66" t="s">
        <v>215</v>
      </c>
      <c r="I320" s="157" t="s">
        <v>40</v>
      </c>
      <c r="J320" s="157" t="s">
        <v>330</v>
      </c>
      <c r="K320" s="70" t="s">
        <v>331</v>
      </c>
      <c r="L320" s="65" t="s">
        <v>216</v>
      </c>
      <c r="M320" s="72" t="s">
        <v>332</v>
      </c>
      <c r="N320" s="4">
        <f>N313+1</f>
        <v>127</v>
      </c>
    </row>
    <row r="321" spans="1:14">
      <c r="A321" s="59" t="str">
        <f ca="1">INDIRECT("A"&amp;N320)</f>
        <v>Ministero dell'interno - Libertà Civili e Immigrazione</v>
      </c>
      <c r="B321" s="4" t="str">
        <f>$B$19</f>
        <v>KPI 1</v>
      </c>
      <c r="C321" s="138">
        <f t="shared" ref="C321:D324" ca="1" si="48">J321-I321</f>
        <v>0</v>
      </c>
      <c r="D321" s="138">
        <f t="shared" ca="1" si="48"/>
        <v>0</v>
      </c>
      <c r="E321" s="57">
        <f ca="1">$G$79</f>
        <v>0</v>
      </c>
      <c r="F321" s="57">
        <f ca="1">$G$80</f>
        <v>9.6</v>
      </c>
      <c r="G321" s="57">
        <f ca="1">$H$78</f>
        <v>7.4304347826086961</v>
      </c>
      <c r="H321" s="68" t="str">
        <f>$B$19</f>
        <v>KPI 1</v>
      </c>
      <c r="I321" s="158">
        <f ca="1">INDIRECT("M"&amp;N320)</f>
        <v>0</v>
      </c>
      <c r="J321" s="158">
        <f ca="1">INDIRECT("K"&amp;N320)</f>
        <v>0</v>
      </c>
      <c r="K321" s="69">
        <f ca="1">INDIRECT("I"&amp;N320)</f>
        <v>0</v>
      </c>
      <c r="L321" s="67">
        <f ca="1">$H$78</f>
        <v>7.4304347826086961</v>
      </c>
      <c r="M321" s="73">
        <f ca="1">(K321-L321)/10</f>
        <v>-0.74304347826086958</v>
      </c>
    </row>
    <row r="322" spans="1:14">
      <c r="A322" s="59"/>
      <c r="B322" s="312" t="str">
        <f>$B$20</f>
        <v>KPI 2</v>
      </c>
      <c r="C322" s="138">
        <f t="shared" ca="1" si="48"/>
        <v>0</v>
      </c>
      <c r="D322" s="138">
        <f t="shared" ca="1" si="48"/>
        <v>0</v>
      </c>
      <c r="E322" s="57">
        <f ca="1">$J$79</f>
        <v>1.1111111111111112</v>
      </c>
      <c r="F322" s="57">
        <f ca="1">$J$80</f>
        <v>10</v>
      </c>
      <c r="G322" s="57">
        <f ca="1">$K$78</f>
        <v>7.9589371980676349</v>
      </c>
      <c r="H322" s="68" t="str">
        <f>$B$20</f>
        <v>KPI 2</v>
      </c>
      <c r="I322" s="158">
        <f ca="1">INDIRECT("R"&amp;N320)</f>
        <v>0</v>
      </c>
      <c r="J322" s="158">
        <f ca="1">INDIRECT("P"&amp;N320)</f>
        <v>0</v>
      </c>
      <c r="K322" s="69">
        <f ca="1">INDIRECT("N"&amp;N320)</f>
        <v>0</v>
      </c>
      <c r="L322" s="67">
        <f ca="1">$K$78</f>
        <v>7.9589371980676349</v>
      </c>
      <c r="M322" s="73">
        <f ca="1">(K322-L322)/10</f>
        <v>-0.79589371980676349</v>
      </c>
    </row>
    <row r="323" spans="1:14">
      <c r="A323" s="59"/>
      <c r="B323" s="4" t="str">
        <f>$B$21</f>
        <v>KPI 3</v>
      </c>
      <c r="C323" s="138">
        <f t="shared" ca="1" si="48"/>
        <v>0</v>
      </c>
      <c r="D323" s="138">
        <f t="shared" ca="1" si="48"/>
        <v>0</v>
      </c>
      <c r="E323" s="57">
        <f ca="1">$M$79</f>
        <v>0.22222222222222221</v>
      </c>
      <c r="F323" s="57">
        <f ca="1">$M$80</f>
        <v>10</v>
      </c>
      <c r="G323" s="57">
        <f ca="1">$N$78</f>
        <v>6.8743961352657008</v>
      </c>
      <c r="H323" s="68" t="str">
        <f>$B$21</f>
        <v>KPI 3</v>
      </c>
      <c r="I323" s="158">
        <f ca="1">INDIRECT("W"&amp;N320)</f>
        <v>0</v>
      </c>
      <c r="J323" s="158">
        <f ca="1">INDIRECT("U"&amp;N320)</f>
        <v>0</v>
      </c>
      <c r="K323" s="69">
        <f ca="1">INDIRECT("S"&amp;N320)</f>
        <v>0</v>
      </c>
      <c r="L323" s="67">
        <f ca="1">$N$78</f>
        <v>6.8743961352657008</v>
      </c>
      <c r="M323" s="73">
        <f ca="1">(K323-L323)/10</f>
        <v>-0.68743961352657013</v>
      </c>
    </row>
    <row r="324" spans="1:14">
      <c r="A324" s="59"/>
      <c r="B324" s="4" t="str">
        <f>$B$22</f>
        <v>KPI 4</v>
      </c>
      <c r="C324" s="138">
        <f t="shared" ca="1" si="48"/>
        <v>0</v>
      </c>
      <c r="D324" s="138">
        <f t="shared" ca="1" si="48"/>
        <v>0</v>
      </c>
      <c r="E324" s="57">
        <f ca="1">$P$79</f>
        <v>0</v>
      </c>
      <c r="F324" s="57">
        <f ca="1">$P$80</f>
        <v>9.6923076923076916</v>
      </c>
      <c r="G324" s="57">
        <f ca="1">$Q$78</f>
        <v>6.1337792642140467</v>
      </c>
      <c r="H324" s="68" t="str">
        <f>$B$22</f>
        <v>KPI 4</v>
      </c>
      <c r="I324" s="158">
        <f ca="1">INDIRECT("AB"&amp;N320)</f>
        <v>0</v>
      </c>
      <c r="J324" s="158">
        <f ca="1">INDIRECT("Z"&amp;N320)</f>
        <v>0</v>
      </c>
      <c r="K324" s="69">
        <f ca="1">INDIRECT("X"&amp;N320)</f>
        <v>0</v>
      </c>
      <c r="L324" s="67">
        <f ca="1">$Q$78</f>
        <v>6.1337792642140467</v>
      </c>
      <c r="M324" s="73">
        <f ca="1">(K324-L324)/10</f>
        <v>-0.61337792642140465</v>
      </c>
    </row>
    <row r="325" spans="1:14">
      <c r="A325" s="59"/>
      <c r="J325" s="71"/>
    </row>
    <row r="326" spans="1:14">
      <c r="A326" s="59"/>
      <c r="J326" s="71"/>
    </row>
    <row r="327" spans="1:14" ht="22">
      <c r="A327" s="59"/>
      <c r="C327" s="128" t="s">
        <v>41</v>
      </c>
      <c r="D327" s="128" t="s">
        <v>42</v>
      </c>
      <c r="E327" s="44" t="s">
        <v>358</v>
      </c>
      <c r="F327" s="44" t="s">
        <v>359</v>
      </c>
      <c r="G327" s="44" t="s">
        <v>393</v>
      </c>
      <c r="H327" s="66" t="s">
        <v>215</v>
      </c>
      <c r="I327" s="157" t="s">
        <v>40</v>
      </c>
      <c r="J327" s="157" t="s">
        <v>330</v>
      </c>
      <c r="K327" s="70" t="s">
        <v>331</v>
      </c>
      <c r="L327" s="65" t="s">
        <v>216</v>
      </c>
      <c r="M327" s="72" t="s">
        <v>332</v>
      </c>
      <c r="N327" s="4">
        <f>N320+1</f>
        <v>128</v>
      </c>
    </row>
    <row r="328" spans="1:14">
      <c r="A328" s="59" t="str">
        <f ca="1">INDIRECT("A"&amp;N327)</f>
        <v>Stato Maggiore Marina</v>
      </c>
      <c r="B328" s="4" t="str">
        <f>$B$19</f>
        <v>KPI 1</v>
      </c>
      <c r="C328" s="138">
        <f t="shared" ref="C328:D331" ca="1" si="49">J328-I328</f>
        <v>0</v>
      </c>
      <c r="D328" s="138">
        <f t="shared" ca="1" si="49"/>
        <v>0</v>
      </c>
      <c r="E328" s="57">
        <f ca="1">$G$79</f>
        <v>0</v>
      </c>
      <c r="F328" s="57">
        <f ca="1">$G$80</f>
        <v>9.6</v>
      </c>
      <c r="G328" s="57">
        <f ca="1">$H$78</f>
        <v>7.4304347826086961</v>
      </c>
      <c r="H328" s="68" t="str">
        <f>$B$19</f>
        <v>KPI 1</v>
      </c>
      <c r="I328" s="158">
        <f ca="1">INDIRECT("M"&amp;N327)</f>
        <v>0</v>
      </c>
      <c r="J328" s="158">
        <f ca="1">INDIRECT("K"&amp;N327)</f>
        <v>0</v>
      </c>
      <c r="K328" s="69">
        <f ca="1">INDIRECT("I"&amp;N327)</f>
        <v>0</v>
      </c>
      <c r="L328" s="67">
        <f ca="1">$H$78</f>
        <v>7.4304347826086961</v>
      </c>
      <c r="M328" s="73">
        <f ca="1">(K328-L328)/10</f>
        <v>-0.74304347826086958</v>
      </c>
    </row>
    <row r="329" spans="1:14">
      <c r="A329" s="59"/>
      <c r="B329" s="312" t="str">
        <f>$B$20</f>
        <v>KPI 2</v>
      </c>
      <c r="C329" s="138">
        <f t="shared" ca="1" si="49"/>
        <v>0</v>
      </c>
      <c r="D329" s="138">
        <f t="shared" ca="1" si="49"/>
        <v>0</v>
      </c>
      <c r="E329" s="57">
        <f ca="1">$J$79</f>
        <v>1.1111111111111112</v>
      </c>
      <c r="F329" s="57">
        <f ca="1">$J$80</f>
        <v>10</v>
      </c>
      <c r="G329" s="57">
        <f ca="1">$K$78</f>
        <v>7.9589371980676349</v>
      </c>
      <c r="H329" s="68" t="str">
        <f>$B$20</f>
        <v>KPI 2</v>
      </c>
      <c r="I329" s="158">
        <f ca="1">INDIRECT("R"&amp;N327)</f>
        <v>0</v>
      </c>
      <c r="J329" s="158">
        <f ca="1">INDIRECT("P"&amp;N327)</f>
        <v>0</v>
      </c>
      <c r="K329" s="69">
        <f ca="1">INDIRECT("N"&amp;N327)</f>
        <v>0</v>
      </c>
      <c r="L329" s="67">
        <f ca="1">$K$78</f>
        <v>7.9589371980676349</v>
      </c>
      <c r="M329" s="73">
        <f ca="1">(K329-L329)/10</f>
        <v>-0.79589371980676349</v>
      </c>
    </row>
    <row r="330" spans="1:14">
      <c r="A330" s="59"/>
      <c r="B330" s="4" t="str">
        <f>$B$21</f>
        <v>KPI 3</v>
      </c>
      <c r="C330" s="138">
        <f t="shared" ca="1" si="49"/>
        <v>0</v>
      </c>
      <c r="D330" s="138">
        <f t="shared" ca="1" si="49"/>
        <v>0</v>
      </c>
      <c r="E330" s="57">
        <f ca="1">$M$79</f>
        <v>0.22222222222222221</v>
      </c>
      <c r="F330" s="57">
        <f ca="1">$M$80</f>
        <v>10</v>
      </c>
      <c r="G330" s="57">
        <f ca="1">$N$78</f>
        <v>6.8743961352657008</v>
      </c>
      <c r="H330" s="68" t="str">
        <f>$B$21</f>
        <v>KPI 3</v>
      </c>
      <c r="I330" s="158">
        <f ca="1">INDIRECT("W"&amp;N327)</f>
        <v>0</v>
      </c>
      <c r="J330" s="158">
        <f ca="1">INDIRECT("U"&amp;N327)</f>
        <v>0</v>
      </c>
      <c r="K330" s="69">
        <f ca="1">INDIRECT("S"&amp;N327)</f>
        <v>0</v>
      </c>
      <c r="L330" s="67">
        <f ca="1">$N$78</f>
        <v>6.8743961352657008</v>
      </c>
      <c r="M330" s="73">
        <f ca="1">(K330-L330)/10</f>
        <v>-0.68743961352657013</v>
      </c>
    </row>
    <row r="331" spans="1:14">
      <c r="A331" s="59"/>
      <c r="B331" s="4" t="str">
        <f>$B$22</f>
        <v>KPI 4</v>
      </c>
      <c r="C331" s="138">
        <f t="shared" ca="1" si="49"/>
        <v>0</v>
      </c>
      <c r="D331" s="138">
        <f t="shared" ca="1" si="49"/>
        <v>0</v>
      </c>
      <c r="E331" s="57">
        <f ca="1">$P$79</f>
        <v>0</v>
      </c>
      <c r="F331" s="57">
        <f ca="1">$P$80</f>
        <v>9.6923076923076916</v>
      </c>
      <c r="G331" s="57">
        <f ca="1">$Q$78</f>
        <v>6.1337792642140467</v>
      </c>
      <c r="H331" s="68" t="str">
        <f>$B$22</f>
        <v>KPI 4</v>
      </c>
      <c r="I331" s="158">
        <f ca="1">INDIRECT("AB"&amp;N327)</f>
        <v>0</v>
      </c>
      <c r="J331" s="158">
        <f ca="1">INDIRECT("Z"&amp;N327)</f>
        <v>0</v>
      </c>
      <c r="K331" s="69">
        <f ca="1">INDIRECT("X"&amp;N327)</f>
        <v>0</v>
      </c>
      <c r="L331" s="67">
        <f ca="1">$Q$78</f>
        <v>6.1337792642140467</v>
      </c>
      <c r="M331" s="73">
        <f ca="1">(K331-L331)/10</f>
        <v>-0.61337792642140465</v>
      </c>
    </row>
    <row r="332" spans="1:14">
      <c r="A332" s="59"/>
      <c r="J332" s="71"/>
    </row>
    <row r="333" spans="1:14">
      <c r="A333" s="59"/>
      <c r="J333" s="71"/>
    </row>
    <row r="334" spans="1:14" ht="22">
      <c r="A334" s="59"/>
      <c r="C334" s="128" t="s">
        <v>41</v>
      </c>
      <c r="D334" s="128" t="s">
        <v>42</v>
      </c>
      <c r="E334" s="44" t="s">
        <v>358</v>
      </c>
      <c r="F334" s="44" t="s">
        <v>359</v>
      </c>
      <c r="G334" s="44" t="s">
        <v>393</v>
      </c>
      <c r="H334" s="66" t="s">
        <v>215</v>
      </c>
      <c r="I334" s="157" t="s">
        <v>40</v>
      </c>
      <c r="J334" s="157" t="s">
        <v>330</v>
      </c>
      <c r="K334" s="70" t="s">
        <v>331</v>
      </c>
      <c r="L334" s="65" t="s">
        <v>216</v>
      </c>
      <c r="M334" s="72" t="s">
        <v>332</v>
      </c>
      <c r="N334" s="4">
        <f>N327+1</f>
        <v>129</v>
      </c>
    </row>
    <row r="335" spans="1:14">
      <c r="A335" s="59" t="str">
        <f ca="1">INDIRECT("A"&amp;N334)</f>
        <v>Ministero dell'interno - Politiche Personale</v>
      </c>
      <c r="B335" s="4" t="str">
        <f>$B$19</f>
        <v>KPI 1</v>
      </c>
      <c r="C335" s="138">
        <f t="shared" ref="C335:D338" ca="1" si="50">J335-I335</f>
        <v>0</v>
      </c>
      <c r="D335" s="138">
        <f t="shared" ca="1" si="50"/>
        <v>0</v>
      </c>
      <c r="E335" s="57">
        <f ca="1">$G$79</f>
        <v>0</v>
      </c>
      <c r="F335" s="57">
        <f ca="1">$G$80</f>
        <v>9.6</v>
      </c>
      <c r="G335" s="57">
        <f ca="1">$H$78</f>
        <v>7.4304347826086961</v>
      </c>
      <c r="H335" s="68" t="str">
        <f>$B$19</f>
        <v>KPI 1</v>
      </c>
      <c r="I335" s="158">
        <f ca="1">INDIRECT("M"&amp;N334)</f>
        <v>0</v>
      </c>
      <c r="J335" s="158">
        <f ca="1">INDIRECT("K"&amp;N334)</f>
        <v>0</v>
      </c>
      <c r="K335" s="69">
        <f ca="1">INDIRECT("I"&amp;N334)</f>
        <v>0</v>
      </c>
      <c r="L335" s="67">
        <f ca="1">$H$78</f>
        <v>7.4304347826086961</v>
      </c>
      <c r="M335" s="73">
        <f ca="1">(K335-L335)/10</f>
        <v>-0.74304347826086958</v>
      </c>
    </row>
    <row r="336" spans="1:14">
      <c r="A336" s="59"/>
      <c r="B336" s="312" t="str">
        <f>$B$20</f>
        <v>KPI 2</v>
      </c>
      <c r="C336" s="138">
        <f t="shared" ca="1" si="50"/>
        <v>0</v>
      </c>
      <c r="D336" s="138">
        <f t="shared" ca="1" si="50"/>
        <v>0</v>
      </c>
      <c r="E336" s="57">
        <f ca="1">$J$79</f>
        <v>1.1111111111111112</v>
      </c>
      <c r="F336" s="57">
        <f ca="1">$J$80</f>
        <v>10</v>
      </c>
      <c r="G336" s="57">
        <f ca="1">$K$78</f>
        <v>7.9589371980676349</v>
      </c>
      <c r="H336" s="68" t="str">
        <f>$B$20</f>
        <v>KPI 2</v>
      </c>
      <c r="I336" s="158">
        <f ca="1">INDIRECT("R"&amp;N334)</f>
        <v>0</v>
      </c>
      <c r="J336" s="158">
        <f ca="1">INDIRECT("P"&amp;N334)</f>
        <v>0</v>
      </c>
      <c r="K336" s="69">
        <f ca="1">INDIRECT("N"&amp;N334)</f>
        <v>0</v>
      </c>
      <c r="L336" s="67">
        <f ca="1">$K$78</f>
        <v>7.9589371980676349</v>
      </c>
      <c r="M336" s="73">
        <f ca="1">(K336-L336)/10</f>
        <v>-0.79589371980676349</v>
      </c>
    </row>
    <row r="337" spans="1:14">
      <c r="A337" s="59"/>
      <c r="B337" s="4" t="str">
        <f>$B$21</f>
        <v>KPI 3</v>
      </c>
      <c r="C337" s="138">
        <f t="shared" ca="1" si="50"/>
        <v>0</v>
      </c>
      <c r="D337" s="138">
        <f t="shared" ca="1" si="50"/>
        <v>0</v>
      </c>
      <c r="E337" s="57">
        <f ca="1">$M$79</f>
        <v>0.22222222222222221</v>
      </c>
      <c r="F337" s="57">
        <f ca="1">$M$80</f>
        <v>10</v>
      </c>
      <c r="G337" s="57">
        <f ca="1">$N$78</f>
        <v>6.8743961352657008</v>
      </c>
      <c r="H337" s="68" t="str">
        <f>$B$21</f>
        <v>KPI 3</v>
      </c>
      <c r="I337" s="158">
        <f ca="1">INDIRECT("W"&amp;N334)</f>
        <v>0</v>
      </c>
      <c r="J337" s="158">
        <f ca="1">INDIRECT("U"&amp;N334)</f>
        <v>0</v>
      </c>
      <c r="K337" s="69">
        <f ca="1">INDIRECT("S"&amp;N334)</f>
        <v>0</v>
      </c>
      <c r="L337" s="67">
        <f ca="1">$N$78</f>
        <v>6.8743961352657008</v>
      </c>
      <c r="M337" s="73">
        <f ca="1">(K337-L337)/10</f>
        <v>-0.68743961352657013</v>
      </c>
    </row>
    <row r="338" spans="1:14">
      <c r="A338" s="59"/>
      <c r="B338" s="4" t="str">
        <f>$B$22</f>
        <v>KPI 4</v>
      </c>
      <c r="C338" s="138">
        <f t="shared" ca="1" si="50"/>
        <v>0</v>
      </c>
      <c r="D338" s="138">
        <f t="shared" ca="1" si="50"/>
        <v>0</v>
      </c>
      <c r="E338" s="57">
        <f ca="1">$P$79</f>
        <v>0</v>
      </c>
      <c r="F338" s="57">
        <f ca="1">$P$80</f>
        <v>9.6923076923076916</v>
      </c>
      <c r="G338" s="57">
        <f ca="1">$Q$78</f>
        <v>6.1337792642140467</v>
      </c>
      <c r="H338" s="68" t="str">
        <f>$B$22</f>
        <v>KPI 4</v>
      </c>
      <c r="I338" s="158">
        <f ca="1">INDIRECT("AB"&amp;N334)</f>
        <v>0</v>
      </c>
      <c r="J338" s="158">
        <f ca="1">INDIRECT("Z"&amp;N334)</f>
        <v>0</v>
      </c>
      <c r="K338" s="69">
        <f ca="1">INDIRECT("X"&amp;N334)</f>
        <v>0</v>
      </c>
      <c r="L338" s="67">
        <f ca="1">$Q$78</f>
        <v>6.1337792642140467</v>
      </c>
      <c r="M338" s="73">
        <f ca="1">(K338-L338)/10</f>
        <v>-0.61337792642140465</v>
      </c>
    </row>
    <row r="339" spans="1:14">
      <c r="A339" s="59"/>
      <c r="J339" s="71"/>
    </row>
    <row r="340" spans="1:14">
      <c r="A340" s="59"/>
      <c r="J340" s="71"/>
    </row>
    <row r="341" spans="1:14" ht="28.5" customHeight="1">
      <c r="A341" s="59"/>
      <c r="C341" s="128" t="s">
        <v>41</v>
      </c>
      <c r="D341" s="128" t="s">
        <v>42</v>
      </c>
      <c r="E341" s="44" t="s">
        <v>358</v>
      </c>
      <c r="F341" s="44" t="s">
        <v>359</v>
      </c>
      <c r="G341" s="44" t="s">
        <v>393</v>
      </c>
      <c r="H341" s="66" t="s">
        <v>215</v>
      </c>
      <c r="I341" s="157" t="s">
        <v>40</v>
      </c>
      <c r="J341" s="157" t="s">
        <v>330</v>
      </c>
      <c r="K341" s="70" t="s">
        <v>331</v>
      </c>
      <c r="L341" s="65" t="s">
        <v>216</v>
      </c>
      <c r="M341" s="72" t="s">
        <v>332</v>
      </c>
      <c r="N341" s="4">
        <f>N334+1</f>
        <v>130</v>
      </c>
    </row>
    <row r="342" spans="1:14" ht="22">
      <c r="A342" s="59" t="str">
        <f ca="1">INDIRECT("A"&amp;N341)</f>
        <v>Agenzia nazionale per le nuove tecnologie, l'energia e lo sviluppo economico sostenibile</v>
      </c>
      <c r="B342" s="4" t="str">
        <f>$B$19</f>
        <v>KPI 1</v>
      </c>
      <c r="C342" s="138">
        <f t="shared" ref="C342:D345" ca="1" si="51">J342-I342</f>
        <v>0</v>
      </c>
      <c r="D342" s="138">
        <f t="shared" ca="1" si="51"/>
        <v>0</v>
      </c>
      <c r="E342" s="57">
        <f ca="1">$G$79</f>
        <v>0</v>
      </c>
      <c r="F342" s="57">
        <f ca="1">$G$80</f>
        <v>9.6</v>
      </c>
      <c r="G342" s="57">
        <f ca="1">$H$78</f>
        <v>7.4304347826086961</v>
      </c>
      <c r="H342" s="68" t="str">
        <f>$B$19</f>
        <v>KPI 1</v>
      </c>
      <c r="I342" s="158">
        <f ca="1">INDIRECT("M"&amp;N341)</f>
        <v>0</v>
      </c>
      <c r="J342" s="158">
        <f ca="1">INDIRECT("K"&amp;N341)</f>
        <v>0</v>
      </c>
      <c r="K342" s="69">
        <f ca="1">INDIRECT("I"&amp;N341)</f>
        <v>0</v>
      </c>
      <c r="L342" s="67">
        <f ca="1">$H$78</f>
        <v>7.4304347826086961</v>
      </c>
      <c r="M342" s="73">
        <f ca="1">(K342-L342)/10</f>
        <v>-0.74304347826086958</v>
      </c>
    </row>
    <row r="343" spans="1:14">
      <c r="A343" s="59"/>
      <c r="B343" s="312" t="str">
        <f>$B$20</f>
        <v>KPI 2</v>
      </c>
      <c r="C343" s="138">
        <f t="shared" ca="1" si="51"/>
        <v>0</v>
      </c>
      <c r="D343" s="138">
        <f t="shared" ca="1" si="51"/>
        <v>0</v>
      </c>
      <c r="E343" s="57">
        <f ca="1">$J$79</f>
        <v>1.1111111111111112</v>
      </c>
      <c r="F343" s="57">
        <f ca="1">$J$80</f>
        <v>10</v>
      </c>
      <c r="G343" s="57">
        <f ca="1">$K$78</f>
        <v>7.9589371980676349</v>
      </c>
      <c r="H343" s="68" t="str">
        <f>$B$20</f>
        <v>KPI 2</v>
      </c>
      <c r="I343" s="158">
        <f ca="1">INDIRECT("R"&amp;N341)</f>
        <v>0</v>
      </c>
      <c r="J343" s="158">
        <f ca="1">INDIRECT("P"&amp;N341)</f>
        <v>0</v>
      </c>
      <c r="K343" s="69">
        <f ca="1">INDIRECT("N"&amp;N341)</f>
        <v>0</v>
      </c>
      <c r="L343" s="67">
        <f ca="1">$K$78</f>
        <v>7.9589371980676349</v>
      </c>
      <c r="M343" s="73">
        <f ca="1">(K343-L343)/10</f>
        <v>-0.79589371980676349</v>
      </c>
    </row>
    <row r="344" spans="1:14">
      <c r="A344" s="59"/>
      <c r="B344" s="4" t="str">
        <f>$B$21</f>
        <v>KPI 3</v>
      </c>
      <c r="C344" s="138">
        <f t="shared" ca="1" si="51"/>
        <v>0</v>
      </c>
      <c r="D344" s="138">
        <f t="shared" ca="1" si="51"/>
        <v>0</v>
      </c>
      <c r="E344" s="57">
        <f ca="1">$M$79</f>
        <v>0.22222222222222221</v>
      </c>
      <c r="F344" s="57">
        <f ca="1">$M$80</f>
        <v>10</v>
      </c>
      <c r="G344" s="57">
        <f ca="1">$N$78</f>
        <v>6.8743961352657008</v>
      </c>
      <c r="H344" s="68" t="str">
        <f>$B$21</f>
        <v>KPI 3</v>
      </c>
      <c r="I344" s="158">
        <f ca="1">INDIRECT("W"&amp;N341)</f>
        <v>0</v>
      </c>
      <c r="J344" s="158">
        <f ca="1">INDIRECT("U"&amp;N341)</f>
        <v>0</v>
      </c>
      <c r="K344" s="69">
        <f ca="1">INDIRECT("S"&amp;N341)</f>
        <v>0</v>
      </c>
      <c r="L344" s="67">
        <f ca="1">$N$78</f>
        <v>6.8743961352657008</v>
      </c>
      <c r="M344" s="73">
        <f ca="1">(K344-L344)/10</f>
        <v>-0.68743961352657013</v>
      </c>
    </row>
    <row r="345" spans="1:14">
      <c r="A345" s="59"/>
      <c r="B345" s="4" t="str">
        <f>$B$22</f>
        <v>KPI 4</v>
      </c>
      <c r="C345" s="138">
        <f t="shared" ca="1" si="51"/>
        <v>0</v>
      </c>
      <c r="D345" s="138">
        <f t="shared" ca="1" si="51"/>
        <v>0</v>
      </c>
      <c r="E345" s="57">
        <f ca="1">$P$79</f>
        <v>0</v>
      </c>
      <c r="F345" s="57">
        <f ca="1">$P$80</f>
        <v>9.6923076923076916</v>
      </c>
      <c r="G345" s="57">
        <f ca="1">$Q$78</f>
        <v>6.1337792642140467</v>
      </c>
      <c r="H345" s="68" t="str">
        <f>$B$22</f>
        <v>KPI 4</v>
      </c>
      <c r="I345" s="158">
        <f ca="1">INDIRECT("AB"&amp;N341)</f>
        <v>0</v>
      </c>
      <c r="J345" s="158">
        <f ca="1">INDIRECT("Z"&amp;N341)</f>
        <v>0</v>
      </c>
      <c r="K345" s="69">
        <f ca="1">INDIRECT("X"&amp;N341)</f>
        <v>0</v>
      </c>
      <c r="L345" s="67">
        <f ca="1">$Q$78</f>
        <v>6.1337792642140467</v>
      </c>
      <c r="M345" s="73">
        <f ca="1">(K345-L345)/10</f>
        <v>-0.61337792642140465</v>
      </c>
    </row>
    <row r="346" spans="1:14">
      <c r="A346" s="59"/>
      <c r="J346" s="71"/>
    </row>
    <row r="347" spans="1:14">
      <c r="A347" s="59"/>
      <c r="J347" s="71"/>
    </row>
    <row r="348" spans="1:14" ht="22">
      <c r="A348" s="59"/>
      <c r="C348" s="128" t="s">
        <v>41</v>
      </c>
      <c r="D348" s="128" t="s">
        <v>42</v>
      </c>
      <c r="E348" s="44" t="s">
        <v>358</v>
      </c>
      <c r="F348" s="44" t="s">
        <v>359</v>
      </c>
      <c r="G348" s="44" t="s">
        <v>393</v>
      </c>
      <c r="H348" s="66" t="s">
        <v>215</v>
      </c>
      <c r="I348" s="157" t="s">
        <v>40</v>
      </c>
      <c r="J348" s="157" t="s">
        <v>330</v>
      </c>
      <c r="K348" s="70" t="s">
        <v>331</v>
      </c>
      <c r="L348" s="65" t="s">
        <v>216</v>
      </c>
      <c r="M348" s="72" t="s">
        <v>332</v>
      </c>
      <c r="N348" s="4">
        <f>N341+1</f>
        <v>131</v>
      </c>
    </row>
    <row r="349" spans="1:14">
      <c r="A349" s="59" t="str">
        <f ca="1">INDIRECT("A"&amp;N348)</f>
        <v>Stato Maggiore Esercito</v>
      </c>
      <c r="B349" s="4" t="str">
        <f>$B$19</f>
        <v>KPI 1</v>
      </c>
      <c r="C349" s="138">
        <f t="shared" ref="C349:D352" ca="1" si="52">J349-I349</f>
        <v>0</v>
      </c>
      <c r="D349" s="138">
        <f t="shared" ca="1" si="52"/>
        <v>0</v>
      </c>
      <c r="E349" s="57">
        <f ca="1">$G$79</f>
        <v>0</v>
      </c>
      <c r="F349" s="57">
        <f ca="1">$G$80</f>
        <v>9.6</v>
      </c>
      <c r="G349" s="57">
        <f ca="1">$H$78</f>
        <v>7.4304347826086961</v>
      </c>
      <c r="H349" s="68" t="str">
        <f>$B$19</f>
        <v>KPI 1</v>
      </c>
      <c r="I349" s="158">
        <f ca="1">INDIRECT("M"&amp;N348)</f>
        <v>0</v>
      </c>
      <c r="J349" s="158">
        <f ca="1">INDIRECT("K"&amp;N348)</f>
        <v>0</v>
      </c>
      <c r="K349" s="69">
        <f ca="1">INDIRECT("I"&amp;N348)</f>
        <v>0</v>
      </c>
      <c r="L349" s="67">
        <f ca="1">$H$78</f>
        <v>7.4304347826086961</v>
      </c>
      <c r="M349" s="73">
        <f ca="1">(K349-L349)/10</f>
        <v>-0.74304347826086958</v>
      </c>
    </row>
    <row r="350" spans="1:14">
      <c r="A350" s="59"/>
      <c r="B350" s="312" t="str">
        <f>$B$20</f>
        <v>KPI 2</v>
      </c>
      <c r="C350" s="138">
        <f t="shared" ca="1" si="52"/>
        <v>0</v>
      </c>
      <c r="D350" s="138">
        <f t="shared" ca="1" si="52"/>
        <v>0</v>
      </c>
      <c r="E350" s="57">
        <f ca="1">$J$79</f>
        <v>1.1111111111111112</v>
      </c>
      <c r="F350" s="57">
        <f ca="1">$J$80</f>
        <v>10</v>
      </c>
      <c r="G350" s="57">
        <f ca="1">$K$78</f>
        <v>7.9589371980676349</v>
      </c>
      <c r="H350" s="68" t="str">
        <f>$B$20</f>
        <v>KPI 2</v>
      </c>
      <c r="I350" s="158">
        <f ca="1">INDIRECT("R"&amp;N348)</f>
        <v>0</v>
      </c>
      <c r="J350" s="158">
        <f ca="1">INDIRECT("P"&amp;N348)</f>
        <v>0</v>
      </c>
      <c r="K350" s="69">
        <f ca="1">INDIRECT("N"&amp;N348)</f>
        <v>0</v>
      </c>
      <c r="L350" s="67">
        <f ca="1">$K$78</f>
        <v>7.9589371980676349</v>
      </c>
      <c r="M350" s="73">
        <f ca="1">(K350-L350)/10</f>
        <v>-0.79589371980676349</v>
      </c>
    </row>
    <row r="351" spans="1:14">
      <c r="A351" s="59"/>
      <c r="B351" s="4" t="str">
        <f>$B$21</f>
        <v>KPI 3</v>
      </c>
      <c r="C351" s="138">
        <f t="shared" ca="1" si="52"/>
        <v>0</v>
      </c>
      <c r="D351" s="138">
        <f t="shared" ca="1" si="52"/>
        <v>0</v>
      </c>
      <c r="E351" s="57">
        <f ca="1">$M$79</f>
        <v>0.22222222222222221</v>
      </c>
      <c r="F351" s="57">
        <f ca="1">$M$80</f>
        <v>10</v>
      </c>
      <c r="G351" s="57">
        <f ca="1">$N$78</f>
        <v>6.8743961352657008</v>
      </c>
      <c r="H351" s="68" t="str">
        <f>$B$21</f>
        <v>KPI 3</v>
      </c>
      <c r="I351" s="158">
        <f ca="1">INDIRECT("W"&amp;N348)</f>
        <v>0</v>
      </c>
      <c r="J351" s="158">
        <f ca="1">INDIRECT("U"&amp;N348)</f>
        <v>0</v>
      </c>
      <c r="K351" s="69">
        <f ca="1">INDIRECT("S"&amp;N348)</f>
        <v>0</v>
      </c>
      <c r="L351" s="67">
        <f ca="1">$N$78</f>
        <v>6.8743961352657008</v>
      </c>
      <c r="M351" s="73">
        <f ca="1">(K351-L351)/10</f>
        <v>-0.68743961352657013</v>
      </c>
    </row>
    <row r="352" spans="1:14">
      <c r="A352" s="59"/>
      <c r="B352" s="4" t="str">
        <f>$B$22</f>
        <v>KPI 4</v>
      </c>
      <c r="C352" s="138">
        <f t="shared" ca="1" si="52"/>
        <v>0</v>
      </c>
      <c r="D352" s="138">
        <f t="shared" ca="1" si="52"/>
        <v>0</v>
      </c>
      <c r="E352" s="57">
        <f ca="1">$P$79</f>
        <v>0</v>
      </c>
      <c r="F352" s="57">
        <f ca="1">$P$80</f>
        <v>9.6923076923076916</v>
      </c>
      <c r="G352" s="57">
        <f ca="1">$Q$78</f>
        <v>6.1337792642140467</v>
      </c>
      <c r="H352" s="68" t="str">
        <f>$B$22</f>
        <v>KPI 4</v>
      </c>
      <c r="I352" s="158">
        <f ca="1">INDIRECT("AB"&amp;N348)</f>
        <v>0</v>
      </c>
      <c r="J352" s="158">
        <f ca="1">INDIRECT("Z"&amp;N348)</f>
        <v>0</v>
      </c>
      <c r="K352" s="69">
        <f ca="1">INDIRECT("X"&amp;N348)</f>
        <v>0</v>
      </c>
      <c r="L352" s="67">
        <f ca="1">$Q$78</f>
        <v>6.1337792642140467</v>
      </c>
      <c r="M352" s="73">
        <f ca="1">(K352-L352)/10</f>
        <v>-0.61337792642140465</v>
      </c>
    </row>
    <row r="353" spans="1:14">
      <c r="A353" s="59"/>
      <c r="J353" s="71"/>
    </row>
    <row r="354" spans="1:14">
      <c r="A354" s="59"/>
      <c r="J354" s="71"/>
    </row>
    <row r="355" spans="1:14" ht="22">
      <c r="A355" s="59"/>
      <c r="C355" s="128" t="s">
        <v>41</v>
      </c>
      <c r="D355" s="128" t="s">
        <v>42</v>
      </c>
      <c r="E355" s="44" t="s">
        <v>358</v>
      </c>
      <c r="F355" s="44" t="s">
        <v>359</v>
      </c>
      <c r="G355" s="44" t="s">
        <v>393</v>
      </c>
      <c r="H355" s="66" t="s">
        <v>215</v>
      </c>
      <c r="I355" s="157" t="s">
        <v>40</v>
      </c>
      <c r="J355" s="157" t="s">
        <v>330</v>
      </c>
      <c r="K355" s="70" t="s">
        <v>331</v>
      </c>
      <c r="L355" s="65" t="s">
        <v>216</v>
      </c>
      <c r="M355" s="72" t="s">
        <v>332</v>
      </c>
      <c r="N355" s="4">
        <f>N348+1</f>
        <v>132</v>
      </c>
    </row>
    <row r="356" spans="1:14">
      <c r="A356" s="59" t="str">
        <f ca="1">INDIRECT("A"&amp;N355)</f>
        <v>Ministero dell'interno - Affari Interni e Territoriali - Demografici</v>
      </c>
      <c r="B356" s="4" t="str">
        <f>$B$19</f>
        <v>KPI 1</v>
      </c>
      <c r="C356" s="138">
        <f t="shared" ref="C356:D359" ca="1" si="53">J356-I356</f>
        <v>0</v>
      </c>
      <c r="D356" s="138">
        <f t="shared" ca="1" si="53"/>
        <v>0</v>
      </c>
      <c r="E356" s="57">
        <f ca="1">$G$79</f>
        <v>0</v>
      </c>
      <c r="F356" s="57">
        <f ca="1">$G$80</f>
        <v>9.6</v>
      </c>
      <c r="G356" s="57">
        <f ca="1">$H$78</f>
        <v>7.4304347826086961</v>
      </c>
      <c r="H356" s="68" t="str">
        <f>$B$19</f>
        <v>KPI 1</v>
      </c>
      <c r="I356" s="158">
        <f ca="1">INDIRECT("M"&amp;N355)</f>
        <v>0</v>
      </c>
      <c r="J356" s="158">
        <f ca="1">INDIRECT("K"&amp;N355)</f>
        <v>0</v>
      </c>
      <c r="K356" s="69">
        <f ca="1">INDIRECT("I"&amp;N355)</f>
        <v>0</v>
      </c>
      <c r="L356" s="67">
        <f ca="1">$H$78</f>
        <v>7.4304347826086961</v>
      </c>
      <c r="M356" s="73">
        <f ca="1">(K356-L356)/10</f>
        <v>-0.74304347826086958</v>
      </c>
    </row>
    <row r="357" spans="1:14">
      <c r="A357" s="59"/>
      <c r="B357" s="312" t="str">
        <f>$B$20</f>
        <v>KPI 2</v>
      </c>
      <c r="C357" s="138">
        <f t="shared" ca="1" si="53"/>
        <v>0</v>
      </c>
      <c r="D357" s="138">
        <f t="shared" ca="1" si="53"/>
        <v>0</v>
      </c>
      <c r="E357" s="57">
        <f ca="1">$J$79</f>
        <v>1.1111111111111112</v>
      </c>
      <c r="F357" s="57">
        <f ca="1">$J$80</f>
        <v>10</v>
      </c>
      <c r="G357" s="57">
        <f ca="1">$K$78</f>
        <v>7.9589371980676349</v>
      </c>
      <c r="H357" s="68" t="str">
        <f>$B$20</f>
        <v>KPI 2</v>
      </c>
      <c r="I357" s="158">
        <f ca="1">INDIRECT("R"&amp;N355)</f>
        <v>0</v>
      </c>
      <c r="J357" s="158">
        <f ca="1">INDIRECT("P"&amp;N355)</f>
        <v>0</v>
      </c>
      <c r="K357" s="69">
        <f ca="1">INDIRECT("N"&amp;N355)</f>
        <v>0</v>
      </c>
      <c r="L357" s="67">
        <f ca="1">$K$78</f>
        <v>7.9589371980676349</v>
      </c>
      <c r="M357" s="73">
        <f ca="1">(K357-L357)/10</f>
        <v>-0.79589371980676349</v>
      </c>
    </row>
    <row r="358" spans="1:14">
      <c r="A358" s="59"/>
      <c r="B358" s="4" t="str">
        <f>$B$21</f>
        <v>KPI 3</v>
      </c>
      <c r="C358" s="138">
        <f t="shared" ca="1" si="53"/>
        <v>0</v>
      </c>
      <c r="D358" s="138">
        <f t="shared" ca="1" si="53"/>
        <v>0</v>
      </c>
      <c r="E358" s="57">
        <f ca="1">$M$79</f>
        <v>0.22222222222222221</v>
      </c>
      <c r="F358" s="57">
        <f ca="1">$M$80</f>
        <v>10</v>
      </c>
      <c r="G358" s="57">
        <f ca="1">$N$78</f>
        <v>6.8743961352657008</v>
      </c>
      <c r="H358" s="68" t="str">
        <f>$B$21</f>
        <v>KPI 3</v>
      </c>
      <c r="I358" s="158">
        <f ca="1">INDIRECT("W"&amp;N355)</f>
        <v>0</v>
      </c>
      <c r="J358" s="158">
        <f ca="1">INDIRECT("U"&amp;N355)</f>
        <v>0</v>
      </c>
      <c r="K358" s="69">
        <f ca="1">INDIRECT("S"&amp;N355)</f>
        <v>0</v>
      </c>
      <c r="L358" s="67">
        <f ca="1">$N$78</f>
        <v>6.8743961352657008</v>
      </c>
      <c r="M358" s="73">
        <f ca="1">(K358-L358)/10</f>
        <v>-0.68743961352657013</v>
      </c>
    </row>
    <row r="359" spans="1:14">
      <c r="A359" s="59"/>
      <c r="B359" s="4" t="str">
        <f>$B$22</f>
        <v>KPI 4</v>
      </c>
      <c r="C359" s="138">
        <f t="shared" ca="1" si="53"/>
        <v>0</v>
      </c>
      <c r="D359" s="138">
        <f t="shared" ca="1" si="53"/>
        <v>0</v>
      </c>
      <c r="E359" s="57">
        <f ca="1">$P$79</f>
        <v>0</v>
      </c>
      <c r="F359" s="57">
        <f ca="1">$P$80</f>
        <v>9.6923076923076916</v>
      </c>
      <c r="G359" s="57">
        <f ca="1">$Q$78</f>
        <v>6.1337792642140467</v>
      </c>
      <c r="H359" s="68" t="str">
        <f>$B$22</f>
        <v>KPI 4</v>
      </c>
      <c r="I359" s="158">
        <f ca="1">INDIRECT("AB"&amp;N355)</f>
        <v>0</v>
      </c>
      <c r="J359" s="158">
        <f ca="1">INDIRECT("Z"&amp;N355)</f>
        <v>0</v>
      </c>
      <c r="K359" s="69">
        <f ca="1">INDIRECT("X"&amp;N355)</f>
        <v>0</v>
      </c>
      <c r="L359" s="67">
        <f ca="1">$Q$78</f>
        <v>6.1337792642140467</v>
      </c>
      <c r="M359" s="73">
        <f ca="1">(K359-L359)/10</f>
        <v>-0.61337792642140465</v>
      </c>
    </row>
    <row r="360" spans="1:14">
      <c r="A360" s="59"/>
      <c r="J360" s="71"/>
    </row>
    <row r="361" spans="1:14">
      <c r="A361" s="59"/>
      <c r="J361" s="71"/>
    </row>
    <row r="362" spans="1:14" ht="22">
      <c r="A362" s="59"/>
      <c r="C362" s="128" t="s">
        <v>41</v>
      </c>
      <c r="D362" s="128" t="s">
        <v>42</v>
      </c>
      <c r="E362" s="44" t="s">
        <v>358</v>
      </c>
      <c r="F362" s="44" t="s">
        <v>359</v>
      </c>
      <c r="G362" s="44" t="s">
        <v>393</v>
      </c>
      <c r="H362" s="66" t="s">
        <v>215</v>
      </c>
      <c r="I362" s="157" t="s">
        <v>40</v>
      </c>
      <c r="J362" s="157" t="s">
        <v>330</v>
      </c>
      <c r="K362" s="70" t="s">
        <v>331</v>
      </c>
      <c r="L362" s="65" t="s">
        <v>216</v>
      </c>
      <c r="M362" s="72" t="s">
        <v>332</v>
      </c>
      <c r="N362" s="4">
        <f>N355+1</f>
        <v>133</v>
      </c>
    </row>
    <row r="363" spans="1:14">
      <c r="A363" s="59" t="str">
        <f ca="1">INDIRECT("A"&amp;N362)</f>
        <v>Stato Maggiore Difesa</v>
      </c>
      <c r="B363" s="4" t="str">
        <f>$B$19</f>
        <v>KPI 1</v>
      </c>
      <c r="C363" s="138">
        <f t="shared" ref="C363:D366" ca="1" si="54">J363-I363</f>
        <v>0</v>
      </c>
      <c r="D363" s="138">
        <f t="shared" ca="1" si="54"/>
        <v>0</v>
      </c>
      <c r="E363" s="57">
        <f ca="1">$G$79</f>
        <v>0</v>
      </c>
      <c r="F363" s="57">
        <f ca="1">$G$80</f>
        <v>9.6</v>
      </c>
      <c r="G363" s="57">
        <f ca="1">$H$78</f>
        <v>7.4304347826086961</v>
      </c>
      <c r="H363" s="68" t="str">
        <f>$B$19</f>
        <v>KPI 1</v>
      </c>
      <c r="I363" s="158">
        <f ca="1">INDIRECT("M"&amp;N362)</f>
        <v>0</v>
      </c>
      <c r="J363" s="158">
        <f ca="1">INDIRECT("K"&amp;N362)</f>
        <v>0</v>
      </c>
      <c r="K363" s="69">
        <f ca="1">INDIRECT("I"&amp;N362)</f>
        <v>0</v>
      </c>
      <c r="L363" s="67">
        <f ca="1">$H$78</f>
        <v>7.4304347826086961</v>
      </c>
      <c r="M363" s="73">
        <f ca="1">(K363-L363)/10</f>
        <v>-0.74304347826086958</v>
      </c>
    </row>
    <row r="364" spans="1:14">
      <c r="A364" s="59"/>
      <c r="B364" s="312" t="str">
        <f>$B$20</f>
        <v>KPI 2</v>
      </c>
      <c r="C364" s="138">
        <f t="shared" ca="1" si="54"/>
        <v>0</v>
      </c>
      <c r="D364" s="138">
        <f t="shared" ca="1" si="54"/>
        <v>0</v>
      </c>
      <c r="E364" s="57">
        <f ca="1">$J$79</f>
        <v>1.1111111111111112</v>
      </c>
      <c r="F364" s="57">
        <f ca="1">$J$80</f>
        <v>10</v>
      </c>
      <c r="G364" s="57">
        <f ca="1">$K$78</f>
        <v>7.9589371980676349</v>
      </c>
      <c r="H364" s="68" t="str">
        <f>$B$20</f>
        <v>KPI 2</v>
      </c>
      <c r="I364" s="158">
        <f ca="1">INDIRECT("R"&amp;N362)</f>
        <v>0</v>
      </c>
      <c r="J364" s="158">
        <f ca="1">INDIRECT("P"&amp;N362)</f>
        <v>0</v>
      </c>
      <c r="K364" s="69">
        <f ca="1">INDIRECT("N"&amp;N362)</f>
        <v>0</v>
      </c>
      <c r="L364" s="67">
        <f ca="1">$K$78</f>
        <v>7.9589371980676349</v>
      </c>
      <c r="M364" s="73">
        <f ca="1">(K364-L364)/10</f>
        <v>-0.79589371980676349</v>
      </c>
    </row>
    <row r="365" spans="1:14">
      <c r="A365" s="59"/>
      <c r="B365" s="4" t="str">
        <f>$B$21</f>
        <v>KPI 3</v>
      </c>
      <c r="C365" s="138">
        <f t="shared" ca="1" si="54"/>
        <v>0</v>
      </c>
      <c r="D365" s="138">
        <f t="shared" ca="1" si="54"/>
        <v>0</v>
      </c>
      <c r="E365" s="57">
        <f ca="1">$M$79</f>
        <v>0.22222222222222221</v>
      </c>
      <c r="F365" s="57">
        <f ca="1">$M$80</f>
        <v>10</v>
      </c>
      <c r="G365" s="57">
        <f ca="1">$N$78</f>
        <v>6.8743961352657008</v>
      </c>
      <c r="H365" s="68" t="str">
        <f>$B$21</f>
        <v>KPI 3</v>
      </c>
      <c r="I365" s="158">
        <f ca="1">INDIRECT("W"&amp;N362)</f>
        <v>0</v>
      </c>
      <c r="J365" s="158">
        <f ca="1">INDIRECT("U"&amp;N362)</f>
        <v>0</v>
      </c>
      <c r="K365" s="69">
        <f ca="1">INDIRECT("S"&amp;N362)</f>
        <v>0</v>
      </c>
      <c r="L365" s="67">
        <f ca="1">$N$78</f>
        <v>6.8743961352657008</v>
      </c>
      <c r="M365" s="73">
        <f ca="1">(K365-L365)/10</f>
        <v>-0.68743961352657013</v>
      </c>
    </row>
    <row r="366" spans="1:14">
      <c r="A366" s="59"/>
      <c r="B366" s="4" t="str">
        <f>$B$22</f>
        <v>KPI 4</v>
      </c>
      <c r="C366" s="138">
        <f t="shared" ca="1" si="54"/>
        <v>0</v>
      </c>
      <c r="D366" s="138">
        <f t="shared" ca="1" si="54"/>
        <v>0</v>
      </c>
      <c r="E366" s="57">
        <f ca="1">$P$79</f>
        <v>0</v>
      </c>
      <c r="F366" s="57">
        <f ca="1">$P$80</f>
        <v>9.6923076923076916</v>
      </c>
      <c r="G366" s="57">
        <f ca="1">$Q$78</f>
        <v>6.1337792642140467</v>
      </c>
      <c r="H366" s="68" t="str">
        <f>$B$22</f>
        <v>KPI 4</v>
      </c>
      <c r="I366" s="158">
        <f ca="1">INDIRECT("AB"&amp;N362)</f>
        <v>0</v>
      </c>
      <c r="J366" s="158">
        <f ca="1">INDIRECT("Z"&amp;N362)</f>
        <v>0</v>
      </c>
      <c r="K366" s="69">
        <f ca="1">INDIRECT("X"&amp;N362)</f>
        <v>0</v>
      </c>
      <c r="L366" s="67">
        <f ca="1">$Q$78</f>
        <v>6.1337792642140467</v>
      </c>
      <c r="M366" s="73">
        <f ca="1">(K366-L366)/10</f>
        <v>-0.61337792642140465</v>
      </c>
    </row>
    <row r="367" spans="1:14">
      <c r="A367" s="59"/>
      <c r="J367" s="71"/>
    </row>
    <row r="368" spans="1:14">
      <c r="A368" s="59"/>
      <c r="J368" s="71"/>
    </row>
    <row r="369" spans="1:14" ht="22">
      <c r="A369" s="59"/>
      <c r="C369" s="128" t="s">
        <v>41</v>
      </c>
      <c r="D369" s="128" t="s">
        <v>42</v>
      </c>
      <c r="E369" s="44" t="s">
        <v>358</v>
      </c>
      <c r="F369" s="44" t="s">
        <v>359</v>
      </c>
      <c r="G369" s="44" t="s">
        <v>393</v>
      </c>
      <c r="H369" s="66" t="s">
        <v>215</v>
      </c>
      <c r="I369" s="157" t="s">
        <v>40</v>
      </c>
      <c r="J369" s="157" t="s">
        <v>330</v>
      </c>
      <c r="K369" s="70" t="s">
        <v>331</v>
      </c>
      <c r="L369" s="65" t="s">
        <v>216</v>
      </c>
      <c r="M369" s="72" t="s">
        <v>332</v>
      </c>
      <c r="N369" s="4">
        <f>N362+1</f>
        <v>134</v>
      </c>
    </row>
    <row r="370" spans="1:14">
      <c r="A370" s="59" t="str">
        <f ca="1">INDIRECT("A"&amp;N369)</f>
        <v xml:space="preserve">Consiglio di Stato                                                                    </v>
      </c>
      <c r="B370" s="4" t="str">
        <f>$B$19</f>
        <v>KPI 1</v>
      </c>
      <c r="C370" s="138">
        <f t="shared" ref="C370:D373" ca="1" si="55">J370-I370</f>
        <v>0</v>
      </c>
      <c r="D370" s="138">
        <f t="shared" ca="1" si="55"/>
        <v>0</v>
      </c>
      <c r="E370" s="57">
        <f ca="1">$G$79</f>
        <v>0</v>
      </c>
      <c r="F370" s="57">
        <f ca="1">$G$80</f>
        <v>9.6</v>
      </c>
      <c r="G370" s="57">
        <f ca="1">$H$78</f>
        <v>7.4304347826086961</v>
      </c>
      <c r="H370" s="68" t="str">
        <f>$B$19</f>
        <v>KPI 1</v>
      </c>
      <c r="I370" s="158">
        <f ca="1">INDIRECT("M"&amp;N369)</f>
        <v>0</v>
      </c>
      <c r="J370" s="158">
        <f ca="1">INDIRECT("K"&amp;N369)</f>
        <v>0</v>
      </c>
      <c r="K370" s="69">
        <f ca="1">INDIRECT("I"&amp;N369)</f>
        <v>0</v>
      </c>
      <c r="L370" s="67">
        <f ca="1">$H$78</f>
        <v>7.4304347826086961</v>
      </c>
      <c r="M370" s="73">
        <f ca="1">(K370-L370)/10</f>
        <v>-0.74304347826086958</v>
      </c>
    </row>
    <row r="371" spans="1:14">
      <c r="A371" s="59"/>
      <c r="B371" s="312" t="str">
        <f>$B$20</f>
        <v>KPI 2</v>
      </c>
      <c r="C371" s="138">
        <f t="shared" ca="1" si="55"/>
        <v>0</v>
      </c>
      <c r="D371" s="138">
        <f t="shared" ca="1" si="55"/>
        <v>0</v>
      </c>
      <c r="E371" s="57">
        <f ca="1">$J$79</f>
        <v>1.1111111111111112</v>
      </c>
      <c r="F371" s="57">
        <f ca="1">$J$80</f>
        <v>10</v>
      </c>
      <c r="G371" s="57">
        <f ca="1">$K$78</f>
        <v>7.9589371980676349</v>
      </c>
      <c r="H371" s="68" t="str">
        <f>$B$20</f>
        <v>KPI 2</v>
      </c>
      <c r="I371" s="158">
        <f ca="1">INDIRECT("R"&amp;N369)</f>
        <v>0</v>
      </c>
      <c r="J371" s="158">
        <f ca="1">INDIRECT("P"&amp;N369)</f>
        <v>0</v>
      </c>
      <c r="K371" s="69">
        <f ca="1">INDIRECT("N"&amp;N369)</f>
        <v>0</v>
      </c>
      <c r="L371" s="67">
        <f ca="1">$K$78</f>
        <v>7.9589371980676349</v>
      </c>
      <c r="M371" s="73">
        <f ca="1">(K371-L371)/10</f>
        <v>-0.79589371980676349</v>
      </c>
    </row>
    <row r="372" spans="1:14">
      <c r="A372" s="59"/>
      <c r="B372" s="4" t="str">
        <f>$B$21</f>
        <v>KPI 3</v>
      </c>
      <c r="C372" s="138">
        <f t="shared" ca="1" si="55"/>
        <v>0</v>
      </c>
      <c r="D372" s="138">
        <f t="shared" ca="1" si="55"/>
        <v>0</v>
      </c>
      <c r="E372" s="57">
        <f ca="1">$M$79</f>
        <v>0.22222222222222221</v>
      </c>
      <c r="F372" s="57">
        <f ca="1">$M$80</f>
        <v>10</v>
      </c>
      <c r="G372" s="57">
        <f ca="1">$N$78</f>
        <v>6.8743961352657008</v>
      </c>
      <c r="H372" s="68" t="str">
        <f>$B$21</f>
        <v>KPI 3</v>
      </c>
      <c r="I372" s="158">
        <f ca="1">INDIRECT("W"&amp;N369)</f>
        <v>0</v>
      </c>
      <c r="J372" s="158">
        <f ca="1">INDIRECT("U"&amp;N369)</f>
        <v>0</v>
      </c>
      <c r="K372" s="69">
        <f ca="1">INDIRECT("S"&amp;N369)</f>
        <v>0</v>
      </c>
      <c r="L372" s="67">
        <f ca="1">$N$78</f>
        <v>6.8743961352657008</v>
      </c>
      <c r="M372" s="73">
        <f ca="1">(K372-L372)/10</f>
        <v>-0.68743961352657013</v>
      </c>
    </row>
    <row r="373" spans="1:14">
      <c r="A373" s="59"/>
      <c r="B373" s="4" t="str">
        <f>$B$22</f>
        <v>KPI 4</v>
      </c>
      <c r="C373" s="138">
        <f t="shared" ca="1" si="55"/>
        <v>0</v>
      </c>
      <c r="D373" s="138">
        <f t="shared" ca="1" si="55"/>
        <v>0</v>
      </c>
      <c r="E373" s="57">
        <f ca="1">$P$79</f>
        <v>0</v>
      </c>
      <c r="F373" s="57">
        <f ca="1">$P$80</f>
        <v>9.6923076923076916</v>
      </c>
      <c r="G373" s="57">
        <f ca="1">$Q$78</f>
        <v>6.1337792642140467</v>
      </c>
      <c r="H373" s="68" t="str">
        <f>$B$22</f>
        <v>KPI 4</v>
      </c>
      <c r="I373" s="158">
        <f ca="1">INDIRECT("AB"&amp;N369)</f>
        <v>0</v>
      </c>
      <c r="J373" s="158">
        <f ca="1">INDIRECT("Z"&amp;N369)</f>
        <v>0</v>
      </c>
      <c r="K373" s="69">
        <f ca="1">INDIRECT("X"&amp;N369)</f>
        <v>0</v>
      </c>
      <c r="L373" s="67">
        <f ca="1">$Q$78</f>
        <v>6.1337792642140467</v>
      </c>
      <c r="M373" s="73">
        <f ca="1">(K373-L373)/10</f>
        <v>-0.61337792642140465</v>
      </c>
    </row>
    <row r="374" spans="1:14">
      <c r="A374" s="59"/>
      <c r="J374" s="71"/>
    </row>
    <row r="375" spans="1:14">
      <c r="A375" s="59"/>
      <c r="J375" s="71"/>
    </row>
    <row r="376" spans="1:14" ht="22">
      <c r="A376" s="59"/>
      <c r="C376" s="128" t="s">
        <v>41</v>
      </c>
      <c r="D376" s="128" t="s">
        <v>42</v>
      </c>
      <c r="E376" s="44" t="s">
        <v>358</v>
      </c>
      <c r="F376" s="44" t="s">
        <v>359</v>
      </c>
      <c r="G376" s="44" t="s">
        <v>393</v>
      </c>
      <c r="H376" s="66" t="s">
        <v>215</v>
      </c>
      <c r="I376" s="157" t="s">
        <v>40</v>
      </c>
      <c r="J376" s="157" t="s">
        <v>330</v>
      </c>
      <c r="K376" s="70" t="s">
        <v>331</v>
      </c>
      <c r="L376" s="65" t="s">
        <v>216</v>
      </c>
      <c r="M376" s="72" t="s">
        <v>332</v>
      </c>
      <c r="N376" s="4">
        <f>N369+1</f>
        <v>135</v>
      </c>
    </row>
    <row r="377" spans="1:14">
      <c r="A377" s="59" t="str">
        <f ca="1">INDIRECT("A"&amp;N376)</f>
        <v>Ministero dell'ambiente e della tutela del territorio e del mare</v>
      </c>
      <c r="B377" s="4" t="str">
        <f>$B$19</f>
        <v>KPI 1</v>
      </c>
      <c r="C377" s="138">
        <f t="shared" ref="C377:D380" ca="1" si="56">J377-I377</f>
        <v>0</v>
      </c>
      <c r="D377" s="138">
        <f t="shared" ca="1" si="56"/>
        <v>0</v>
      </c>
      <c r="E377" s="57">
        <f ca="1">$G$79</f>
        <v>0</v>
      </c>
      <c r="F377" s="57">
        <f ca="1">$G$80</f>
        <v>9.6</v>
      </c>
      <c r="G377" s="57">
        <f ca="1">$H$78</f>
        <v>7.4304347826086961</v>
      </c>
      <c r="H377" s="68" t="str">
        <f>$B$19</f>
        <v>KPI 1</v>
      </c>
      <c r="I377" s="158">
        <f ca="1">INDIRECT("M"&amp;N376)</f>
        <v>0</v>
      </c>
      <c r="J377" s="158">
        <f ca="1">INDIRECT("K"&amp;N376)</f>
        <v>0</v>
      </c>
      <c r="K377" s="69">
        <f ca="1">INDIRECT("I"&amp;N376)</f>
        <v>0</v>
      </c>
      <c r="L377" s="67">
        <f ca="1">$H$78</f>
        <v>7.4304347826086961</v>
      </c>
      <c r="M377" s="73">
        <f ca="1">(K377-L377)/10</f>
        <v>-0.74304347826086958</v>
      </c>
    </row>
    <row r="378" spans="1:14">
      <c r="A378" s="59"/>
      <c r="B378" s="312" t="str">
        <f>$B$20</f>
        <v>KPI 2</v>
      </c>
      <c r="C378" s="138">
        <f t="shared" ca="1" si="56"/>
        <v>0</v>
      </c>
      <c r="D378" s="138">
        <f t="shared" ca="1" si="56"/>
        <v>0</v>
      </c>
      <c r="E378" s="57">
        <f ca="1">$J$79</f>
        <v>1.1111111111111112</v>
      </c>
      <c r="F378" s="57">
        <f ca="1">$J$80</f>
        <v>10</v>
      </c>
      <c r="G378" s="57">
        <f ca="1">$K$78</f>
        <v>7.9589371980676349</v>
      </c>
      <c r="H378" s="68" t="str">
        <f>$B$20</f>
        <v>KPI 2</v>
      </c>
      <c r="I378" s="158">
        <f ca="1">INDIRECT("R"&amp;N376)</f>
        <v>0</v>
      </c>
      <c r="J378" s="158">
        <f ca="1">INDIRECT("P"&amp;N376)</f>
        <v>0</v>
      </c>
      <c r="K378" s="69">
        <f ca="1">INDIRECT("N"&amp;N376)</f>
        <v>0</v>
      </c>
      <c r="L378" s="67">
        <f ca="1">$K$78</f>
        <v>7.9589371980676349</v>
      </c>
      <c r="M378" s="73">
        <f ca="1">(K378-L378)/10</f>
        <v>-0.79589371980676349</v>
      </c>
    </row>
    <row r="379" spans="1:14">
      <c r="A379" s="59"/>
      <c r="B379" s="4" t="str">
        <f>$B$21</f>
        <v>KPI 3</v>
      </c>
      <c r="C379" s="138">
        <f t="shared" ca="1" si="56"/>
        <v>0</v>
      </c>
      <c r="D379" s="138">
        <f t="shared" ca="1" si="56"/>
        <v>0</v>
      </c>
      <c r="E379" s="57">
        <f ca="1">$M$79</f>
        <v>0.22222222222222221</v>
      </c>
      <c r="F379" s="57">
        <f ca="1">$M$80</f>
        <v>10</v>
      </c>
      <c r="G379" s="57">
        <f ca="1">$N$78</f>
        <v>6.8743961352657008</v>
      </c>
      <c r="H379" s="68" t="str">
        <f>$B$21</f>
        <v>KPI 3</v>
      </c>
      <c r="I379" s="158">
        <f ca="1">INDIRECT("W"&amp;N376)</f>
        <v>0</v>
      </c>
      <c r="J379" s="158">
        <f ca="1">INDIRECT("U"&amp;N376)</f>
        <v>0</v>
      </c>
      <c r="K379" s="69">
        <f ca="1">INDIRECT("S"&amp;N376)</f>
        <v>0</v>
      </c>
      <c r="L379" s="67">
        <f ca="1">$N$78</f>
        <v>6.8743961352657008</v>
      </c>
      <c r="M379" s="73">
        <f ca="1">(K379-L379)/10</f>
        <v>-0.68743961352657013</v>
      </c>
    </row>
    <row r="380" spans="1:14">
      <c r="A380" s="59"/>
      <c r="B380" s="4" t="str">
        <f>$B$22</f>
        <v>KPI 4</v>
      </c>
      <c r="C380" s="138">
        <f t="shared" ca="1" si="56"/>
        <v>0</v>
      </c>
      <c r="D380" s="138">
        <f t="shared" ca="1" si="56"/>
        <v>0</v>
      </c>
      <c r="E380" s="57">
        <f ca="1">$P$79</f>
        <v>0</v>
      </c>
      <c r="F380" s="57">
        <f ca="1">$P$80</f>
        <v>9.6923076923076916</v>
      </c>
      <c r="G380" s="57">
        <f ca="1">$Q$78</f>
        <v>6.1337792642140467</v>
      </c>
      <c r="H380" s="68" t="str">
        <f>$B$22</f>
        <v>KPI 4</v>
      </c>
      <c r="I380" s="158">
        <f ca="1">INDIRECT("AB"&amp;N376)</f>
        <v>0</v>
      </c>
      <c r="J380" s="158">
        <f ca="1">INDIRECT("Z"&amp;N376)</f>
        <v>0</v>
      </c>
      <c r="K380" s="69">
        <f ca="1">INDIRECT("X"&amp;N376)</f>
        <v>0</v>
      </c>
      <c r="L380" s="67">
        <f ca="1">$Q$78</f>
        <v>6.1337792642140467</v>
      </c>
      <c r="M380" s="73">
        <f ca="1">(K380-L380)/10</f>
        <v>-0.61337792642140465</v>
      </c>
    </row>
    <row r="381" spans="1:14">
      <c r="A381" s="59"/>
      <c r="J381" s="71"/>
    </row>
    <row r="382" spans="1:14">
      <c r="A382" s="59"/>
      <c r="J382" s="71"/>
    </row>
    <row r="383" spans="1:14" ht="22">
      <c r="A383" s="59"/>
      <c r="C383" s="128" t="s">
        <v>41</v>
      </c>
      <c r="D383" s="128" t="s">
        <v>42</v>
      </c>
      <c r="E383" s="44" t="s">
        <v>358</v>
      </c>
      <c r="F383" s="44" t="s">
        <v>359</v>
      </c>
      <c r="G383" s="44" t="s">
        <v>393</v>
      </c>
      <c r="H383" s="66" t="s">
        <v>215</v>
      </c>
      <c r="I383" s="157" t="s">
        <v>40</v>
      </c>
      <c r="J383" s="157" t="s">
        <v>330</v>
      </c>
      <c r="K383" s="70" t="s">
        <v>331</v>
      </c>
      <c r="L383" s="65" t="s">
        <v>216</v>
      </c>
      <c r="M383" s="72" t="s">
        <v>332</v>
      </c>
      <c r="N383" s="4">
        <f>N376+1</f>
        <v>136</v>
      </c>
    </row>
    <row r="384" spans="1:14">
      <c r="A384" s="59" t="str">
        <f ca="1">INDIRECT("A"&amp;N383)</f>
        <v xml:space="preserve">Istituto per lo sviluppo della formazione professionale dei lavoratori                              </v>
      </c>
      <c r="B384" s="4" t="str">
        <f>$B$19</f>
        <v>KPI 1</v>
      </c>
      <c r="C384" s="138">
        <f t="shared" ref="C384:D387" ca="1" si="57">J384-I384</f>
        <v>0</v>
      </c>
      <c r="D384" s="138">
        <f t="shared" ca="1" si="57"/>
        <v>0</v>
      </c>
      <c r="E384" s="57">
        <f ca="1">$G$79</f>
        <v>0</v>
      </c>
      <c r="F384" s="57">
        <f ca="1">$G$80</f>
        <v>9.6</v>
      </c>
      <c r="G384" s="57">
        <f ca="1">$H$78</f>
        <v>7.4304347826086961</v>
      </c>
      <c r="H384" s="68" t="str">
        <f>$B$19</f>
        <v>KPI 1</v>
      </c>
      <c r="I384" s="158">
        <f ca="1">INDIRECT("M"&amp;N383)</f>
        <v>0</v>
      </c>
      <c r="J384" s="158">
        <f ca="1">INDIRECT("K"&amp;N383)</f>
        <v>0</v>
      </c>
      <c r="K384" s="69">
        <f ca="1">INDIRECT("I"&amp;N383)</f>
        <v>0</v>
      </c>
      <c r="L384" s="67">
        <f ca="1">$H$78</f>
        <v>7.4304347826086961</v>
      </c>
      <c r="M384" s="73">
        <f ca="1">(K384-L384)/10</f>
        <v>-0.74304347826086958</v>
      </c>
    </row>
    <row r="385" spans="1:14">
      <c r="A385" s="59"/>
      <c r="B385" s="312" t="str">
        <f>$B$20</f>
        <v>KPI 2</v>
      </c>
      <c r="C385" s="138">
        <f t="shared" ca="1" si="57"/>
        <v>0</v>
      </c>
      <c r="D385" s="138">
        <f t="shared" ca="1" si="57"/>
        <v>0</v>
      </c>
      <c r="E385" s="57">
        <f ca="1">$J$79</f>
        <v>1.1111111111111112</v>
      </c>
      <c r="F385" s="57">
        <f ca="1">$J$80</f>
        <v>10</v>
      </c>
      <c r="G385" s="57">
        <f ca="1">$K$78</f>
        <v>7.9589371980676349</v>
      </c>
      <c r="H385" s="68" t="str">
        <f>$B$20</f>
        <v>KPI 2</v>
      </c>
      <c r="I385" s="158">
        <f ca="1">INDIRECT("R"&amp;N383)</f>
        <v>0</v>
      </c>
      <c r="J385" s="158">
        <f ca="1">INDIRECT("P"&amp;N383)</f>
        <v>0</v>
      </c>
      <c r="K385" s="69">
        <f ca="1">INDIRECT("N"&amp;N383)</f>
        <v>0</v>
      </c>
      <c r="L385" s="67">
        <f ca="1">$K$78</f>
        <v>7.9589371980676349</v>
      </c>
      <c r="M385" s="73">
        <f ca="1">(K385-L385)/10</f>
        <v>-0.79589371980676349</v>
      </c>
    </row>
    <row r="386" spans="1:14">
      <c r="A386" s="59"/>
      <c r="B386" s="4" t="str">
        <f>$B$21</f>
        <v>KPI 3</v>
      </c>
      <c r="C386" s="138">
        <f t="shared" ca="1" si="57"/>
        <v>0</v>
      </c>
      <c r="D386" s="138">
        <f t="shared" ca="1" si="57"/>
        <v>0</v>
      </c>
      <c r="E386" s="57">
        <f ca="1">$M$79</f>
        <v>0.22222222222222221</v>
      </c>
      <c r="F386" s="57">
        <f ca="1">$M$80</f>
        <v>10</v>
      </c>
      <c r="G386" s="57">
        <f ca="1">$N$78</f>
        <v>6.8743961352657008</v>
      </c>
      <c r="H386" s="68" t="str">
        <f>$B$21</f>
        <v>KPI 3</v>
      </c>
      <c r="I386" s="158">
        <f ca="1">INDIRECT("W"&amp;N383)</f>
        <v>0</v>
      </c>
      <c r="J386" s="158">
        <f ca="1">INDIRECT("U"&amp;N383)</f>
        <v>0</v>
      </c>
      <c r="K386" s="69">
        <f ca="1">INDIRECT("S"&amp;N383)</f>
        <v>0</v>
      </c>
      <c r="L386" s="67">
        <f ca="1">$N$78</f>
        <v>6.8743961352657008</v>
      </c>
      <c r="M386" s="73">
        <f ca="1">(K386-L386)/10</f>
        <v>-0.68743961352657013</v>
      </c>
    </row>
    <row r="387" spans="1:14">
      <c r="A387" s="59"/>
      <c r="B387" s="4" t="str">
        <f>$B$22</f>
        <v>KPI 4</v>
      </c>
      <c r="C387" s="138">
        <f t="shared" ca="1" si="57"/>
        <v>0</v>
      </c>
      <c r="D387" s="138">
        <f t="shared" ca="1" si="57"/>
        <v>0</v>
      </c>
      <c r="E387" s="57">
        <f ca="1">$P$79</f>
        <v>0</v>
      </c>
      <c r="F387" s="57">
        <f ca="1">$P$80</f>
        <v>9.6923076923076916</v>
      </c>
      <c r="G387" s="57">
        <f ca="1">$Q$78</f>
        <v>6.1337792642140467</v>
      </c>
      <c r="H387" s="68" t="str">
        <f>$B$22</f>
        <v>KPI 4</v>
      </c>
      <c r="I387" s="158">
        <f ca="1">INDIRECT("AB"&amp;N383)</f>
        <v>0</v>
      </c>
      <c r="J387" s="158">
        <f ca="1">INDIRECT("Z"&amp;N383)</f>
        <v>0</v>
      </c>
      <c r="K387" s="69">
        <f ca="1">INDIRECT("X"&amp;N383)</f>
        <v>0</v>
      </c>
      <c r="L387" s="67">
        <f ca="1">$Q$78</f>
        <v>6.1337792642140467</v>
      </c>
      <c r="M387" s="73">
        <f ca="1">(K387-L387)/10</f>
        <v>-0.61337792642140465</v>
      </c>
    </row>
    <row r="388" spans="1:14">
      <c r="A388" s="59"/>
      <c r="J388" s="71"/>
    </row>
    <row r="389" spans="1:14">
      <c r="A389" s="59"/>
      <c r="J389" s="71"/>
    </row>
    <row r="390" spans="1:14" ht="22">
      <c r="A390" s="59"/>
      <c r="C390" s="128" t="s">
        <v>41</v>
      </c>
      <c r="D390" s="128" t="s">
        <v>42</v>
      </c>
      <c r="E390" s="44" t="s">
        <v>358</v>
      </c>
      <c r="F390" s="44" t="s">
        <v>359</v>
      </c>
      <c r="G390" s="44" t="s">
        <v>393</v>
      </c>
      <c r="H390" s="66" t="s">
        <v>215</v>
      </c>
      <c r="I390" s="157" t="s">
        <v>40</v>
      </c>
      <c r="J390" s="157" t="s">
        <v>330</v>
      </c>
      <c r="K390" s="70" t="s">
        <v>331</v>
      </c>
      <c r="L390" s="65" t="s">
        <v>216</v>
      </c>
      <c r="M390" s="72" t="s">
        <v>332</v>
      </c>
      <c r="N390" s="4">
        <f>N383+1</f>
        <v>137</v>
      </c>
    </row>
    <row r="391" spans="1:14">
      <c r="A391" s="59" t="str">
        <f ca="1">INDIRECT("A"&amp;N390)</f>
        <v>Istituto per lo sviluppo della formazione professionale dei lavoratori</v>
      </c>
      <c r="B391" s="4" t="str">
        <f>$B$19</f>
        <v>KPI 1</v>
      </c>
      <c r="C391" s="138">
        <f t="shared" ref="C391:D394" ca="1" si="58">J391-I391</f>
        <v>0</v>
      </c>
      <c r="D391" s="138">
        <f t="shared" ca="1" si="58"/>
        <v>0</v>
      </c>
      <c r="E391" s="57">
        <f ca="1">$G$79</f>
        <v>0</v>
      </c>
      <c r="F391" s="57">
        <f ca="1">$G$80</f>
        <v>9.6</v>
      </c>
      <c r="G391" s="57">
        <f ca="1">$H$78</f>
        <v>7.4304347826086961</v>
      </c>
      <c r="H391" s="68" t="str">
        <f>$B$19</f>
        <v>KPI 1</v>
      </c>
      <c r="I391" s="158">
        <f ca="1">INDIRECT("M"&amp;N390)</f>
        <v>0</v>
      </c>
      <c r="J391" s="158">
        <f ca="1">INDIRECT("K"&amp;N390)</f>
        <v>0</v>
      </c>
      <c r="K391" s="69">
        <f ca="1">INDIRECT("I"&amp;N390)</f>
        <v>0</v>
      </c>
      <c r="L391" s="67">
        <f ca="1">$H$78</f>
        <v>7.4304347826086961</v>
      </c>
      <c r="M391" s="73">
        <f ca="1">(K391-L391)/10</f>
        <v>-0.74304347826086958</v>
      </c>
    </row>
    <row r="392" spans="1:14">
      <c r="A392" s="59"/>
      <c r="B392" s="312" t="str">
        <f>$B$20</f>
        <v>KPI 2</v>
      </c>
      <c r="C392" s="138">
        <f t="shared" ca="1" si="58"/>
        <v>0</v>
      </c>
      <c r="D392" s="138">
        <f t="shared" ca="1" si="58"/>
        <v>0</v>
      </c>
      <c r="E392" s="57">
        <f ca="1">$J$79</f>
        <v>1.1111111111111112</v>
      </c>
      <c r="F392" s="57">
        <f ca="1">$J$80</f>
        <v>10</v>
      </c>
      <c r="G392" s="57">
        <f ca="1">$K$78</f>
        <v>7.9589371980676349</v>
      </c>
      <c r="H392" s="68" t="str">
        <f>$B$20</f>
        <v>KPI 2</v>
      </c>
      <c r="I392" s="158">
        <f ca="1">INDIRECT("R"&amp;N390)</f>
        <v>0</v>
      </c>
      <c r="J392" s="158">
        <f ca="1">INDIRECT("P"&amp;N390)</f>
        <v>0</v>
      </c>
      <c r="K392" s="69">
        <f ca="1">INDIRECT("N"&amp;N390)</f>
        <v>0</v>
      </c>
      <c r="L392" s="67">
        <f ca="1">$K$78</f>
        <v>7.9589371980676349</v>
      </c>
      <c r="M392" s="73">
        <f ca="1">(K392-L392)/10</f>
        <v>-0.79589371980676349</v>
      </c>
    </row>
    <row r="393" spans="1:14">
      <c r="A393" s="59"/>
      <c r="B393" s="4" t="str">
        <f>$B$21</f>
        <v>KPI 3</v>
      </c>
      <c r="C393" s="138">
        <f t="shared" ca="1" si="58"/>
        <v>0</v>
      </c>
      <c r="D393" s="138">
        <f t="shared" ca="1" si="58"/>
        <v>0</v>
      </c>
      <c r="E393" s="57">
        <f ca="1">$M$79</f>
        <v>0.22222222222222221</v>
      </c>
      <c r="F393" s="57">
        <f ca="1">$M$80</f>
        <v>10</v>
      </c>
      <c r="G393" s="57">
        <f ca="1">$N$78</f>
        <v>6.8743961352657008</v>
      </c>
      <c r="H393" s="68" t="str">
        <f>$B$21</f>
        <v>KPI 3</v>
      </c>
      <c r="I393" s="158">
        <f ca="1">INDIRECT("W"&amp;N390)</f>
        <v>0</v>
      </c>
      <c r="J393" s="158">
        <f ca="1">INDIRECT("U"&amp;N390)</f>
        <v>0</v>
      </c>
      <c r="K393" s="69">
        <f ca="1">INDIRECT("S"&amp;N390)</f>
        <v>0</v>
      </c>
      <c r="L393" s="67">
        <f ca="1">$N$78</f>
        <v>6.8743961352657008</v>
      </c>
      <c r="M393" s="73">
        <f ca="1">(K393-L393)/10</f>
        <v>-0.68743961352657013</v>
      </c>
    </row>
    <row r="394" spans="1:14">
      <c r="A394" s="59"/>
      <c r="B394" s="4" t="str">
        <f>$B$22</f>
        <v>KPI 4</v>
      </c>
      <c r="C394" s="138">
        <f t="shared" ca="1" si="58"/>
        <v>0</v>
      </c>
      <c r="D394" s="138">
        <f t="shared" ca="1" si="58"/>
        <v>0</v>
      </c>
      <c r="E394" s="57">
        <f ca="1">$P$79</f>
        <v>0</v>
      </c>
      <c r="F394" s="57">
        <f ca="1">$P$80</f>
        <v>9.6923076923076916</v>
      </c>
      <c r="G394" s="57">
        <f ca="1">$Q$78</f>
        <v>6.1337792642140467</v>
      </c>
      <c r="H394" s="68" t="str">
        <f>$B$22</f>
        <v>KPI 4</v>
      </c>
      <c r="I394" s="158">
        <f ca="1">INDIRECT("AB"&amp;N390)</f>
        <v>0</v>
      </c>
      <c r="J394" s="158">
        <f ca="1">INDIRECT("Z"&amp;N390)</f>
        <v>0</v>
      </c>
      <c r="K394" s="69">
        <f ca="1">INDIRECT("X"&amp;N390)</f>
        <v>0</v>
      </c>
      <c r="L394" s="67">
        <f ca="1">$Q$78</f>
        <v>6.1337792642140467</v>
      </c>
      <c r="M394" s="73">
        <f ca="1">(K394-L394)/10</f>
        <v>-0.61337792642140465</v>
      </c>
    </row>
    <row r="395" spans="1:14">
      <c r="A395" s="59"/>
      <c r="J395" s="71"/>
    </row>
    <row r="396" spans="1:14">
      <c r="A396" s="59"/>
      <c r="J396" s="71"/>
    </row>
    <row r="397" spans="1:14" ht="22">
      <c r="A397" s="59"/>
      <c r="C397" s="128" t="s">
        <v>41</v>
      </c>
      <c r="D397" s="128" t="s">
        <v>42</v>
      </c>
      <c r="E397" s="44" t="s">
        <v>358</v>
      </c>
      <c r="F397" s="44" t="s">
        <v>359</v>
      </c>
      <c r="G397" s="44" t="s">
        <v>393</v>
      </c>
      <c r="H397" s="66" t="s">
        <v>215</v>
      </c>
      <c r="I397" s="157" t="s">
        <v>40</v>
      </c>
      <c r="J397" s="157" t="s">
        <v>330</v>
      </c>
      <c r="K397" s="70" t="s">
        <v>331</v>
      </c>
      <c r="L397" s="65" t="s">
        <v>216</v>
      </c>
      <c r="M397" s="72" t="s">
        <v>332</v>
      </c>
      <c r="N397" s="4">
        <f>N390+1</f>
        <v>138</v>
      </c>
    </row>
    <row r="398" spans="1:14">
      <c r="A398" s="59" t="str">
        <f ca="1">INDIRECT("A"&amp;N397)</f>
        <v>Ente nazionale previdenza assistenza lavoratori dello spettacolo</v>
      </c>
      <c r="B398" s="4" t="str">
        <f>$B$19</f>
        <v>KPI 1</v>
      </c>
      <c r="C398" s="138">
        <f t="shared" ref="C398:D401" ca="1" si="59">J398-I398</f>
        <v>0</v>
      </c>
      <c r="D398" s="138">
        <f t="shared" ca="1" si="59"/>
        <v>0</v>
      </c>
      <c r="E398" s="57">
        <f ca="1">$G$79</f>
        <v>0</v>
      </c>
      <c r="F398" s="57">
        <f ca="1">$G$80</f>
        <v>9.6</v>
      </c>
      <c r="G398" s="57">
        <f ca="1">$H$78</f>
        <v>7.4304347826086961</v>
      </c>
      <c r="H398" s="68" t="str">
        <f>$B$19</f>
        <v>KPI 1</v>
      </c>
      <c r="I398" s="158">
        <f ca="1">INDIRECT("M"&amp;N397)</f>
        <v>0</v>
      </c>
      <c r="J398" s="158">
        <f ca="1">INDIRECT("K"&amp;N397)</f>
        <v>0</v>
      </c>
      <c r="K398" s="69">
        <f ca="1">INDIRECT("I"&amp;N397)</f>
        <v>0</v>
      </c>
      <c r="L398" s="67">
        <f ca="1">$H$78</f>
        <v>7.4304347826086961</v>
      </c>
      <c r="M398" s="73">
        <f ca="1">(K398-L398)/10</f>
        <v>-0.74304347826086958</v>
      </c>
    </row>
    <row r="399" spans="1:14">
      <c r="A399" s="59"/>
      <c r="B399" s="312" t="str">
        <f>$B$20</f>
        <v>KPI 2</v>
      </c>
      <c r="C399" s="138">
        <f t="shared" ca="1" si="59"/>
        <v>0</v>
      </c>
      <c r="D399" s="138">
        <f t="shared" ca="1" si="59"/>
        <v>0</v>
      </c>
      <c r="E399" s="57">
        <f ca="1">$J$79</f>
        <v>1.1111111111111112</v>
      </c>
      <c r="F399" s="57">
        <f ca="1">$J$80</f>
        <v>10</v>
      </c>
      <c r="G399" s="57">
        <f ca="1">$K$78</f>
        <v>7.9589371980676349</v>
      </c>
      <c r="H399" s="68" t="str">
        <f>$B$20</f>
        <v>KPI 2</v>
      </c>
      <c r="I399" s="158">
        <f ca="1">INDIRECT("R"&amp;N397)</f>
        <v>0</v>
      </c>
      <c r="J399" s="158">
        <f ca="1">INDIRECT("P"&amp;N397)</f>
        <v>0</v>
      </c>
      <c r="K399" s="69">
        <f ca="1">INDIRECT("N"&amp;N397)</f>
        <v>0</v>
      </c>
      <c r="L399" s="67">
        <f ca="1">$K$78</f>
        <v>7.9589371980676349</v>
      </c>
      <c r="M399" s="73">
        <f ca="1">(K399-L399)/10</f>
        <v>-0.79589371980676349</v>
      </c>
    </row>
    <row r="400" spans="1:14">
      <c r="A400" s="59"/>
      <c r="B400" s="4" t="str">
        <f>$B$21</f>
        <v>KPI 3</v>
      </c>
      <c r="C400" s="138">
        <f t="shared" ca="1" si="59"/>
        <v>0</v>
      </c>
      <c r="D400" s="138">
        <f t="shared" ca="1" si="59"/>
        <v>0</v>
      </c>
      <c r="E400" s="57">
        <f ca="1">$M$79</f>
        <v>0.22222222222222221</v>
      </c>
      <c r="F400" s="57">
        <f ca="1">$M$80</f>
        <v>10</v>
      </c>
      <c r="G400" s="57">
        <f ca="1">$N$78</f>
        <v>6.8743961352657008</v>
      </c>
      <c r="H400" s="68" t="str">
        <f>$B$21</f>
        <v>KPI 3</v>
      </c>
      <c r="I400" s="158">
        <f ca="1">INDIRECT("W"&amp;N397)</f>
        <v>0</v>
      </c>
      <c r="J400" s="158">
        <f ca="1">INDIRECT("U"&amp;N397)</f>
        <v>0</v>
      </c>
      <c r="K400" s="69">
        <f ca="1">INDIRECT("S"&amp;N397)</f>
        <v>0</v>
      </c>
      <c r="L400" s="67">
        <f ca="1">$N$78</f>
        <v>6.8743961352657008</v>
      </c>
      <c r="M400" s="73">
        <f ca="1">(K400-L400)/10</f>
        <v>-0.68743961352657013</v>
      </c>
    </row>
    <row r="401" spans="1:14">
      <c r="A401" s="59"/>
      <c r="B401" s="4" t="str">
        <f>$B$22</f>
        <v>KPI 4</v>
      </c>
      <c r="C401" s="138">
        <f t="shared" ca="1" si="59"/>
        <v>0</v>
      </c>
      <c r="D401" s="138">
        <f t="shared" ca="1" si="59"/>
        <v>0</v>
      </c>
      <c r="E401" s="57">
        <f ca="1">$P$79</f>
        <v>0</v>
      </c>
      <c r="F401" s="57">
        <f ca="1">$P$80</f>
        <v>9.6923076923076916</v>
      </c>
      <c r="G401" s="57">
        <f ca="1">$Q$78</f>
        <v>6.1337792642140467</v>
      </c>
      <c r="H401" s="68" t="str">
        <f>$B$22</f>
        <v>KPI 4</v>
      </c>
      <c r="I401" s="158">
        <f ca="1">INDIRECT("AB"&amp;N397)</f>
        <v>0</v>
      </c>
      <c r="J401" s="158">
        <f ca="1">INDIRECT("Z"&amp;N397)</f>
        <v>0</v>
      </c>
      <c r="K401" s="69">
        <f ca="1">INDIRECT("X"&amp;N397)</f>
        <v>0</v>
      </c>
      <c r="L401" s="67">
        <f ca="1">$Q$78</f>
        <v>6.1337792642140467</v>
      </c>
      <c r="M401" s="73">
        <f ca="1">(K401-L401)/10</f>
        <v>-0.61337792642140465</v>
      </c>
    </row>
    <row r="402" spans="1:14">
      <c r="A402" s="59"/>
      <c r="J402" s="71"/>
    </row>
    <row r="403" spans="1:14">
      <c r="A403" s="59"/>
      <c r="J403" s="71"/>
    </row>
    <row r="404" spans="1:14" ht="22">
      <c r="A404" s="59"/>
      <c r="C404" s="128" t="s">
        <v>41</v>
      </c>
      <c r="D404" s="128" t="s">
        <v>42</v>
      </c>
      <c r="E404" s="44" t="s">
        <v>358</v>
      </c>
      <c r="F404" s="44" t="s">
        <v>359</v>
      </c>
      <c r="G404" s="44" t="s">
        <v>393</v>
      </c>
      <c r="H404" s="66" t="s">
        <v>215</v>
      </c>
      <c r="I404" s="157" t="s">
        <v>40</v>
      </c>
      <c r="J404" s="157" t="s">
        <v>330</v>
      </c>
      <c r="K404" s="70" t="s">
        <v>331</v>
      </c>
      <c r="L404" s="65" t="s">
        <v>216</v>
      </c>
      <c r="M404" s="72" t="s">
        <v>332</v>
      </c>
      <c r="N404" s="4">
        <f>N397+1</f>
        <v>139</v>
      </c>
    </row>
    <row r="405" spans="1:14">
      <c r="A405" s="59" t="str">
        <f ca="1">INDIRECT("A"&amp;N404)</f>
        <v xml:space="preserve">Istituto dei postelegrafonici                                                                       </v>
      </c>
      <c r="B405" s="4" t="str">
        <f>$B$19</f>
        <v>KPI 1</v>
      </c>
      <c r="C405" s="138">
        <f t="shared" ref="C405:D408" ca="1" si="60">J405-I405</f>
        <v>0</v>
      </c>
      <c r="D405" s="138">
        <f t="shared" ca="1" si="60"/>
        <v>0</v>
      </c>
      <c r="E405" s="57">
        <f ca="1">$G$79</f>
        <v>0</v>
      </c>
      <c r="F405" s="57">
        <f ca="1">$G$80</f>
        <v>9.6</v>
      </c>
      <c r="G405" s="57">
        <f ca="1">$H$78</f>
        <v>7.4304347826086961</v>
      </c>
      <c r="H405" s="68" t="str">
        <f>$B$19</f>
        <v>KPI 1</v>
      </c>
      <c r="I405" s="158">
        <f ca="1">INDIRECT("M"&amp;N404)</f>
        <v>0</v>
      </c>
      <c r="J405" s="158">
        <f ca="1">INDIRECT("K"&amp;N404)</f>
        <v>0</v>
      </c>
      <c r="K405" s="69">
        <f ca="1">INDIRECT("I"&amp;N404)</f>
        <v>0</v>
      </c>
      <c r="L405" s="67">
        <f ca="1">$H$78</f>
        <v>7.4304347826086961</v>
      </c>
      <c r="M405" s="73">
        <f ca="1">(K405-L405)/10</f>
        <v>-0.74304347826086958</v>
      </c>
    </row>
    <row r="406" spans="1:14">
      <c r="A406" s="59"/>
      <c r="B406" s="312" t="str">
        <f>$B$20</f>
        <v>KPI 2</v>
      </c>
      <c r="C406" s="138">
        <f t="shared" ca="1" si="60"/>
        <v>0</v>
      </c>
      <c r="D406" s="138">
        <f t="shared" ca="1" si="60"/>
        <v>0</v>
      </c>
      <c r="E406" s="57">
        <f ca="1">$J$79</f>
        <v>1.1111111111111112</v>
      </c>
      <c r="F406" s="57">
        <f ca="1">$J$80</f>
        <v>10</v>
      </c>
      <c r="G406" s="57">
        <f ca="1">$K$78</f>
        <v>7.9589371980676349</v>
      </c>
      <c r="H406" s="68" t="str">
        <f>$B$20</f>
        <v>KPI 2</v>
      </c>
      <c r="I406" s="158">
        <f ca="1">INDIRECT("R"&amp;N404)</f>
        <v>0</v>
      </c>
      <c r="J406" s="158">
        <f ca="1">INDIRECT("P"&amp;N404)</f>
        <v>0</v>
      </c>
      <c r="K406" s="69">
        <f ca="1">INDIRECT("N"&amp;N404)</f>
        <v>0</v>
      </c>
      <c r="L406" s="67">
        <f ca="1">$K$78</f>
        <v>7.9589371980676349</v>
      </c>
      <c r="M406" s="73">
        <f ca="1">(K406-L406)/10</f>
        <v>-0.79589371980676349</v>
      </c>
    </row>
    <row r="407" spans="1:14">
      <c r="A407" s="59"/>
      <c r="B407" s="4" t="str">
        <f>$B$21</f>
        <v>KPI 3</v>
      </c>
      <c r="C407" s="138">
        <f t="shared" ca="1" si="60"/>
        <v>0</v>
      </c>
      <c r="D407" s="138">
        <f t="shared" ca="1" si="60"/>
        <v>0</v>
      </c>
      <c r="E407" s="57">
        <f ca="1">$M$79</f>
        <v>0.22222222222222221</v>
      </c>
      <c r="F407" s="57">
        <f ca="1">$M$80</f>
        <v>10</v>
      </c>
      <c r="G407" s="57">
        <f ca="1">$N$78</f>
        <v>6.8743961352657008</v>
      </c>
      <c r="H407" s="68" t="str">
        <f>$B$21</f>
        <v>KPI 3</v>
      </c>
      <c r="I407" s="158">
        <f ca="1">INDIRECT("W"&amp;N404)</f>
        <v>0</v>
      </c>
      <c r="J407" s="158">
        <f ca="1">INDIRECT("U"&amp;N404)</f>
        <v>0</v>
      </c>
      <c r="K407" s="69">
        <f ca="1">INDIRECT("S"&amp;N404)</f>
        <v>0</v>
      </c>
      <c r="L407" s="67">
        <f ca="1">$N$78</f>
        <v>6.8743961352657008</v>
      </c>
      <c r="M407" s="73">
        <f ca="1">(K407-L407)/10</f>
        <v>-0.68743961352657013</v>
      </c>
    </row>
    <row r="408" spans="1:14">
      <c r="A408" s="59"/>
      <c r="B408" s="4" t="str">
        <f>$B$22</f>
        <v>KPI 4</v>
      </c>
      <c r="C408" s="138">
        <f t="shared" ca="1" si="60"/>
        <v>0</v>
      </c>
      <c r="D408" s="138">
        <f t="shared" ca="1" si="60"/>
        <v>0</v>
      </c>
      <c r="E408" s="57">
        <f ca="1">$P$79</f>
        <v>0</v>
      </c>
      <c r="F408" s="57">
        <f ca="1">$P$80</f>
        <v>9.6923076923076916</v>
      </c>
      <c r="G408" s="57">
        <f ca="1">$Q$78</f>
        <v>6.1337792642140467</v>
      </c>
      <c r="H408" s="68" t="str">
        <f>$B$22</f>
        <v>KPI 4</v>
      </c>
      <c r="I408" s="158">
        <f ca="1">INDIRECT("AB"&amp;N404)</f>
        <v>0</v>
      </c>
      <c r="J408" s="158">
        <f ca="1">INDIRECT("Z"&amp;N404)</f>
        <v>0</v>
      </c>
      <c r="K408" s="69">
        <f ca="1">INDIRECT("X"&amp;N404)</f>
        <v>0</v>
      </c>
      <c r="L408" s="67">
        <f ca="1">$Q$78</f>
        <v>6.1337792642140467</v>
      </c>
      <c r="M408" s="73">
        <f ca="1">(K408-L408)/10</f>
        <v>-0.61337792642140465</v>
      </c>
    </row>
    <row r="409" spans="1:14">
      <c r="A409" s="59"/>
      <c r="J409" s="71"/>
    </row>
    <row r="410" spans="1:14">
      <c r="A410" s="59"/>
      <c r="J410" s="71"/>
    </row>
    <row r="411" spans="1:14" ht="22">
      <c r="A411" s="59"/>
      <c r="C411" s="128" t="s">
        <v>41</v>
      </c>
      <c r="D411" s="128" t="s">
        <v>42</v>
      </c>
      <c r="E411" s="44" t="s">
        <v>358</v>
      </c>
      <c r="F411" s="44" t="s">
        <v>359</v>
      </c>
      <c r="G411" s="44" t="s">
        <v>393</v>
      </c>
      <c r="H411" s="66" t="s">
        <v>215</v>
      </c>
      <c r="I411" s="157" t="s">
        <v>40</v>
      </c>
      <c r="J411" s="157" t="s">
        <v>330</v>
      </c>
      <c r="K411" s="70" t="s">
        <v>331</v>
      </c>
      <c r="L411" s="65" t="s">
        <v>216</v>
      </c>
      <c r="M411" s="72" t="s">
        <v>332</v>
      </c>
      <c r="N411" s="4">
        <f>N404+1</f>
        <v>140</v>
      </c>
    </row>
    <row r="412" spans="1:14">
      <c r="A412" s="59" t="str">
        <f ca="1">INDIRECT("A"&amp;N411)</f>
        <v xml:space="preserve">Agenzia per le erogazioni in agricoltura                                                            </v>
      </c>
      <c r="B412" s="4" t="str">
        <f>$B$19</f>
        <v>KPI 1</v>
      </c>
      <c r="C412" s="138">
        <f t="shared" ref="C412:D415" ca="1" si="61">J412-I412</f>
        <v>0</v>
      </c>
      <c r="D412" s="138">
        <f t="shared" ca="1" si="61"/>
        <v>0</v>
      </c>
      <c r="E412" s="57">
        <f ca="1">$G$79</f>
        <v>0</v>
      </c>
      <c r="F412" s="57">
        <f ca="1">$G$80</f>
        <v>9.6</v>
      </c>
      <c r="G412" s="57">
        <f ca="1">$H$78</f>
        <v>7.4304347826086961</v>
      </c>
      <c r="H412" s="68" t="str">
        <f>$B$19</f>
        <v>KPI 1</v>
      </c>
      <c r="I412" s="158">
        <f ca="1">INDIRECT("M"&amp;N411)</f>
        <v>0</v>
      </c>
      <c r="J412" s="158">
        <f ca="1">INDIRECT("K"&amp;N411)</f>
        <v>0</v>
      </c>
      <c r="K412" s="69">
        <f ca="1">INDIRECT("I"&amp;N411)</f>
        <v>0</v>
      </c>
      <c r="L412" s="67">
        <f ca="1">$H$78</f>
        <v>7.4304347826086961</v>
      </c>
      <c r="M412" s="73">
        <f ca="1">(K412-L412)/10</f>
        <v>-0.74304347826086958</v>
      </c>
    </row>
    <row r="413" spans="1:14">
      <c r="A413" s="59"/>
      <c r="B413" s="312" t="str">
        <f>$B$20</f>
        <v>KPI 2</v>
      </c>
      <c r="C413" s="138">
        <f t="shared" ca="1" si="61"/>
        <v>0</v>
      </c>
      <c r="D413" s="138">
        <f t="shared" ca="1" si="61"/>
        <v>0</v>
      </c>
      <c r="E413" s="57">
        <f ca="1">$J$79</f>
        <v>1.1111111111111112</v>
      </c>
      <c r="F413" s="57">
        <f ca="1">$J$80</f>
        <v>10</v>
      </c>
      <c r="G413" s="57">
        <f ca="1">$K$78</f>
        <v>7.9589371980676349</v>
      </c>
      <c r="H413" s="68" t="str">
        <f>$B$20</f>
        <v>KPI 2</v>
      </c>
      <c r="I413" s="158">
        <f ca="1">INDIRECT("R"&amp;N411)</f>
        <v>0</v>
      </c>
      <c r="J413" s="158">
        <f ca="1">INDIRECT("P"&amp;N411)</f>
        <v>0</v>
      </c>
      <c r="K413" s="69">
        <f ca="1">INDIRECT("N"&amp;N411)</f>
        <v>0</v>
      </c>
      <c r="L413" s="67">
        <f ca="1">$K$78</f>
        <v>7.9589371980676349</v>
      </c>
      <c r="M413" s="73">
        <f ca="1">(K413-L413)/10</f>
        <v>-0.79589371980676349</v>
      </c>
    </row>
    <row r="414" spans="1:14">
      <c r="A414" s="59"/>
      <c r="B414" s="4" t="str">
        <f>$B$21</f>
        <v>KPI 3</v>
      </c>
      <c r="C414" s="138">
        <f t="shared" ca="1" si="61"/>
        <v>0</v>
      </c>
      <c r="D414" s="138">
        <f t="shared" ca="1" si="61"/>
        <v>0</v>
      </c>
      <c r="E414" s="57">
        <f ca="1">$M$79</f>
        <v>0.22222222222222221</v>
      </c>
      <c r="F414" s="57">
        <f ca="1">$M$80</f>
        <v>10</v>
      </c>
      <c r="G414" s="57">
        <f ca="1">$N$78</f>
        <v>6.8743961352657008</v>
      </c>
      <c r="H414" s="68" t="str">
        <f>$B$21</f>
        <v>KPI 3</v>
      </c>
      <c r="I414" s="158">
        <f ca="1">INDIRECT("W"&amp;N411)</f>
        <v>0</v>
      </c>
      <c r="J414" s="158">
        <f ca="1">INDIRECT("U"&amp;N411)</f>
        <v>0</v>
      </c>
      <c r="K414" s="69">
        <f ca="1">INDIRECT("S"&amp;N411)</f>
        <v>0</v>
      </c>
      <c r="L414" s="67">
        <f ca="1">$N$78</f>
        <v>6.8743961352657008</v>
      </c>
      <c r="M414" s="73">
        <f ca="1">(K414-L414)/10</f>
        <v>-0.68743961352657013</v>
      </c>
    </row>
    <row r="415" spans="1:14">
      <c r="A415" s="59"/>
      <c r="B415" s="4" t="str">
        <f>$B$22</f>
        <v>KPI 4</v>
      </c>
      <c r="C415" s="138">
        <f t="shared" ca="1" si="61"/>
        <v>0</v>
      </c>
      <c r="D415" s="138">
        <f t="shared" ca="1" si="61"/>
        <v>0</v>
      </c>
      <c r="E415" s="57">
        <f ca="1">$P$79</f>
        <v>0</v>
      </c>
      <c r="F415" s="57">
        <f ca="1">$P$80</f>
        <v>9.6923076923076916</v>
      </c>
      <c r="G415" s="57">
        <f ca="1">$Q$78</f>
        <v>6.1337792642140467</v>
      </c>
      <c r="H415" s="68" t="str">
        <f>$B$22</f>
        <v>KPI 4</v>
      </c>
      <c r="I415" s="158">
        <f ca="1">INDIRECT("AB"&amp;N411)</f>
        <v>0</v>
      </c>
      <c r="J415" s="158">
        <f ca="1">INDIRECT("Z"&amp;N411)</f>
        <v>0</v>
      </c>
      <c r="K415" s="69">
        <f ca="1">INDIRECT("X"&amp;N411)</f>
        <v>0</v>
      </c>
      <c r="L415" s="67">
        <f ca="1">$Q$78</f>
        <v>6.1337792642140467</v>
      </c>
      <c r="M415" s="73">
        <f ca="1">(K415-L415)/10</f>
        <v>-0.61337792642140465</v>
      </c>
    </row>
    <row r="416" spans="1:14">
      <c r="A416" s="59"/>
      <c r="J416" s="71"/>
    </row>
    <row r="417" spans="1:14">
      <c r="A417" s="59"/>
      <c r="J417" s="71"/>
    </row>
    <row r="418" spans="1:14" ht="22">
      <c r="A418" s="59"/>
      <c r="C418" s="128" t="s">
        <v>41</v>
      </c>
      <c r="D418" s="128" t="s">
        <v>42</v>
      </c>
      <c r="E418" s="44" t="s">
        <v>358</v>
      </c>
      <c r="F418" s="44" t="s">
        <v>359</v>
      </c>
      <c r="G418" s="44" t="s">
        <v>393</v>
      </c>
      <c r="H418" s="66" t="s">
        <v>215</v>
      </c>
      <c r="I418" s="157" t="s">
        <v>40</v>
      </c>
      <c r="J418" s="157" t="s">
        <v>330</v>
      </c>
      <c r="K418" s="70" t="s">
        <v>331</v>
      </c>
      <c r="L418" s="65" t="s">
        <v>216</v>
      </c>
      <c r="M418" s="72" t="s">
        <v>332</v>
      </c>
      <c r="N418" s="4">
        <f>N411+1</f>
        <v>141</v>
      </c>
    </row>
    <row r="419" spans="1:14">
      <c r="A419" s="59" t="str">
        <f ca="1">INDIRECT("A"&amp;N418)</f>
        <v xml:space="preserve">Istituto nazionale di economia agraria                 </v>
      </c>
      <c r="B419" s="4" t="str">
        <f>$B$19</f>
        <v>KPI 1</v>
      </c>
      <c r="C419" s="138">
        <f t="shared" ref="C419:D422" ca="1" si="62">J419-I419</f>
        <v>0</v>
      </c>
      <c r="D419" s="138">
        <f t="shared" ca="1" si="62"/>
        <v>0</v>
      </c>
      <c r="E419" s="57">
        <f ca="1">$G$79</f>
        <v>0</v>
      </c>
      <c r="F419" s="57">
        <f ca="1">$G$80</f>
        <v>9.6</v>
      </c>
      <c r="G419" s="57">
        <f ca="1">$H$78</f>
        <v>7.4304347826086961</v>
      </c>
      <c r="H419" s="68" t="str">
        <f>$B$19</f>
        <v>KPI 1</v>
      </c>
      <c r="I419" s="158">
        <f ca="1">INDIRECT("M"&amp;N418)</f>
        <v>0</v>
      </c>
      <c r="J419" s="158">
        <f ca="1">INDIRECT("K"&amp;N418)</f>
        <v>0</v>
      </c>
      <c r="K419" s="69">
        <f ca="1">INDIRECT("I"&amp;N418)</f>
        <v>0</v>
      </c>
      <c r="L419" s="67">
        <f ca="1">$H$78</f>
        <v>7.4304347826086961</v>
      </c>
      <c r="M419" s="73">
        <f ca="1">(K419-L419)/10</f>
        <v>-0.74304347826086958</v>
      </c>
    </row>
    <row r="420" spans="1:14">
      <c r="A420" s="59"/>
      <c r="B420" s="312" t="str">
        <f>$B$20</f>
        <v>KPI 2</v>
      </c>
      <c r="C420" s="138">
        <f t="shared" ca="1" si="62"/>
        <v>0</v>
      </c>
      <c r="D420" s="138">
        <f t="shared" ca="1" si="62"/>
        <v>0</v>
      </c>
      <c r="E420" s="57">
        <f ca="1">$J$79</f>
        <v>1.1111111111111112</v>
      </c>
      <c r="F420" s="57">
        <f ca="1">$J$80</f>
        <v>10</v>
      </c>
      <c r="G420" s="57">
        <f ca="1">$K$78</f>
        <v>7.9589371980676349</v>
      </c>
      <c r="H420" s="68" t="str">
        <f>$B$20</f>
        <v>KPI 2</v>
      </c>
      <c r="I420" s="158">
        <f ca="1">INDIRECT("R"&amp;N418)</f>
        <v>0</v>
      </c>
      <c r="J420" s="158">
        <f ca="1">INDIRECT("P"&amp;N418)</f>
        <v>0</v>
      </c>
      <c r="K420" s="69">
        <f ca="1">INDIRECT("N"&amp;N418)</f>
        <v>0</v>
      </c>
      <c r="L420" s="67">
        <f ca="1">$K$78</f>
        <v>7.9589371980676349</v>
      </c>
      <c r="M420" s="73">
        <f ca="1">(K420-L420)/10</f>
        <v>-0.79589371980676349</v>
      </c>
    </row>
    <row r="421" spans="1:14">
      <c r="A421" s="59"/>
      <c r="B421" s="4" t="str">
        <f>$B$21</f>
        <v>KPI 3</v>
      </c>
      <c r="C421" s="138">
        <f t="shared" ca="1" si="62"/>
        <v>0</v>
      </c>
      <c r="D421" s="138">
        <f t="shared" ca="1" si="62"/>
        <v>0</v>
      </c>
      <c r="E421" s="57">
        <f ca="1">$M$79</f>
        <v>0.22222222222222221</v>
      </c>
      <c r="F421" s="57">
        <f ca="1">$M$80</f>
        <v>10</v>
      </c>
      <c r="G421" s="57">
        <f ca="1">$N$78</f>
        <v>6.8743961352657008</v>
      </c>
      <c r="H421" s="68" t="str">
        <f>$B$21</f>
        <v>KPI 3</v>
      </c>
      <c r="I421" s="158">
        <f ca="1">INDIRECT("W"&amp;N418)</f>
        <v>0</v>
      </c>
      <c r="J421" s="158">
        <f ca="1">INDIRECT("U"&amp;N418)</f>
        <v>0</v>
      </c>
      <c r="K421" s="69">
        <f ca="1">INDIRECT("S"&amp;N418)</f>
        <v>0</v>
      </c>
      <c r="L421" s="67">
        <f ca="1">$N$78</f>
        <v>6.8743961352657008</v>
      </c>
      <c r="M421" s="73">
        <f ca="1">(K421-L421)/10</f>
        <v>-0.68743961352657013</v>
      </c>
    </row>
    <row r="422" spans="1:14">
      <c r="A422" s="59"/>
      <c r="B422" s="4" t="str">
        <f>$B$22</f>
        <v>KPI 4</v>
      </c>
      <c r="C422" s="138">
        <f t="shared" ca="1" si="62"/>
        <v>0</v>
      </c>
      <c r="D422" s="138">
        <f t="shared" ca="1" si="62"/>
        <v>0</v>
      </c>
      <c r="E422" s="57">
        <f ca="1">$P$79</f>
        <v>0</v>
      </c>
      <c r="F422" s="57">
        <f ca="1">$P$80</f>
        <v>9.6923076923076916</v>
      </c>
      <c r="G422" s="57">
        <f ca="1">$Q$78</f>
        <v>6.1337792642140467</v>
      </c>
      <c r="H422" s="68" t="str">
        <f>$B$22</f>
        <v>KPI 4</v>
      </c>
      <c r="I422" s="158">
        <f ca="1">INDIRECT("AB"&amp;N418)</f>
        <v>0</v>
      </c>
      <c r="J422" s="158">
        <f ca="1">INDIRECT("Z"&amp;N418)</f>
        <v>0</v>
      </c>
      <c r="K422" s="69">
        <f ca="1">INDIRECT("X"&amp;N418)</f>
        <v>0</v>
      </c>
      <c r="L422" s="67">
        <f ca="1">$Q$78</f>
        <v>6.1337792642140467</v>
      </c>
      <c r="M422" s="73">
        <f ca="1">(K422-L422)/10</f>
        <v>-0.61337792642140465</v>
      </c>
    </row>
    <row r="423" spans="1:14">
      <c r="A423" s="59"/>
      <c r="J423" s="71"/>
    </row>
    <row r="424" spans="1:14">
      <c r="A424" s="59"/>
      <c r="J424" s="71"/>
    </row>
    <row r="425" spans="1:14" ht="22">
      <c r="A425" s="59"/>
      <c r="C425" s="128" t="s">
        <v>41</v>
      </c>
      <c r="D425" s="128" t="s">
        <v>42</v>
      </c>
      <c r="E425" s="44" t="s">
        <v>358</v>
      </c>
      <c r="F425" s="44" t="s">
        <v>359</v>
      </c>
      <c r="G425" s="44" t="s">
        <v>393</v>
      </c>
      <c r="H425" s="66" t="s">
        <v>215</v>
      </c>
      <c r="I425" s="157" t="s">
        <v>40</v>
      </c>
      <c r="J425" s="157" t="s">
        <v>330</v>
      </c>
      <c r="K425" s="70" t="s">
        <v>331</v>
      </c>
      <c r="L425" s="65" t="s">
        <v>216</v>
      </c>
      <c r="M425" s="72" t="s">
        <v>332</v>
      </c>
      <c r="N425" s="4">
        <f>N418+1</f>
        <v>142</v>
      </c>
    </row>
    <row r="426" spans="1:14">
      <c r="A426" s="59" t="str">
        <f ca="1">INDIRECT("A"&amp;N425)</f>
        <v>Unione nazionale incremento razze equine</v>
      </c>
      <c r="B426" s="4" t="str">
        <f>$B$19</f>
        <v>KPI 1</v>
      </c>
      <c r="C426" s="138">
        <f t="shared" ref="C426:D429" ca="1" si="63">J426-I426</f>
        <v>0</v>
      </c>
      <c r="D426" s="138">
        <f t="shared" ca="1" si="63"/>
        <v>0</v>
      </c>
      <c r="E426" s="57">
        <f ca="1">$G$79</f>
        <v>0</v>
      </c>
      <c r="F426" s="57">
        <f ca="1">$G$80</f>
        <v>9.6</v>
      </c>
      <c r="G426" s="57">
        <f ca="1">$H$78</f>
        <v>7.4304347826086961</v>
      </c>
      <c r="H426" s="68" t="str">
        <f>$B$19</f>
        <v>KPI 1</v>
      </c>
      <c r="I426" s="158">
        <f ca="1">INDIRECT("M"&amp;N425)</f>
        <v>0</v>
      </c>
      <c r="J426" s="158">
        <f ca="1">INDIRECT("K"&amp;N425)</f>
        <v>0</v>
      </c>
      <c r="K426" s="69">
        <f ca="1">INDIRECT("I"&amp;N425)</f>
        <v>0</v>
      </c>
      <c r="L426" s="67">
        <f ca="1">$H$78</f>
        <v>7.4304347826086961</v>
      </c>
      <c r="M426" s="73">
        <f ca="1">(K426-L426)/10</f>
        <v>-0.74304347826086958</v>
      </c>
    </row>
    <row r="427" spans="1:14">
      <c r="A427" s="59"/>
      <c r="B427" s="312" t="str">
        <f>$B$20</f>
        <v>KPI 2</v>
      </c>
      <c r="C427" s="138">
        <f t="shared" ca="1" si="63"/>
        <v>0</v>
      </c>
      <c r="D427" s="138">
        <f t="shared" ca="1" si="63"/>
        <v>0</v>
      </c>
      <c r="E427" s="57">
        <f ca="1">$J$79</f>
        <v>1.1111111111111112</v>
      </c>
      <c r="F427" s="57">
        <f ca="1">$J$80</f>
        <v>10</v>
      </c>
      <c r="G427" s="57">
        <f ca="1">$K$78</f>
        <v>7.9589371980676349</v>
      </c>
      <c r="H427" s="68" t="str">
        <f>$B$20</f>
        <v>KPI 2</v>
      </c>
      <c r="I427" s="158">
        <f ca="1">INDIRECT("R"&amp;N425)</f>
        <v>0</v>
      </c>
      <c r="J427" s="158">
        <f ca="1">INDIRECT("P"&amp;N425)</f>
        <v>0</v>
      </c>
      <c r="K427" s="69">
        <f ca="1">INDIRECT("N"&amp;N425)</f>
        <v>0</v>
      </c>
      <c r="L427" s="67">
        <f ca="1">$K$78</f>
        <v>7.9589371980676349</v>
      </c>
      <c r="M427" s="73">
        <f ca="1">(K427-L427)/10</f>
        <v>-0.79589371980676349</v>
      </c>
    </row>
    <row r="428" spans="1:14">
      <c r="A428" s="59"/>
      <c r="B428" s="4" t="str">
        <f>$B$21</f>
        <v>KPI 3</v>
      </c>
      <c r="C428" s="138">
        <f t="shared" ca="1" si="63"/>
        <v>0</v>
      </c>
      <c r="D428" s="138">
        <f t="shared" ca="1" si="63"/>
        <v>0</v>
      </c>
      <c r="E428" s="57">
        <f ca="1">$M$79</f>
        <v>0.22222222222222221</v>
      </c>
      <c r="F428" s="57">
        <f ca="1">$M$80</f>
        <v>10</v>
      </c>
      <c r="G428" s="57">
        <f ca="1">$N$78</f>
        <v>6.8743961352657008</v>
      </c>
      <c r="H428" s="68" t="str">
        <f>$B$21</f>
        <v>KPI 3</v>
      </c>
      <c r="I428" s="158">
        <f ca="1">INDIRECT("W"&amp;N425)</f>
        <v>0</v>
      </c>
      <c r="J428" s="158">
        <f ca="1">INDIRECT("U"&amp;N425)</f>
        <v>0</v>
      </c>
      <c r="K428" s="69">
        <f ca="1">INDIRECT("S"&amp;N425)</f>
        <v>0</v>
      </c>
      <c r="L428" s="67">
        <f ca="1">$N$78</f>
        <v>6.8743961352657008</v>
      </c>
      <c r="M428" s="73">
        <f ca="1">(K428-L428)/10</f>
        <v>-0.68743961352657013</v>
      </c>
    </row>
    <row r="429" spans="1:14">
      <c r="A429" s="59"/>
      <c r="B429" s="4" t="str">
        <f>$B$22</f>
        <v>KPI 4</v>
      </c>
      <c r="C429" s="138">
        <f t="shared" ca="1" si="63"/>
        <v>0</v>
      </c>
      <c r="D429" s="138">
        <f t="shared" ca="1" si="63"/>
        <v>0</v>
      </c>
      <c r="E429" s="57">
        <f ca="1">$P$79</f>
        <v>0</v>
      </c>
      <c r="F429" s="57">
        <f ca="1">$P$80</f>
        <v>9.6923076923076916</v>
      </c>
      <c r="G429" s="57">
        <f ca="1">$Q$78</f>
        <v>6.1337792642140467</v>
      </c>
      <c r="H429" s="68" t="str">
        <f>$B$22</f>
        <v>KPI 4</v>
      </c>
      <c r="I429" s="158">
        <f ca="1">INDIRECT("AB"&amp;N425)</f>
        <v>0</v>
      </c>
      <c r="J429" s="158">
        <f ca="1">INDIRECT("Z"&amp;N425)</f>
        <v>0</v>
      </c>
      <c r="K429" s="69">
        <f ca="1">INDIRECT("X"&amp;N425)</f>
        <v>0</v>
      </c>
      <c r="L429" s="67">
        <f ca="1">$Q$78</f>
        <v>6.1337792642140467</v>
      </c>
      <c r="M429" s="73">
        <f ca="1">(K429-L429)/10</f>
        <v>-0.61337792642140465</v>
      </c>
    </row>
    <row r="430" spans="1:14">
      <c r="A430" s="59"/>
      <c r="J430" s="71"/>
    </row>
    <row r="431" spans="1:14">
      <c r="A431" s="59"/>
      <c r="J431" s="71"/>
    </row>
    <row r="432" spans="1:14" ht="22">
      <c r="A432" s="59"/>
      <c r="C432" s="128" t="s">
        <v>41</v>
      </c>
      <c r="D432" s="128" t="s">
        <v>42</v>
      </c>
      <c r="E432" s="44" t="s">
        <v>358</v>
      </c>
      <c r="F432" s="44" t="s">
        <v>359</v>
      </c>
      <c r="G432" s="44" t="s">
        <v>393</v>
      </c>
      <c r="H432" s="66" t="s">
        <v>215</v>
      </c>
      <c r="I432" s="157" t="s">
        <v>40</v>
      </c>
      <c r="J432" s="157" t="s">
        <v>330</v>
      </c>
      <c r="K432" s="70" t="s">
        <v>331</v>
      </c>
      <c r="L432" s="65" t="s">
        <v>216</v>
      </c>
      <c r="M432" s="72" t="s">
        <v>332</v>
      </c>
      <c r="N432" s="4">
        <f>N425+1</f>
        <v>143</v>
      </c>
    </row>
    <row r="433" spans="1:14">
      <c r="A433" s="59" t="str">
        <f ca="1">INDIRECT("A"&amp;N432)</f>
        <v xml:space="preserve">Ministero per i beni e le attività culturali                                                     </v>
      </c>
      <c r="B433" s="4" t="str">
        <f>$B$19</f>
        <v>KPI 1</v>
      </c>
      <c r="C433" s="138">
        <f t="shared" ref="C433:D436" ca="1" si="64">J433-I433</f>
        <v>0</v>
      </c>
      <c r="D433" s="138">
        <f t="shared" ca="1" si="64"/>
        <v>0</v>
      </c>
      <c r="E433" s="57">
        <f ca="1">$G$79</f>
        <v>0</v>
      </c>
      <c r="F433" s="57">
        <f ca="1">$G$80</f>
        <v>9.6</v>
      </c>
      <c r="G433" s="57">
        <f ca="1">$H$78</f>
        <v>7.4304347826086961</v>
      </c>
      <c r="H433" s="68" t="str">
        <f>$B$19</f>
        <v>KPI 1</v>
      </c>
      <c r="I433" s="158">
        <f ca="1">INDIRECT("M"&amp;N432)</f>
        <v>0</v>
      </c>
      <c r="J433" s="158">
        <f ca="1">INDIRECT("K"&amp;N432)</f>
        <v>0</v>
      </c>
      <c r="K433" s="69">
        <f ca="1">INDIRECT("I"&amp;N432)</f>
        <v>0</v>
      </c>
      <c r="L433" s="67">
        <f ca="1">$H$78</f>
        <v>7.4304347826086961</v>
      </c>
      <c r="M433" s="73">
        <f ca="1">(K433-L433)/10</f>
        <v>-0.74304347826086958</v>
      </c>
    </row>
    <row r="434" spans="1:14">
      <c r="A434" s="59"/>
      <c r="B434" s="312" t="str">
        <f>$B$20</f>
        <v>KPI 2</v>
      </c>
      <c r="C434" s="138">
        <f t="shared" ca="1" si="64"/>
        <v>0</v>
      </c>
      <c r="D434" s="138">
        <f t="shared" ca="1" si="64"/>
        <v>0</v>
      </c>
      <c r="E434" s="57">
        <f ca="1">$J$79</f>
        <v>1.1111111111111112</v>
      </c>
      <c r="F434" s="57">
        <f ca="1">$J$80</f>
        <v>10</v>
      </c>
      <c r="G434" s="57">
        <f ca="1">$K$78</f>
        <v>7.9589371980676349</v>
      </c>
      <c r="H434" s="68" t="str">
        <f>$B$20</f>
        <v>KPI 2</v>
      </c>
      <c r="I434" s="158">
        <f ca="1">INDIRECT("R"&amp;N432)</f>
        <v>0</v>
      </c>
      <c r="J434" s="158">
        <f ca="1">INDIRECT("P"&amp;N432)</f>
        <v>0</v>
      </c>
      <c r="K434" s="69">
        <f ca="1">INDIRECT("N"&amp;N432)</f>
        <v>0</v>
      </c>
      <c r="L434" s="67">
        <f ca="1">$K$78</f>
        <v>7.9589371980676349</v>
      </c>
      <c r="M434" s="73">
        <f ca="1">(K434-L434)/10</f>
        <v>-0.79589371980676349</v>
      </c>
    </row>
    <row r="435" spans="1:14">
      <c r="A435" s="59"/>
      <c r="B435" s="4" t="str">
        <f>$B$21</f>
        <v>KPI 3</v>
      </c>
      <c r="C435" s="138">
        <f t="shared" ca="1" si="64"/>
        <v>0</v>
      </c>
      <c r="D435" s="138">
        <f t="shared" ca="1" si="64"/>
        <v>0</v>
      </c>
      <c r="E435" s="57">
        <f ca="1">$M$79</f>
        <v>0.22222222222222221</v>
      </c>
      <c r="F435" s="57">
        <f ca="1">$M$80</f>
        <v>10</v>
      </c>
      <c r="G435" s="57">
        <f ca="1">$N$78</f>
        <v>6.8743961352657008</v>
      </c>
      <c r="H435" s="68" t="str">
        <f>$B$21</f>
        <v>KPI 3</v>
      </c>
      <c r="I435" s="158">
        <f ca="1">INDIRECT("W"&amp;N432)</f>
        <v>0</v>
      </c>
      <c r="J435" s="158">
        <f ca="1">INDIRECT("U"&amp;N432)</f>
        <v>0</v>
      </c>
      <c r="K435" s="69">
        <f ca="1">INDIRECT("S"&amp;N432)</f>
        <v>0</v>
      </c>
      <c r="L435" s="67">
        <f ca="1">$N$78</f>
        <v>6.8743961352657008</v>
      </c>
      <c r="M435" s="73">
        <f ca="1">(K435-L435)/10</f>
        <v>-0.68743961352657013</v>
      </c>
    </row>
    <row r="436" spans="1:14">
      <c r="A436" s="59"/>
      <c r="B436" s="4" t="str">
        <f>$B$22</f>
        <v>KPI 4</v>
      </c>
      <c r="C436" s="138">
        <f t="shared" ca="1" si="64"/>
        <v>0</v>
      </c>
      <c r="D436" s="138">
        <f t="shared" ca="1" si="64"/>
        <v>0</v>
      </c>
      <c r="E436" s="57">
        <f ca="1">$P$79</f>
        <v>0</v>
      </c>
      <c r="F436" s="57">
        <f ca="1">$P$80</f>
        <v>9.6923076923076916</v>
      </c>
      <c r="G436" s="57">
        <f ca="1">$Q$78</f>
        <v>6.1337792642140467</v>
      </c>
      <c r="H436" s="68" t="str">
        <f>$B$22</f>
        <v>KPI 4</v>
      </c>
      <c r="I436" s="158">
        <f ca="1">INDIRECT("AB"&amp;N432)</f>
        <v>0</v>
      </c>
      <c r="J436" s="158">
        <f ca="1">INDIRECT("Z"&amp;N432)</f>
        <v>0</v>
      </c>
      <c r="K436" s="69">
        <f ca="1">INDIRECT("X"&amp;N432)</f>
        <v>0</v>
      </c>
      <c r="L436" s="67">
        <f ca="1">$Q$78</f>
        <v>6.1337792642140467</v>
      </c>
      <c r="M436" s="73">
        <f ca="1">(K436-L436)/10</f>
        <v>-0.61337792642140465</v>
      </c>
    </row>
    <row r="437" spans="1:14">
      <c r="A437" s="59"/>
      <c r="J437" s="71"/>
    </row>
    <row r="438" spans="1:14">
      <c r="A438" s="59"/>
      <c r="J438" s="71"/>
    </row>
    <row r="439" spans="1:14" ht="22">
      <c r="A439" s="59"/>
      <c r="C439" s="128" t="s">
        <v>41</v>
      </c>
      <c r="D439" s="128" t="s">
        <v>42</v>
      </c>
      <c r="E439" s="44" t="s">
        <v>358</v>
      </c>
      <c r="F439" s="44" t="s">
        <v>359</v>
      </c>
      <c r="G439" s="44" t="s">
        <v>393</v>
      </c>
      <c r="H439" s="66" t="s">
        <v>215</v>
      </c>
      <c r="I439" s="157" t="s">
        <v>40</v>
      </c>
      <c r="J439" s="157" t="s">
        <v>330</v>
      </c>
      <c r="K439" s="70" t="s">
        <v>331</v>
      </c>
      <c r="L439" s="65" t="s">
        <v>216</v>
      </c>
      <c r="M439" s="72" t="s">
        <v>332</v>
      </c>
      <c r="N439" s="4">
        <f>N432+1</f>
        <v>144</v>
      </c>
    </row>
    <row r="440" spans="1:14">
      <c r="A440" s="59">
        <f ca="1">INDIRECT("A"&amp;N439)</f>
        <v>0</v>
      </c>
      <c r="B440" s="4" t="str">
        <f>$B$19</f>
        <v>KPI 1</v>
      </c>
      <c r="C440" s="138">
        <f t="shared" ref="C440:D443" ca="1" si="65">J440-I440</f>
        <v>0</v>
      </c>
      <c r="D440" s="138">
        <f t="shared" ca="1" si="65"/>
        <v>0</v>
      </c>
      <c r="E440" s="57">
        <f ca="1">$G$79</f>
        <v>0</v>
      </c>
      <c r="F440" s="57">
        <f ca="1">$G$80</f>
        <v>9.6</v>
      </c>
      <c r="G440" s="57">
        <f ca="1">$H$78</f>
        <v>7.4304347826086961</v>
      </c>
      <c r="H440" s="68" t="str">
        <f>$B$19</f>
        <v>KPI 1</v>
      </c>
      <c r="I440" s="158">
        <f ca="1">INDIRECT("M"&amp;N439)</f>
        <v>0</v>
      </c>
      <c r="J440" s="158">
        <f ca="1">INDIRECT("K"&amp;N439)</f>
        <v>0</v>
      </c>
      <c r="K440" s="69">
        <f ca="1">INDIRECT("I"&amp;N439)</f>
        <v>0</v>
      </c>
      <c r="L440" s="67">
        <f ca="1">$H$78</f>
        <v>7.4304347826086961</v>
      </c>
      <c r="M440" s="73">
        <f ca="1">(K440-L440)/10</f>
        <v>-0.74304347826086958</v>
      </c>
    </row>
    <row r="441" spans="1:14">
      <c r="A441" s="59"/>
      <c r="B441" s="312" t="str">
        <f>$B$20</f>
        <v>KPI 2</v>
      </c>
      <c r="C441" s="138">
        <f t="shared" ca="1" si="65"/>
        <v>0</v>
      </c>
      <c r="D441" s="138">
        <f t="shared" ca="1" si="65"/>
        <v>0</v>
      </c>
      <c r="E441" s="57">
        <f ca="1">$J$79</f>
        <v>1.1111111111111112</v>
      </c>
      <c r="F441" s="57">
        <f ca="1">$J$80</f>
        <v>10</v>
      </c>
      <c r="G441" s="57">
        <f ca="1">$K$78</f>
        <v>7.9589371980676349</v>
      </c>
      <c r="H441" s="68" t="str">
        <f>$B$20</f>
        <v>KPI 2</v>
      </c>
      <c r="I441" s="158">
        <f ca="1">INDIRECT("R"&amp;N439)</f>
        <v>0</v>
      </c>
      <c r="J441" s="158">
        <f ca="1">INDIRECT("P"&amp;N439)</f>
        <v>0</v>
      </c>
      <c r="K441" s="69">
        <f ca="1">INDIRECT("N"&amp;N439)</f>
        <v>0</v>
      </c>
      <c r="L441" s="67">
        <f ca="1">$K$78</f>
        <v>7.9589371980676349</v>
      </c>
      <c r="M441" s="73">
        <f ca="1">(K441-L441)/10</f>
        <v>-0.79589371980676349</v>
      </c>
    </row>
    <row r="442" spans="1:14">
      <c r="A442" s="59"/>
      <c r="B442" s="4" t="str">
        <f>$B$21</f>
        <v>KPI 3</v>
      </c>
      <c r="C442" s="138">
        <f t="shared" ca="1" si="65"/>
        <v>0</v>
      </c>
      <c r="D442" s="138">
        <f t="shared" ca="1" si="65"/>
        <v>0</v>
      </c>
      <c r="E442" s="57">
        <f ca="1">$M$79</f>
        <v>0.22222222222222221</v>
      </c>
      <c r="F442" s="57">
        <f ca="1">$M$80</f>
        <v>10</v>
      </c>
      <c r="G442" s="57">
        <f ca="1">$N$78</f>
        <v>6.8743961352657008</v>
      </c>
      <c r="H442" s="68" t="str">
        <f>$B$21</f>
        <v>KPI 3</v>
      </c>
      <c r="I442" s="158">
        <f ca="1">INDIRECT("W"&amp;N439)</f>
        <v>0</v>
      </c>
      <c r="J442" s="158">
        <f ca="1">INDIRECT("U"&amp;N439)</f>
        <v>0</v>
      </c>
      <c r="K442" s="69">
        <f ca="1">INDIRECT("S"&amp;N439)</f>
        <v>0</v>
      </c>
      <c r="L442" s="67">
        <f ca="1">$N$78</f>
        <v>6.8743961352657008</v>
      </c>
      <c r="M442" s="73">
        <f ca="1">(K442-L442)/10</f>
        <v>-0.68743961352657013</v>
      </c>
    </row>
    <row r="443" spans="1:14">
      <c r="A443" s="59"/>
      <c r="B443" s="4" t="str">
        <f>$B$22</f>
        <v>KPI 4</v>
      </c>
      <c r="C443" s="138">
        <f t="shared" ca="1" si="65"/>
        <v>0</v>
      </c>
      <c r="D443" s="138">
        <f t="shared" ca="1" si="65"/>
        <v>0</v>
      </c>
      <c r="E443" s="57">
        <f ca="1">$P$79</f>
        <v>0</v>
      </c>
      <c r="F443" s="57">
        <f ca="1">$P$80</f>
        <v>9.6923076923076916</v>
      </c>
      <c r="G443" s="57">
        <f ca="1">$Q$78</f>
        <v>6.1337792642140467</v>
      </c>
      <c r="H443" s="68" t="str">
        <f>$B$22</f>
        <v>KPI 4</v>
      </c>
      <c r="I443" s="158">
        <f ca="1">INDIRECT("AB"&amp;N439)</f>
        <v>0</v>
      </c>
      <c r="J443" s="158">
        <f ca="1">INDIRECT("Z"&amp;N439)</f>
        <v>0</v>
      </c>
      <c r="K443" s="69">
        <f ca="1">INDIRECT("X"&amp;N439)</f>
        <v>0</v>
      </c>
      <c r="L443" s="67">
        <f ca="1">$Q$78</f>
        <v>6.1337792642140467</v>
      </c>
      <c r="M443" s="73">
        <f ca="1">(K443-L443)/10</f>
        <v>-0.61337792642140465</v>
      </c>
    </row>
    <row r="444" spans="1:14">
      <c r="A444" s="59"/>
      <c r="J444" s="71"/>
    </row>
    <row r="445" spans="1:14">
      <c r="A445" s="59"/>
      <c r="J445" s="71"/>
    </row>
    <row r="446" spans="1:14" ht="22">
      <c r="A446" s="59"/>
      <c r="C446" s="128" t="s">
        <v>41</v>
      </c>
      <c r="D446" s="128" t="s">
        <v>42</v>
      </c>
      <c r="E446" s="44" t="s">
        <v>358</v>
      </c>
      <c r="F446" s="44" t="s">
        <v>359</v>
      </c>
      <c r="G446" s="44" t="s">
        <v>393</v>
      </c>
      <c r="H446" s="66" t="s">
        <v>215</v>
      </c>
      <c r="I446" s="157" t="s">
        <v>40</v>
      </c>
      <c r="J446" s="157" t="s">
        <v>330</v>
      </c>
      <c r="K446" s="70" t="s">
        <v>331</v>
      </c>
      <c r="L446" s="65" t="s">
        <v>216</v>
      </c>
      <c r="M446" s="72" t="s">
        <v>332</v>
      </c>
      <c r="N446" s="4">
        <f>N439+1</f>
        <v>145</v>
      </c>
    </row>
    <row r="447" spans="1:14">
      <c r="A447" s="59">
        <f ca="1">INDIRECT("A"&amp;N446)</f>
        <v>0</v>
      </c>
      <c r="B447" s="4" t="str">
        <f>$B$19</f>
        <v>KPI 1</v>
      </c>
      <c r="C447" s="138">
        <f t="shared" ref="C447:D450" ca="1" si="66">J447-I447</f>
        <v>0</v>
      </c>
      <c r="D447" s="138">
        <f t="shared" ca="1" si="66"/>
        <v>0</v>
      </c>
      <c r="E447" s="57">
        <f ca="1">$G$79</f>
        <v>0</v>
      </c>
      <c r="F447" s="57">
        <f ca="1">$G$80</f>
        <v>9.6</v>
      </c>
      <c r="G447" s="57">
        <f ca="1">$H$78</f>
        <v>7.4304347826086961</v>
      </c>
      <c r="H447" s="68" t="str">
        <f>$B$19</f>
        <v>KPI 1</v>
      </c>
      <c r="I447" s="158">
        <f ca="1">INDIRECT("M"&amp;N446)</f>
        <v>0</v>
      </c>
      <c r="J447" s="158">
        <f ca="1">INDIRECT("K"&amp;N446)</f>
        <v>0</v>
      </c>
      <c r="K447" s="69">
        <f ca="1">INDIRECT("I"&amp;N446)</f>
        <v>0</v>
      </c>
      <c r="L447" s="67">
        <f ca="1">$H$78</f>
        <v>7.4304347826086961</v>
      </c>
      <c r="M447" s="73">
        <f ca="1">(K447-L447)/10</f>
        <v>-0.74304347826086958</v>
      </c>
    </row>
    <row r="448" spans="1:14">
      <c r="A448" s="59"/>
      <c r="B448" s="312" t="str">
        <f>$B$20</f>
        <v>KPI 2</v>
      </c>
      <c r="C448" s="138">
        <f t="shared" ca="1" si="66"/>
        <v>0</v>
      </c>
      <c r="D448" s="138">
        <f t="shared" ca="1" si="66"/>
        <v>0</v>
      </c>
      <c r="E448" s="57">
        <f ca="1">$J$79</f>
        <v>1.1111111111111112</v>
      </c>
      <c r="F448" s="57">
        <f ca="1">$J$80</f>
        <v>10</v>
      </c>
      <c r="G448" s="57">
        <f ca="1">$K$78</f>
        <v>7.9589371980676349</v>
      </c>
      <c r="H448" s="68" t="str">
        <f>$B$20</f>
        <v>KPI 2</v>
      </c>
      <c r="I448" s="158">
        <f ca="1">INDIRECT("R"&amp;N446)</f>
        <v>0</v>
      </c>
      <c r="J448" s="158">
        <f ca="1">INDIRECT("P"&amp;N446)</f>
        <v>0</v>
      </c>
      <c r="K448" s="69">
        <f ca="1">INDIRECT("N"&amp;N446)</f>
        <v>0</v>
      </c>
      <c r="L448" s="67">
        <f ca="1">$K$78</f>
        <v>7.9589371980676349</v>
      </c>
      <c r="M448" s="73">
        <f ca="1">(K448-L448)/10</f>
        <v>-0.79589371980676349</v>
      </c>
    </row>
    <row r="449" spans="1:14">
      <c r="A449" s="59"/>
      <c r="B449" s="4" t="str">
        <f>$B$21</f>
        <v>KPI 3</v>
      </c>
      <c r="C449" s="138">
        <f t="shared" ca="1" si="66"/>
        <v>0</v>
      </c>
      <c r="D449" s="138">
        <f t="shared" ca="1" si="66"/>
        <v>0</v>
      </c>
      <c r="E449" s="57">
        <f ca="1">$M$79</f>
        <v>0.22222222222222221</v>
      </c>
      <c r="F449" s="57">
        <f ca="1">$M$80</f>
        <v>10</v>
      </c>
      <c r="G449" s="57">
        <f ca="1">$N$78</f>
        <v>6.8743961352657008</v>
      </c>
      <c r="H449" s="68" t="str">
        <f>$B$21</f>
        <v>KPI 3</v>
      </c>
      <c r="I449" s="158">
        <f ca="1">INDIRECT("W"&amp;N446)</f>
        <v>0</v>
      </c>
      <c r="J449" s="158">
        <f ca="1">INDIRECT("U"&amp;N446)</f>
        <v>0</v>
      </c>
      <c r="K449" s="69">
        <f ca="1">INDIRECT("S"&amp;N446)</f>
        <v>0</v>
      </c>
      <c r="L449" s="67">
        <f ca="1">$N$78</f>
        <v>6.8743961352657008</v>
      </c>
      <c r="M449" s="73">
        <f ca="1">(K449-L449)/10</f>
        <v>-0.68743961352657013</v>
      </c>
    </row>
    <row r="450" spans="1:14">
      <c r="A450" s="59"/>
      <c r="B450" s="4" t="str">
        <f>$B$22</f>
        <v>KPI 4</v>
      </c>
      <c r="C450" s="138">
        <f t="shared" ca="1" si="66"/>
        <v>0</v>
      </c>
      <c r="D450" s="138">
        <f t="shared" ca="1" si="66"/>
        <v>0</v>
      </c>
      <c r="E450" s="57">
        <f ca="1">$P$79</f>
        <v>0</v>
      </c>
      <c r="F450" s="57">
        <f ca="1">$P$80</f>
        <v>9.6923076923076916</v>
      </c>
      <c r="G450" s="57">
        <f ca="1">$Q$78</f>
        <v>6.1337792642140467</v>
      </c>
      <c r="H450" s="68" t="str">
        <f>$B$22</f>
        <v>KPI 4</v>
      </c>
      <c r="I450" s="158">
        <f ca="1">INDIRECT("AB"&amp;N446)</f>
        <v>0</v>
      </c>
      <c r="J450" s="158">
        <f ca="1">INDIRECT("Z"&amp;N446)</f>
        <v>0</v>
      </c>
      <c r="K450" s="69">
        <f ca="1">INDIRECT("X"&amp;N446)</f>
        <v>0</v>
      </c>
      <c r="L450" s="67">
        <f ca="1">$Q$78</f>
        <v>6.1337792642140467</v>
      </c>
      <c r="M450" s="73">
        <f ca="1">(K450-L450)/10</f>
        <v>-0.61337792642140465</v>
      </c>
    </row>
    <row r="451" spans="1:14">
      <c r="A451" s="59"/>
      <c r="J451" s="71"/>
    </row>
    <row r="452" spans="1:14">
      <c r="A452" s="59"/>
      <c r="J452" s="71"/>
    </row>
    <row r="453" spans="1:14" ht="22">
      <c r="A453" s="59"/>
      <c r="C453" s="128" t="s">
        <v>41</v>
      </c>
      <c r="D453" s="128" t="s">
        <v>42</v>
      </c>
      <c r="E453" s="44" t="s">
        <v>358</v>
      </c>
      <c r="F453" s="44" t="s">
        <v>359</v>
      </c>
      <c r="G453" s="44" t="s">
        <v>393</v>
      </c>
      <c r="H453" s="66" t="s">
        <v>215</v>
      </c>
      <c r="I453" s="157" t="s">
        <v>40</v>
      </c>
      <c r="J453" s="157" t="s">
        <v>330</v>
      </c>
      <c r="K453" s="70" t="s">
        <v>331</v>
      </c>
      <c r="L453" s="65" t="s">
        <v>216</v>
      </c>
      <c r="M453" s="72" t="s">
        <v>332</v>
      </c>
      <c r="N453" s="4">
        <f>N446+1</f>
        <v>146</v>
      </c>
    </row>
    <row r="454" spans="1:14">
      <c r="A454" s="59">
        <f ca="1">INDIRECT("A"&amp;N453)</f>
        <v>0</v>
      </c>
      <c r="B454" s="4" t="str">
        <f>$B$19</f>
        <v>KPI 1</v>
      </c>
      <c r="C454" s="138">
        <f t="shared" ref="C454:D457" ca="1" si="67">J454-I454</f>
        <v>0</v>
      </c>
      <c r="D454" s="138">
        <f t="shared" ca="1" si="67"/>
        <v>0</v>
      </c>
      <c r="E454" s="57">
        <f ca="1">$G$79</f>
        <v>0</v>
      </c>
      <c r="F454" s="57">
        <f ca="1">$G$80</f>
        <v>9.6</v>
      </c>
      <c r="G454" s="57">
        <f ca="1">$H$78</f>
        <v>7.4304347826086961</v>
      </c>
      <c r="H454" s="68" t="str">
        <f>$B$19</f>
        <v>KPI 1</v>
      </c>
      <c r="I454" s="158">
        <f ca="1">INDIRECT("M"&amp;N453)</f>
        <v>0</v>
      </c>
      <c r="J454" s="158">
        <f ca="1">INDIRECT("K"&amp;N453)</f>
        <v>0</v>
      </c>
      <c r="K454" s="69">
        <f ca="1">INDIRECT("I"&amp;N453)</f>
        <v>0</v>
      </c>
      <c r="L454" s="67">
        <f ca="1">$H$78</f>
        <v>7.4304347826086961</v>
      </c>
      <c r="M454" s="73">
        <f ca="1">(K454-L454)/10</f>
        <v>-0.74304347826086958</v>
      </c>
    </row>
    <row r="455" spans="1:14">
      <c r="A455" s="59"/>
      <c r="B455" s="312" t="str">
        <f>$B$20</f>
        <v>KPI 2</v>
      </c>
      <c r="C455" s="138">
        <f t="shared" ca="1" si="67"/>
        <v>0</v>
      </c>
      <c r="D455" s="138">
        <f t="shared" ca="1" si="67"/>
        <v>0</v>
      </c>
      <c r="E455" s="57">
        <f ca="1">$J$79</f>
        <v>1.1111111111111112</v>
      </c>
      <c r="F455" s="57">
        <f ca="1">$J$80</f>
        <v>10</v>
      </c>
      <c r="G455" s="57">
        <f ca="1">$K$78</f>
        <v>7.9589371980676349</v>
      </c>
      <c r="H455" s="68" t="str">
        <f>$B$20</f>
        <v>KPI 2</v>
      </c>
      <c r="I455" s="158">
        <f ca="1">INDIRECT("R"&amp;N453)</f>
        <v>0</v>
      </c>
      <c r="J455" s="158">
        <f ca="1">INDIRECT("P"&amp;N453)</f>
        <v>0</v>
      </c>
      <c r="K455" s="69">
        <f ca="1">INDIRECT("N"&amp;N453)</f>
        <v>0</v>
      </c>
      <c r="L455" s="67">
        <f ca="1">$K$78</f>
        <v>7.9589371980676349</v>
      </c>
      <c r="M455" s="73">
        <f ca="1">(K455-L455)/10</f>
        <v>-0.79589371980676349</v>
      </c>
    </row>
    <row r="456" spans="1:14">
      <c r="A456" s="59"/>
      <c r="B456" s="4" t="str">
        <f>$B$21</f>
        <v>KPI 3</v>
      </c>
      <c r="C456" s="138">
        <f t="shared" ca="1" si="67"/>
        <v>0</v>
      </c>
      <c r="D456" s="138">
        <f t="shared" ca="1" si="67"/>
        <v>0</v>
      </c>
      <c r="E456" s="57">
        <f ca="1">$M$79</f>
        <v>0.22222222222222221</v>
      </c>
      <c r="F456" s="57">
        <f ca="1">$M$80</f>
        <v>10</v>
      </c>
      <c r="G456" s="57">
        <f ca="1">$N$78</f>
        <v>6.8743961352657008</v>
      </c>
      <c r="H456" s="68" t="str">
        <f>$B$21</f>
        <v>KPI 3</v>
      </c>
      <c r="I456" s="158">
        <f ca="1">INDIRECT("W"&amp;N453)</f>
        <v>0</v>
      </c>
      <c r="J456" s="158">
        <f ca="1">INDIRECT("U"&amp;N453)</f>
        <v>0</v>
      </c>
      <c r="K456" s="69">
        <f ca="1">INDIRECT("S"&amp;N453)</f>
        <v>0</v>
      </c>
      <c r="L456" s="67">
        <f ca="1">$N$78</f>
        <v>6.8743961352657008</v>
      </c>
      <c r="M456" s="73">
        <f ca="1">(K456-L456)/10</f>
        <v>-0.68743961352657013</v>
      </c>
    </row>
    <row r="457" spans="1:14">
      <c r="A457" s="59"/>
      <c r="B457" s="4" t="str">
        <f>$B$22</f>
        <v>KPI 4</v>
      </c>
      <c r="C457" s="138">
        <f t="shared" ca="1" si="67"/>
        <v>0</v>
      </c>
      <c r="D457" s="138">
        <f t="shared" ca="1" si="67"/>
        <v>0</v>
      </c>
      <c r="E457" s="57">
        <f ca="1">$P$79</f>
        <v>0</v>
      </c>
      <c r="F457" s="57">
        <f ca="1">$P$80</f>
        <v>9.6923076923076916</v>
      </c>
      <c r="G457" s="57">
        <f ca="1">$Q$78</f>
        <v>6.1337792642140467</v>
      </c>
      <c r="H457" s="68" t="str">
        <f>$B$22</f>
        <v>KPI 4</v>
      </c>
      <c r="I457" s="158">
        <f ca="1">INDIRECT("AB"&amp;N453)</f>
        <v>0</v>
      </c>
      <c r="J457" s="158">
        <f ca="1">INDIRECT("Z"&amp;N453)</f>
        <v>0</v>
      </c>
      <c r="K457" s="69">
        <f ca="1">INDIRECT("X"&amp;N453)</f>
        <v>0</v>
      </c>
      <c r="L457" s="67">
        <f ca="1">$Q$78</f>
        <v>6.1337792642140467</v>
      </c>
      <c r="M457" s="73">
        <f ca="1">(K457-L457)/10</f>
        <v>-0.61337792642140465</v>
      </c>
    </row>
    <row r="458" spans="1:14">
      <c r="A458" s="59"/>
      <c r="J458" s="71"/>
    </row>
    <row r="459" spans="1:14">
      <c r="A459" s="59"/>
      <c r="J459" s="71"/>
    </row>
    <row r="460" spans="1:14" ht="22">
      <c r="A460" s="59"/>
      <c r="C460" s="128" t="s">
        <v>41</v>
      </c>
      <c r="D460" s="128" t="s">
        <v>42</v>
      </c>
      <c r="E460" s="44" t="s">
        <v>358</v>
      </c>
      <c r="F460" s="44" t="s">
        <v>359</v>
      </c>
      <c r="G460" s="44" t="s">
        <v>393</v>
      </c>
      <c r="H460" s="66" t="s">
        <v>215</v>
      </c>
      <c r="I460" s="157" t="s">
        <v>40</v>
      </c>
      <c r="J460" s="157" t="s">
        <v>330</v>
      </c>
      <c r="K460" s="70" t="s">
        <v>331</v>
      </c>
      <c r="L460" s="65" t="s">
        <v>216</v>
      </c>
      <c r="M460" s="72" t="s">
        <v>332</v>
      </c>
      <c r="N460" s="4">
        <f>N453+1</f>
        <v>147</v>
      </c>
    </row>
    <row r="461" spans="1:14">
      <c r="A461" s="59">
        <f ca="1">INDIRECT("A"&amp;N460)</f>
        <v>0</v>
      </c>
      <c r="B461" s="4" t="str">
        <f>$B$19</f>
        <v>KPI 1</v>
      </c>
      <c r="C461" s="138">
        <f t="shared" ref="C461:D464" ca="1" si="68">J461-I461</f>
        <v>0</v>
      </c>
      <c r="D461" s="138">
        <f t="shared" ca="1" si="68"/>
        <v>0</v>
      </c>
      <c r="E461" s="57">
        <f ca="1">$G$79</f>
        <v>0</v>
      </c>
      <c r="F461" s="57">
        <f ca="1">$G$80</f>
        <v>9.6</v>
      </c>
      <c r="G461" s="57">
        <f ca="1">$H$78</f>
        <v>7.4304347826086961</v>
      </c>
      <c r="H461" s="68" t="str">
        <f>$B$19</f>
        <v>KPI 1</v>
      </c>
      <c r="I461" s="158">
        <f ca="1">INDIRECT("M"&amp;N460)</f>
        <v>0</v>
      </c>
      <c r="J461" s="158">
        <f ca="1">INDIRECT("K"&amp;N460)</f>
        <v>0</v>
      </c>
      <c r="K461" s="69">
        <f ca="1">INDIRECT("I"&amp;N460)</f>
        <v>0</v>
      </c>
      <c r="L461" s="67">
        <f ca="1">$H$78</f>
        <v>7.4304347826086961</v>
      </c>
      <c r="M461" s="73">
        <f ca="1">(K461-L461)/10</f>
        <v>-0.74304347826086958</v>
      </c>
    </row>
    <row r="462" spans="1:14">
      <c r="A462" s="59"/>
      <c r="B462" s="312" t="str">
        <f>$B$20</f>
        <v>KPI 2</v>
      </c>
      <c r="C462" s="138">
        <f t="shared" ca="1" si="68"/>
        <v>0</v>
      </c>
      <c r="D462" s="138">
        <f t="shared" ca="1" si="68"/>
        <v>0</v>
      </c>
      <c r="E462" s="57">
        <f ca="1">$J$79</f>
        <v>1.1111111111111112</v>
      </c>
      <c r="F462" s="57">
        <f ca="1">$J$80</f>
        <v>10</v>
      </c>
      <c r="G462" s="57">
        <f ca="1">$K$78</f>
        <v>7.9589371980676349</v>
      </c>
      <c r="H462" s="68" t="str">
        <f>$B$20</f>
        <v>KPI 2</v>
      </c>
      <c r="I462" s="158">
        <f ca="1">INDIRECT("R"&amp;N460)</f>
        <v>0</v>
      </c>
      <c r="J462" s="158">
        <f ca="1">INDIRECT("P"&amp;N460)</f>
        <v>0</v>
      </c>
      <c r="K462" s="69">
        <f ca="1">INDIRECT("N"&amp;N460)</f>
        <v>0</v>
      </c>
      <c r="L462" s="67">
        <f ca="1">$K$78</f>
        <v>7.9589371980676349</v>
      </c>
      <c r="M462" s="73">
        <f ca="1">(K462-L462)/10</f>
        <v>-0.79589371980676349</v>
      </c>
    </row>
    <row r="463" spans="1:14">
      <c r="A463" s="59"/>
      <c r="B463" s="4" t="str">
        <f>$B$21</f>
        <v>KPI 3</v>
      </c>
      <c r="C463" s="138">
        <f t="shared" ca="1" si="68"/>
        <v>0</v>
      </c>
      <c r="D463" s="138">
        <f t="shared" ca="1" si="68"/>
        <v>0</v>
      </c>
      <c r="E463" s="57">
        <f ca="1">$M$79</f>
        <v>0.22222222222222221</v>
      </c>
      <c r="F463" s="57">
        <f ca="1">$M$80</f>
        <v>10</v>
      </c>
      <c r="G463" s="57">
        <f ca="1">$N$78</f>
        <v>6.8743961352657008</v>
      </c>
      <c r="H463" s="68" t="str">
        <f>$B$21</f>
        <v>KPI 3</v>
      </c>
      <c r="I463" s="158">
        <f ca="1">INDIRECT("W"&amp;N460)</f>
        <v>0</v>
      </c>
      <c r="J463" s="158">
        <f ca="1">INDIRECT("U"&amp;N460)</f>
        <v>0</v>
      </c>
      <c r="K463" s="69">
        <f ca="1">INDIRECT("S"&amp;N460)</f>
        <v>0</v>
      </c>
      <c r="L463" s="67">
        <f ca="1">$N$78</f>
        <v>6.8743961352657008</v>
      </c>
      <c r="M463" s="73">
        <f ca="1">(K463-L463)/10</f>
        <v>-0.68743961352657013</v>
      </c>
    </row>
    <row r="464" spans="1:14">
      <c r="A464" s="59"/>
      <c r="B464" s="4" t="str">
        <f>$B$22</f>
        <v>KPI 4</v>
      </c>
      <c r="C464" s="138">
        <f t="shared" ca="1" si="68"/>
        <v>0</v>
      </c>
      <c r="D464" s="138">
        <f t="shared" ca="1" si="68"/>
        <v>0</v>
      </c>
      <c r="E464" s="57">
        <f ca="1">$P$79</f>
        <v>0</v>
      </c>
      <c r="F464" s="57">
        <f ca="1">$P$80</f>
        <v>9.6923076923076916</v>
      </c>
      <c r="G464" s="57">
        <f ca="1">$Q$78</f>
        <v>6.1337792642140467</v>
      </c>
      <c r="H464" s="68" t="str">
        <f>$B$22</f>
        <v>KPI 4</v>
      </c>
      <c r="I464" s="158">
        <f ca="1">INDIRECT("AB"&amp;N460)</f>
        <v>0</v>
      </c>
      <c r="J464" s="158">
        <f ca="1">INDIRECT("Z"&amp;N460)</f>
        <v>0</v>
      </c>
      <c r="K464" s="69">
        <f ca="1">INDIRECT("X"&amp;N460)</f>
        <v>0</v>
      </c>
      <c r="L464" s="67">
        <f ca="1">$Q$78</f>
        <v>6.1337792642140467</v>
      </c>
      <c r="M464" s="73">
        <f ca="1">(K464-L464)/10</f>
        <v>-0.61337792642140465</v>
      </c>
    </row>
    <row r="465" spans="1:14">
      <c r="A465" s="59"/>
      <c r="J465" s="71"/>
    </row>
    <row r="466" spans="1:14">
      <c r="A466" s="59"/>
      <c r="J466" s="71"/>
    </row>
    <row r="467" spans="1:14" ht="22">
      <c r="A467" s="59"/>
      <c r="C467" s="128" t="s">
        <v>41</v>
      </c>
      <c r="D467" s="128" t="s">
        <v>42</v>
      </c>
      <c r="E467" s="44" t="s">
        <v>358</v>
      </c>
      <c r="F467" s="44" t="s">
        <v>359</v>
      </c>
      <c r="G467" s="44" t="s">
        <v>393</v>
      </c>
      <c r="H467" s="66" t="s">
        <v>215</v>
      </c>
      <c r="I467" s="157" t="s">
        <v>40</v>
      </c>
      <c r="J467" s="157" t="s">
        <v>330</v>
      </c>
      <c r="K467" s="70" t="s">
        <v>331</v>
      </c>
      <c r="L467" s="65" t="s">
        <v>216</v>
      </c>
      <c r="M467" s="72" t="s">
        <v>332</v>
      </c>
      <c r="N467" s="4">
        <f>N460+1</f>
        <v>148</v>
      </c>
    </row>
    <row r="468" spans="1:14">
      <c r="A468" s="59">
        <f ca="1">INDIRECT("A"&amp;N467)</f>
        <v>0</v>
      </c>
      <c r="B468" s="4" t="str">
        <f>$B$19</f>
        <v>KPI 1</v>
      </c>
      <c r="C468" s="138">
        <f t="shared" ref="C468:D471" ca="1" si="69">J468-I468</f>
        <v>0</v>
      </c>
      <c r="D468" s="138">
        <f t="shared" ca="1" si="69"/>
        <v>0</v>
      </c>
      <c r="E468" s="57">
        <f ca="1">$G$79</f>
        <v>0</v>
      </c>
      <c r="F468" s="57">
        <f ca="1">$G$80</f>
        <v>9.6</v>
      </c>
      <c r="G468" s="57">
        <f ca="1">$H$78</f>
        <v>7.4304347826086961</v>
      </c>
      <c r="H468" s="68" t="str">
        <f>$B$19</f>
        <v>KPI 1</v>
      </c>
      <c r="I468" s="158">
        <f ca="1">INDIRECT("M"&amp;N467)</f>
        <v>0</v>
      </c>
      <c r="J468" s="158">
        <f ca="1">INDIRECT("K"&amp;N467)</f>
        <v>0</v>
      </c>
      <c r="K468" s="69">
        <f ca="1">INDIRECT("I"&amp;N467)</f>
        <v>0</v>
      </c>
      <c r="L468" s="67">
        <f ca="1">$H$78</f>
        <v>7.4304347826086961</v>
      </c>
      <c r="M468" s="73">
        <f ca="1">(K468-L468)/10</f>
        <v>-0.74304347826086958</v>
      </c>
    </row>
    <row r="469" spans="1:14">
      <c r="A469" s="59"/>
      <c r="B469" s="312" t="str">
        <f>$B$20</f>
        <v>KPI 2</v>
      </c>
      <c r="C469" s="138">
        <f t="shared" ca="1" si="69"/>
        <v>0</v>
      </c>
      <c r="D469" s="138">
        <f t="shared" ca="1" si="69"/>
        <v>0</v>
      </c>
      <c r="E469" s="57">
        <f ca="1">$J$79</f>
        <v>1.1111111111111112</v>
      </c>
      <c r="F469" s="57">
        <f ca="1">$J$80</f>
        <v>10</v>
      </c>
      <c r="G469" s="57">
        <f ca="1">$K$78</f>
        <v>7.9589371980676349</v>
      </c>
      <c r="H469" s="68" t="str">
        <f>$B$20</f>
        <v>KPI 2</v>
      </c>
      <c r="I469" s="158">
        <f ca="1">INDIRECT("R"&amp;N467)</f>
        <v>0</v>
      </c>
      <c r="J469" s="158">
        <f ca="1">INDIRECT("P"&amp;N467)</f>
        <v>0</v>
      </c>
      <c r="K469" s="69">
        <f ca="1">INDIRECT("N"&amp;N467)</f>
        <v>0</v>
      </c>
      <c r="L469" s="67">
        <f ca="1">$K$78</f>
        <v>7.9589371980676349</v>
      </c>
      <c r="M469" s="73">
        <f ca="1">(K469-L469)/10</f>
        <v>-0.79589371980676349</v>
      </c>
    </row>
    <row r="470" spans="1:14">
      <c r="A470" s="59"/>
      <c r="B470" s="4" t="str">
        <f>$B$21</f>
        <v>KPI 3</v>
      </c>
      <c r="C470" s="138">
        <f t="shared" ca="1" si="69"/>
        <v>0</v>
      </c>
      <c r="D470" s="138">
        <f t="shared" ca="1" si="69"/>
        <v>0</v>
      </c>
      <c r="E470" s="57">
        <f ca="1">$M$79</f>
        <v>0.22222222222222221</v>
      </c>
      <c r="F470" s="57">
        <f ca="1">$M$80</f>
        <v>10</v>
      </c>
      <c r="G470" s="57">
        <f ca="1">$N$78</f>
        <v>6.8743961352657008</v>
      </c>
      <c r="H470" s="68" t="str">
        <f>$B$21</f>
        <v>KPI 3</v>
      </c>
      <c r="I470" s="158">
        <f ca="1">INDIRECT("W"&amp;N467)</f>
        <v>0</v>
      </c>
      <c r="J470" s="158">
        <f ca="1">INDIRECT("U"&amp;N467)</f>
        <v>0</v>
      </c>
      <c r="K470" s="69">
        <f ca="1">INDIRECT("S"&amp;N467)</f>
        <v>0</v>
      </c>
      <c r="L470" s="67">
        <f ca="1">$N$78</f>
        <v>6.8743961352657008</v>
      </c>
      <c r="M470" s="73">
        <f ca="1">(K470-L470)/10</f>
        <v>-0.68743961352657013</v>
      </c>
    </row>
    <row r="471" spans="1:14">
      <c r="A471" s="59"/>
      <c r="B471" s="4" t="str">
        <f>$B$22</f>
        <v>KPI 4</v>
      </c>
      <c r="C471" s="138">
        <f t="shared" ca="1" si="69"/>
        <v>0</v>
      </c>
      <c r="D471" s="138">
        <f t="shared" ca="1" si="69"/>
        <v>0</v>
      </c>
      <c r="E471" s="57">
        <f ca="1">$P$79</f>
        <v>0</v>
      </c>
      <c r="F471" s="57">
        <f ca="1">$P$80</f>
        <v>9.6923076923076916</v>
      </c>
      <c r="G471" s="57">
        <f ca="1">$Q$78</f>
        <v>6.1337792642140467</v>
      </c>
      <c r="H471" s="68" t="str">
        <f>$B$22</f>
        <v>KPI 4</v>
      </c>
      <c r="I471" s="158">
        <f ca="1">INDIRECT("AB"&amp;N467)</f>
        <v>0</v>
      </c>
      <c r="J471" s="158">
        <f ca="1">INDIRECT("Z"&amp;N467)</f>
        <v>0</v>
      </c>
      <c r="K471" s="69">
        <f ca="1">INDIRECT("X"&amp;N467)</f>
        <v>0</v>
      </c>
      <c r="L471" s="67">
        <f ca="1">$Q$78</f>
        <v>6.1337792642140467</v>
      </c>
      <c r="M471" s="73">
        <f ca="1">(K471-L471)/10</f>
        <v>-0.61337792642140465</v>
      </c>
    </row>
    <row r="472" spans="1:14">
      <c r="A472" s="59"/>
      <c r="J472" s="71"/>
    </row>
    <row r="473" spans="1:14">
      <c r="A473" s="59"/>
      <c r="J473" s="71"/>
    </row>
    <row r="474" spans="1:14" ht="22">
      <c r="A474" s="59"/>
      <c r="C474" s="128" t="s">
        <v>41</v>
      </c>
      <c r="D474" s="128" t="s">
        <v>42</v>
      </c>
      <c r="E474" s="44" t="s">
        <v>358</v>
      </c>
      <c r="F474" s="44" t="s">
        <v>359</v>
      </c>
      <c r="G474" s="44" t="s">
        <v>393</v>
      </c>
      <c r="H474" s="66" t="s">
        <v>215</v>
      </c>
      <c r="I474" s="157" t="s">
        <v>40</v>
      </c>
      <c r="J474" s="157" t="s">
        <v>330</v>
      </c>
      <c r="K474" s="70" t="s">
        <v>331</v>
      </c>
      <c r="L474" s="65" t="s">
        <v>216</v>
      </c>
      <c r="M474" s="72" t="s">
        <v>332</v>
      </c>
      <c r="N474" s="4">
        <f>N467+1</f>
        <v>149</v>
      </c>
    </row>
    <row r="475" spans="1:14">
      <c r="A475" s="59">
        <f ca="1">INDIRECT("A"&amp;N474)</f>
        <v>0</v>
      </c>
      <c r="B475" s="4" t="str">
        <f>$B$19</f>
        <v>KPI 1</v>
      </c>
      <c r="C475" s="138">
        <f t="shared" ref="C475:D478" ca="1" si="70">J475-I475</f>
        <v>0</v>
      </c>
      <c r="D475" s="138">
        <f t="shared" ca="1" si="70"/>
        <v>0</v>
      </c>
      <c r="E475" s="57">
        <f ca="1">$G$79</f>
        <v>0</v>
      </c>
      <c r="F475" s="57">
        <f ca="1">$G$80</f>
        <v>9.6</v>
      </c>
      <c r="G475" s="57">
        <f ca="1">$H$78</f>
        <v>7.4304347826086961</v>
      </c>
      <c r="H475" s="68" t="str">
        <f>$B$19</f>
        <v>KPI 1</v>
      </c>
      <c r="I475" s="158">
        <f ca="1">INDIRECT("M"&amp;N474)</f>
        <v>0</v>
      </c>
      <c r="J475" s="158">
        <f ca="1">INDIRECT("K"&amp;N474)</f>
        <v>0</v>
      </c>
      <c r="K475" s="69">
        <f ca="1">INDIRECT("I"&amp;N474)</f>
        <v>0</v>
      </c>
      <c r="L475" s="67">
        <f ca="1">$H$78</f>
        <v>7.4304347826086961</v>
      </c>
      <c r="M475" s="73">
        <f ca="1">(K475-L475)/10</f>
        <v>-0.74304347826086958</v>
      </c>
    </row>
    <row r="476" spans="1:14">
      <c r="A476" s="59"/>
      <c r="B476" s="312" t="str">
        <f>$B$20</f>
        <v>KPI 2</v>
      </c>
      <c r="C476" s="138">
        <f t="shared" ca="1" si="70"/>
        <v>0</v>
      </c>
      <c r="D476" s="138">
        <f t="shared" ca="1" si="70"/>
        <v>0</v>
      </c>
      <c r="E476" s="57">
        <f ca="1">$J$79</f>
        <v>1.1111111111111112</v>
      </c>
      <c r="F476" s="57">
        <f ca="1">$J$80</f>
        <v>10</v>
      </c>
      <c r="G476" s="57">
        <f ca="1">$K$78</f>
        <v>7.9589371980676349</v>
      </c>
      <c r="H476" s="68" t="str">
        <f>$B$20</f>
        <v>KPI 2</v>
      </c>
      <c r="I476" s="158">
        <f ca="1">INDIRECT("R"&amp;N474)</f>
        <v>0</v>
      </c>
      <c r="J476" s="158">
        <f ca="1">INDIRECT("P"&amp;N474)</f>
        <v>0</v>
      </c>
      <c r="K476" s="69">
        <f ca="1">INDIRECT("N"&amp;N474)</f>
        <v>0</v>
      </c>
      <c r="L476" s="67">
        <f ca="1">$K$78</f>
        <v>7.9589371980676349</v>
      </c>
      <c r="M476" s="73">
        <f ca="1">(K476-L476)/10</f>
        <v>-0.79589371980676349</v>
      </c>
    </row>
    <row r="477" spans="1:14">
      <c r="A477" s="59"/>
      <c r="B477" s="4" t="str">
        <f>$B$21</f>
        <v>KPI 3</v>
      </c>
      <c r="C477" s="138">
        <f t="shared" ca="1" si="70"/>
        <v>0</v>
      </c>
      <c r="D477" s="138">
        <f t="shared" ca="1" si="70"/>
        <v>0</v>
      </c>
      <c r="E477" s="57">
        <f ca="1">$M$79</f>
        <v>0.22222222222222221</v>
      </c>
      <c r="F477" s="57">
        <f ca="1">$M$80</f>
        <v>10</v>
      </c>
      <c r="G477" s="57">
        <f ca="1">$N$78</f>
        <v>6.8743961352657008</v>
      </c>
      <c r="H477" s="68" t="str">
        <f>$B$21</f>
        <v>KPI 3</v>
      </c>
      <c r="I477" s="158">
        <f ca="1">INDIRECT("W"&amp;N474)</f>
        <v>0</v>
      </c>
      <c r="J477" s="158">
        <f ca="1">INDIRECT("U"&amp;N474)</f>
        <v>0</v>
      </c>
      <c r="K477" s="69">
        <f ca="1">INDIRECT("S"&amp;N474)</f>
        <v>0</v>
      </c>
      <c r="L477" s="67">
        <f ca="1">$N$78</f>
        <v>6.8743961352657008</v>
      </c>
      <c r="M477" s="73">
        <f ca="1">(K477-L477)/10</f>
        <v>-0.68743961352657013</v>
      </c>
    </row>
    <row r="478" spans="1:14">
      <c r="A478" s="59"/>
      <c r="B478" s="4" t="str">
        <f>$B$22</f>
        <v>KPI 4</v>
      </c>
      <c r="C478" s="138">
        <f t="shared" ca="1" si="70"/>
        <v>0</v>
      </c>
      <c r="D478" s="138">
        <f t="shared" ca="1" si="70"/>
        <v>0</v>
      </c>
      <c r="E478" s="57">
        <f ca="1">$P$79</f>
        <v>0</v>
      </c>
      <c r="F478" s="57">
        <f ca="1">$P$80</f>
        <v>9.6923076923076916</v>
      </c>
      <c r="G478" s="57">
        <f ca="1">$Q$78</f>
        <v>6.1337792642140467</v>
      </c>
      <c r="H478" s="68" t="str">
        <f>$B$22</f>
        <v>KPI 4</v>
      </c>
      <c r="I478" s="158">
        <f ca="1">INDIRECT("AB"&amp;N474)</f>
        <v>0</v>
      </c>
      <c r="J478" s="158">
        <f ca="1">INDIRECT("Z"&amp;N474)</f>
        <v>0</v>
      </c>
      <c r="K478" s="69">
        <f ca="1">INDIRECT("X"&amp;N474)</f>
        <v>0</v>
      </c>
      <c r="L478" s="67">
        <f ca="1">$Q$78</f>
        <v>6.1337792642140467</v>
      </c>
      <c r="M478" s="73">
        <f ca="1">(K478-L478)/10</f>
        <v>-0.61337792642140465</v>
      </c>
    </row>
    <row r="479" spans="1:14">
      <c r="A479" s="59"/>
      <c r="J479" s="71"/>
    </row>
    <row r="480" spans="1:14">
      <c r="A480" s="59"/>
      <c r="J480" s="71"/>
    </row>
    <row r="481" spans="1:14" ht="22">
      <c r="A481" s="59"/>
      <c r="C481" s="128" t="s">
        <v>41</v>
      </c>
      <c r="D481" s="128" t="s">
        <v>42</v>
      </c>
      <c r="E481" s="44" t="s">
        <v>358</v>
      </c>
      <c r="F481" s="44" t="s">
        <v>359</v>
      </c>
      <c r="G481" s="44" t="s">
        <v>393</v>
      </c>
      <c r="H481" s="66" t="s">
        <v>215</v>
      </c>
      <c r="I481" s="157" t="s">
        <v>40</v>
      </c>
      <c r="J481" s="157" t="s">
        <v>330</v>
      </c>
      <c r="K481" s="70" t="s">
        <v>331</v>
      </c>
      <c r="L481" s="65" t="s">
        <v>216</v>
      </c>
      <c r="M481" s="72" t="s">
        <v>332</v>
      </c>
      <c r="N481" s="4">
        <f>N474+1</f>
        <v>150</v>
      </c>
    </row>
    <row r="482" spans="1:14">
      <c r="A482" s="59">
        <f ca="1">INDIRECT("A"&amp;N481)</f>
        <v>0</v>
      </c>
      <c r="B482" s="4" t="str">
        <f>$B$19</f>
        <v>KPI 1</v>
      </c>
      <c r="C482" s="138">
        <f t="shared" ref="C482:D485" ca="1" si="71">J482-I482</f>
        <v>0</v>
      </c>
      <c r="D482" s="138">
        <f t="shared" ca="1" si="71"/>
        <v>0</v>
      </c>
      <c r="E482" s="57">
        <f ca="1">$G$79</f>
        <v>0</v>
      </c>
      <c r="F482" s="57">
        <f ca="1">$G$80</f>
        <v>9.6</v>
      </c>
      <c r="G482" s="57">
        <f ca="1">$H$78</f>
        <v>7.4304347826086961</v>
      </c>
      <c r="H482" s="68" t="str">
        <f>$B$19</f>
        <v>KPI 1</v>
      </c>
      <c r="I482" s="158">
        <f ca="1">INDIRECT("M"&amp;N481)</f>
        <v>0</v>
      </c>
      <c r="J482" s="158">
        <f ca="1">INDIRECT("K"&amp;N481)</f>
        <v>0</v>
      </c>
      <c r="K482" s="69">
        <f ca="1">INDIRECT("I"&amp;N481)</f>
        <v>0</v>
      </c>
      <c r="L482" s="67">
        <f ca="1">$H$78</f>
        <v>7.4304347826086961</v>
      </c>
      <c r="M482" s="73">
        <f ca="1">(K482-L482)/10</f>
        <v>-0.74304347826086958</v>
      </c>
    </row>
    <row r="483" spans="1:14">
      <c r="A483" s="59"/>
      <c r="B483" s="312" t="str">
        <f>$B$20</f>
        <v>KPI 2</v>
      </c>
      <c r="C483" s="138">
        <f t="shared" ca="1" si="71"/>
        <v>0</v>
      </c>
      <c r="D483" s="138">
        <f t="shared" ca="1" si="71"/>
        <v>0</v>
      </c>
      <c r="E483" s="57">
        <f ca="1">$J$79</f>
        <v>1.1111111111111112</v>
      </c>
      <c r="F483" s="57">
        <f ca="1">$J$80</f>
        <v>10</v>
      </c>
      <c r="G483" s="57">
        <f ca="1">$K$78</f>
        <v>7.9589371980676349</v>
      </c>
      <c r="H483" s="68" t="str">
        <f>$B$20</f>
        <v>KPI 2</v>
      </c>
      <c r="I483" s="158">
        <f ca="1">INDIRECT("R"&amp;N481)</f>
        <v>0</v>
      </c>
      <c r="J483" s="158">
        <f ca="1">INDIRECT("P"&amp;N481)</f>
        <v>0</v>
      </c>
      <c r="K483" s="69">
        <f ca="1">INDIRECT("N"&amp;N481)</f>
        <v>0</v>
      </c>
      <c r="L483" s="67">
        <f ca="1">$K$78</f>
        <v>7.9589371980676349</v>
      </c>
      <c r="M483" s="73">
        <f ca="1">(K483-L483)/10</f>
        <v>-0.79589371980676349</v>
      </c>
    </row>
    <row r="484" spans="1:14">
      <c r="A484" s="59"/>
      <c r="B484" s="4" t="str">
        <f>$B$21</f>
        <v>KPI 3</v>
      </c>
      <c r="C484" s="138">
        <f t="shared" ca="1" si="71"/>
        <v>0</v>
      </c>
      <c r="D484" s="138">
        <f t="shared" ca="1" si="71"/>
        <v>0</v>
      </c>
      <c r="E484" s="57">
        <f ca="1">$M$79</f>
        <v>0.22222222222222221</v>
      </c>
      <c r="F484" s="57">
        <f ca="1">$M$80</f>
        <v>10</v>
      </c>
      <c r="G484" s="57">
        <f ca="1">$N$78</f>
        <v>6.8743961352657008</v>
      </c>
      <c r="H484" s="68" t="str">
        <f>$B$21</f>
        <v>KPI 3</v>
      </c>
      <c r="I484" s="158">
        <f ca="1">INDIRECT("W"&amp;N481)</f>
        <v>0</v>
      </c>
      <c r="J484" s="158">
        <f ca="1">INDIRECT("U"&amp;N481)</f>
        <v>0</v>
      </c>
      <c r="K484" s="69">
        <f ca="1">INDIRECT("S"&amp;N481)</f>
        <v>0</v>
      </c>
      <c r="L484" s="67">
        <f ca="1">$N$78</f>
        <v>6.8743961352657008</v>
      </c>
      <c r="M484" s="73">
        <f ca="1">(K484-L484)/10</f>
        <v>-0.68743961352657013</v>
      </c>
    </row>
    <row r="485" spans="1:14">
      <c r="A485" s="59"/>
      <c r="B485" s="4" t="str">
        <f>$B$22</f>
        <v>KPI 4</v>
      </c>
      <c r="C485" s="138">
        <f t="shared" ca="1" si="71"/>
        <v>0</v>
      </c>
      <c r="D485" s="138">
        <f t="shared" ca="1" si="71"/>
        <v>0</v>
      </c>
      <c r="E485" s="57">
        <f ca="1">$P$79</f>
        <v>0</v>
      </c>
      <c r="F485" s="57">
        <f ca="1">$P$80</f>
        <v>9.6923076923076916</v>
      </c>
      <c r="G485" s="57">
        <f ca="1">$Q$78</f>
        <v>6.1337792642140467</v>
      </c>
      <c r="H485" s="68" t="str">
        <f>$B$22</f>
        <v>KPI 4</v>
      </c>
      <c r="I485" s="158">
        <f ca="1">INDIRECT("AB"&amp;N481)</f>
        <v>0</v>
      </c>
      <c r="J485" s="158">
        <f ca="1">INDIRECT("Z"&amp;N481)</f>
        <v>0</v>
      </c>
      <c r="K485" s="69">
        <f ca="1">INDIRECT("X"&amp;N481)</f>
        <v>0</v>
      </c>
      <c r="L485" s="67">
        <f ca="1">$Q$78</f>
        <v>6.1337792642140467</v>
      </c>
      <c r="M485" s="73">
        <f ca="1">(K485-L485)/10</f>
        <v>-0.61337792642140465</v>
      </c>
    </row>
    <row r="486" spans="1:14">
      <c r="A486" s="59"/>
      <c r="J486" s="71"/>
    </row>
    <row r="487" spans="1:14">
      <c r="A487" s="59"/>
      <c r="J487" s="71"/>
    </row>
    <row r="488" spans="1:14" ht="22">
      <c r="A488" s="59"/>
      <c r="C488" s="128" t="s">
        <v>41</v>
      </c>
      <c r="D488" s="128" t="s">
        <v>42</v>
      </c>
      <c r="E488" s="44" t="s">
        <v>358</v>
      </c>
      <c r="F488" s="44" t="s">
        <v>359</v>
      </c>
      <c r="G488" s="44" t="s">
        <v>393</v>
      </c>
      <c r="H488" s="66" t="s">
        <v>215</v>
      </c>
      <c r="I488" s="157" t="s">
        <v>40</v>
      </c>
      <c r="J488" s="157" t="s">
        <v>330</v>
      </c>
      <c r="K488" s="70" t="s">
        <v>331</v>
      </c>
      <c r="L488" s="65" t="s">
        <v>216</v>
      </c>
      <c r="M488" s="72" t="s">
        <v>332</v>
      </c>
      <c r="N488" s="4">
        <f>N481+1</f>
        <v>151</v>
      </c>
    </row>
    <row r="489" spans="1:14">
      <c r="A489" s="59">
        <f ca="1">INDIRECT("A"&amp;N488)</f>
        <v>0</v>
      </c>
      <c r="B489" s="4" t="str">
        <f>$B$19</f>
        <v>KPI 1</v>
      </c>
      <c r="C489" s="138">
        <f t="shared" ref="C489:D492" ca="1" si="72">J489-I489</f>
        <v>0</v>
      </c>
      <c r="D489" s="138">
        <f t="shared" ca="1" si="72"/>
        <v>0</v>
      </c>
      <c r="E489" s="57">
        <f ca="1">$G$79</f>
        <v>0</v>
      </c>
      <c r="F489" s="57">
        <f ca="1">$G$80</f>
        <v>9.6</v>
      </c>
      <c r="G489" s="57">
        <f ca="1">$H$78</f>
        <v>7.4304347826086961</v>
      </c>
      <c r="H489" s="68" t="str">
        <f>$B$19</f>
        <v>KPI 1</v>
      </c>
      <c r="I489" s="158">
        <f ca="1">INDIRECT("M"&amp;N488)</f>
        <v>0</v>
      </c>
      <c r="J489" s="158">
        <f ca="1">INDIRECT("K"&amp;N488)</f>
        <v>0</v>
      </c>
      <c r="K489" s="69">
        <f ca="1">INDIRECT("I"&amp;N488)</f>
        <v>0</v>
      </c>
      <c r="L489" s="67">
        <f ca="1">$H$78</f>
        <v>7.4304347826086961</v>
      </c>
      <c r="M489" s="73">
        <f ca="1">(K489-L489)/10</f>
        <v>-0.74304347826086958</v>
      </c>
    </row>
    <row r="490" spans="1:14">
      <c r="A490" s="59"/>
      <c r="B490" s="312" t="str">
        <f>$B$20</f>
        <v>KPI 2</v>
      </c>
      <c r="C490" s="138">
        <f t="shared" ca="1" si="72"/>
        <v>0</v>
      </c>
      <c r="D490" s="138">
        <f t="shared" ca="1" si="72"/>
        <v>0</v>
      </c>
      <c r="E490" s="57">
        <f ca="1">$J$79</f>
        <v>1.1111111111111112</v>
      </c>
      <c r="F490" s="57">
        <f ca="1">$J$80</f>
        <v>10</v>
      </c>
      <c r="G490" s="57">
        <f ca="1">$K$78</f>
        <v>7.9589371980676349</v>
      </c>
      <c r="H490" s="68" t="str">
        <f>$B$20</f>
        <v>KPI 2</v>
      </c>
      <c r="I490" s="158">
        <f ca="1">INDIRECT("R"&amp;N488)</f>
        <v>0</v>
      </c>
      <c r="J490" s="158">
        <f ca="1">INDIRECT("P"&amp;N488)</f>
        <v>0</v>
      </c>
      <c r="K490" s="69">
        <f ca="1">INDIRECT("N"&amp;N488)</f>
        <v>0</v>
      </c>
      <c r="L490" s="67">
        <f ca="1">$K$78</f>
        <v>7.9589371980676349</v>
      </c>
      <c r="M490" s="73">
        <f ca="1">(K490-L490)/10</f>
        <v>-0.79589371980676349</v>
      </c>
    </row>
    <row r="491" spans="1:14">
      <c r="A491" s="59"/>
      <c r="B491" s="4" t="str">
        <f>$B$21</f>
        <v>KPI 3</v>
      </c>
      <c r="C491" s="138">
        <f t="shared" ca="1" si="72"/>
        <v>0</v>
      </c>
      <c r="D491" s="138">
        <f t="shared" ca="1" si="72"/>
        <v>0</v>
      </c>
      <c r="E491" s="57">
        <f ca="1">$M$79</f>
        <v>0.22222222222222221</v>
      </c>
      <c r="F491" s="57">
        <f ca="1">$M$80</f>
        <v>10</v>
      </c>
      <c r="G491" s="57">
        <f ca="1">$N$78</f>
        <v>6.8743961352657008</v>
      </c>
      <c r="H491" s="68" t="str">
        <f>$B$21</f>
        <v>KPI 3</v>
      </c>
      <c r="I491" s="158">
        <f ca="1">INDIRECT("W"&amp;N488)</f>
        <v>0</v>
      </c>
      <c r="J491" s="158">
        <f ca="1">INDIRECT("U"&amp;N488)</f>
        <v>0</v>
      </c>
      <c r="K491" s="69">
        <f ca="1">INDIRECT("S"&amp;N488)</f>
        <v>0</v>
      </c>
      <c r="L491" s="67">
        <f ca="1">$N$78</f>
        <v>6.8743961352657008</v>
      </c>
      <c r="M491" s="73">
        <f ca="1">(K491-L491)/10</f>
        <v>-0.68743961352657013</v>
      </c>
    </row>
    <row r="492" spans="1:14">
      <c r="A492" s="59"/>
      <c r="B492" s="4" t="str">
        <f>$B$22</f>
        <v>KPI 4</v>
      </c>
      <c r="C492" s="138">
        <f t="shared" ca="1" si="72"/>
        <v>0</v>
      </c>
      <c r="D492" s="138">
        <f t="shared" ca="1" si="72"/>
        <v>0</v>
      </c>
      <c r="E492" s="57">
        <f ca="1">$P$79</f>
        <v>0</v>
      </c>
      <c r="F492" s="57">
        <f ca="1">$P$80</f>
        <v>9.6923076923076916</v>
      </c>
      <c r="G492" s="57">
        <f ca="1">$Q$78</f>
        <v>6.1337792642140467</v>
      </c>
      <c r="H492" s="68" t="str">
        <f>$B$22</f>
        <v>KPI 4</v>
      </c>
      <c r="I492" s="158">
        <f ca="1">INDIRECT("AB"&amp;N488)</f>
        <v>0</v>
      </c>
      <c r="J492" s="158">
        <f ca="1">INDIRECT("Z"&amp;N488)</f>
        <v>0</v>
      </c>
      <c r="K492" s="69">
        <f ca="1">INDIRECT("X"&amp;N488)</f>
        <v>0</v>
      </c>
      <c r="L492" s="67">
        <f ca="1">$Q$78</f>
        <v>6.1337792642140467</v>
      </c>
      <c r="M492" s="73">
        <f ca="1">(K492-L492)/10</f>
        <v>-0.61337792642140465</v>
      </c>
    </row>
    <row r="493" spans="1:14">
      <c r="A493" s="59"/>
      <c r="J493" s="71"/>
    </row>
    <row r="494" spans="1:14">
      <c r="A494" s="59"/>
      <c r="J494" s="71"/>
    </row>
    <row r="495" spans="1:14" ht="22">
      <c r="A495" s="59"/>
      <c r="C495" s="128" t="s">
        <v>41</v>
      </c>
      <c r="D495" s="128" t="s">
        <v>42</v>
      </c>
      <c r="E495" s="44" t="s">
        <v>358</v>
      </c>
      <c r="F495" s="44" t="s">
        <v>359</v>
      </c>
      <c r="G495" s="44" t="s">
        <v>393</v>
      </c>
      <c r="H495" s="66" t="s">
        <v>215</v>
      </c>
      <c r="I495" s="157" t="s">
        <v>40</v>
      </c>
      <c r="J495" s="157" t="s">
        <v>330</v>
      </c>
      <c r="K495" s="70" t="s">
        <v>331</v>
      </c>
      <c r="L495" s="65" t="s">
        <v>216</v>
      </c>
      <c r="M495" s="72" t="s">
        <v>332</v>
      </c>
      <c r="N495" s="4">
        <f>N488+1</f>
        <v>152</v>
      </c>
    </row>
    <row r="496" spans="1:14">
      <c r="A496" s="59">
        <f ca="1">INDIRECT("A"&amp;N495)</f>
        <v>0</v>
      </c>
      <c r="B496" s="4" t="str">
        <f>$B$19</f>
        <v>KPI 1</v>
      </c>
      <c r="C496" s="138">
        <f t="shared" ref="C496:D499" ca="1" si="73">J496-I496</f>
        <v>0</v>
      </c>
      <c r="D496" s="138">
        <f t="shared" ca="1" si="73"/>
        <v>0</v>
      </c>
      <c r="E496" s="57">
        <f ca="1">$G$79</f>
        <v>0</v>
      </c>
      <c r="F496" s="57">
        <f ca="1">$G$80</f>
        <v>9.6</v>
      </c>
      <c r="G496" s="57">
        <f ca="1">$H$78</f>
        <v>7.4304347826086961</v>
      </c>
      <c r="H496" s="68" t="str">
        <f>$B$19</f>
        <v>KPI 1</v>
      </c>
      <c r="I496" s="158">
        <f ca="1">INDIRECT("M"&amp;N495)</f>
        <v>0</v>
      </c>
      <c r="J496" s="158">
        <f ca="1">INDIRECT("K"&amp;N495)</f>
        <v>0</v>
      </c>
      <c r="K496" s="69">
        <f ca="1">INDIRECT("I"&amp;N495)</f>
        <v>0</v>
      </c>
      <c r="L496" s="67">
        <f ca="1">$H$78</f>
        <v>7.4304347826086961</v>
      </c>
      <c r="M496" s="73">
        <f ca="1">(K496-L496)/10</f>
        <v>-0.74304347826086958</v>
      </c>
    </row>
    <row r="497" spans="1:14">
      <c r="A497" s="59"/>
      <c r="B497" s="312" t="str">
        <f>$B$20</f>
        <v>KPI 2</v>
      </c>
      <c r="C497" s="138">
        <f t="shared" ca="1" si="73"/>
        <v>0</v>
      </c>
      <c r="D497" s="138">
        <f t="shared" ca="1" si="73"/>
        <v>0</v>
      </c>
      <c r="E497" s="57">
        <f ca="1">$J$79</f>
        <v>1.1111111111111112</v>
      </c>
      <c r="F497" s="57">
        <f ca="1">$J$80</f>
        <v>10</v>
      </c>
      <c r="G497" s="57">
        <f ca="1">$K$78</f>
        <v>7.9589371980676349</v>
      </c>
      <c r="H497" s="68" t="str">
        <f>$B$20</f>
        <v>KPI 2</v>
      </c>
      <c r="I497" s="158">
        <f ca="1">INDIRECT("R"&amp;N495)</f>
        <v>0</v>
      </c>
      <c r="J497" s="158">
        <f ca="1">INDIRECT("P"&amp;N495)</f>
        <v>0</v>
      </c>
      <c r="K497" s="69">
        <f ca="1">INDIRECT("N"&amp;N495)</f>
        <v>0</v>
      </c>
      <c r="L497" s="67">
        <f ca="1">$K$78</f>
        <v>7.9589371980676349</v>
      </c>
      <c r="M497" s="73">
        <f ca="1">(K497-L497)/10</f>
        <v>-0.79589371980676349</v>
      </c>
    </row>
    <row r="498" spans="1:14">
      <c r="A498" s="59"/>
      <c r="B498" s="4" t="str">
        <f>$B$21</f>
        <v>KPI 3</v>
      </c>
      <c r="C498" s="138">
        <f t="shared" ca="1" si="73"/>
        <v>0</v>
      </c>
      <c r="D498" s="138">
        <f t="shared" ca="1" si="73"/>
        <v>0</v>
      </c>
      <c r="E498" s="57">
        <f ca="1">$M$79</f>
        <v>0.22222222222222221</v>
      </c>
      <c r="F498" s="57">
        <f ca="1">$M$80</f>
        <v>10</v>
      </c>
      <c r="G498" s="57">
        <f ca="1">$N$78</f>
        <v>6.8743961352657008</v>
      </c>
      <c r="H498" s="68" t="str">
        <f>$B$21</f>
        <v>KPI 3</v>
      </c>
      <c r="I498" s="158">
        <f ca="1">INDIRECT("W"&amp;N495)</f>
        <v>0</v>
      </c>
      <c r="J498" s="158">
        <f ca="1">INDIRECT("U"&amp;N495)</f>
        <v>0</v>
      </c>
      <c r="K498" s="69">
        <f ca="1">INDIRECT("S"&amp;N495)</f>
        <v>0</v>
      </c>
      <c r="L498" s="67">
        <f ca="1">$N$78</f>
        <v>6.8743961352657008</v>
      </c>
      <c r="M498" s="73">
        <f ca="1">(K498-L498)/10</f>
        <v>-0.68743961352657013</v>
      </c>
    </row>
    <row r="499" spans="1:14">
      <c r="A499" s="59"/>
      <c r="B499" s="4" t="str">
        <f>$B$22</f>
        <v>KPI 4</v>
      </c>
      <c r="C499" s="138">
        <f t="shared" ca="1" si="73"/>
        <v>0</v>
      </c>
      <c r="D499" s="138">
        <f t="shared" ca="1" si="73"/>
        <v>0</v>
      </c>
      <c r="E499" s="57">
        <f ca="1">$P$79</f>
        <v>0</v>
      </c>
      <c r="F499" s="57">
        <f ca="1">$P$80</f>
        <v>9.6923076923076916</v>
      </c>
      <c r="G499" s="57">
        <f ca="1">$Q$78</f>
        <v>6.1337792642140467</v>
      </c>
      <c r="H499" s="68" t="str">
        <f>$B$22</f>
        <v>KPI 4</v>
      </c>
      <c r="I499" s="158">
        <f ca="1">INDIRECT("AB"&amp;N495)</f>
        <v>0</v>
      </c>
      <c r="J499" s="158">
        <f ca="1">INDIRECT("Z"&amp;N495)</f>
        <v>0</v>
      </c>
      <c r="K499" s="69">
        <f ca="1">INDIRECT("X"&amp;N495)</f>
        <v>0</v>
      </c>
      <c r="L499" s="67">
        <f ca="1">$Q$78</f>
        <v>6.1337792642140467</v>
      </c>
      <c r="M499" s="73">
        <f ca="1">(K499-L499)/10</f>
        <v>-0.61337792642140465</v>
      </c>
    </row>
    <row r="500" spans="1:14">
      <c r="A500" s="59"/>
      <c r="J500" s="71"/>
    </row>
    <row r="501" spans="1:14">
      <c r="A501" s="59"/>
      <c r="J501" s="71"/>
    </row>
    <row r="502" spans="1:14" ht="22">
      <c r="A502" s="59"/>
      <c r="C502" s="128" t="s">
        <v>41</v>
      </c>
      <c r="D502" s="128" t="s">
        <v>42</v>
      </c>
      <c r="E502" s="44" t="s">
        <v>358</v>
      </c>
      <c r="F502" s="44" t="s">
        <v>359</v>
      </c>
      <c r="G502" s="44" t="s">
        <v>393</v>
      </c>
      <c r="H502" s="66" t="s">
        <v>215</v>
      </c>
      <c r="I502" s="157" t="s">
        <v>40</v>
      </c>
      <c r="J502" s="157" t="s">
        <v>330</v>
      </c>
      <c r="K502" s="70" t="s">
        <v>331</v>
      </c>
      <c r="L502" s="65" t="s">
        <v>216</v>
      </c>
      <c r="M502" s="72" t="s">
        <v>332</v>
      </c>
      <c r="N502" s="4">
        <f>N495+1</f>
        <v>153</v>
      </c>
    </row>
    <row r="503" spans="1:14">
      <c r="A503" s="59">
        <f ca="1">INDIRECT("A"&amp;N502)</f>
        <v>0</v>
      </c>
      <c r="B503" s="4" t="str">
        <f>$B$19</f>
        <v>KPI 1</v>
      </c>
      <c r="C503" s="138">
        <f t="shared" ref="C503:D506" ca="1" si="74">J503-I503</f>
        <v>0</v>
      </c>
      <c r="D503" s="138">
        <f t="shared" ca="1" si="74"/>
        <v>0</v>
      </c>
      <c r="E503" s="57">
        <f ca="1">$G$79</f>
        <v>0</v>
      </c>
      <c r="F503" s="57">
        <f ca="1">$G$80</f>
        <v>9.6</v>
      </c>
      <c r="G503" s="57">
        <f ca="1">$H$78</f>
        <v>7.4304347826086961</v>
      </c>
      <c r="H503" s="68" t="str">
        <f>$B$19</f>
        <v>KPI 1</v>
      </c>
      <c r="I503" s="158">
        <f ca="1">INDIRECT("M"&amp;N502)</f>
        <v>0</v>
      </c>
      <c r="J503" s="158">
        <f ca="1">INDIRECT("K"&amp;N502)</f>
        <v>0</v>
      </c>
      <c r="K503" s="69">
        <f ca="1">INDIRECT("I"&amp;N502)</f>
        <v>0</v>
      </c>
      <c r="L503" s="67">
        <f ca="1">$H$78</f>
        <v>7.4304347826086961</v>
      </c>
      <c r="M503" s="73">
        <f ca="1">(K503-L503)/10</f>
        <v>-0.74304347826086958</v>
      </c>
    </row>
    <row r="504" spans="1:14">
      <c r="A504" s="59"/>
      <c r="B504" s="312" t="str">
        <f>$B$20</f>
        <v>KPI 2</v>
      </c>
      <c r="C504" s="138">
        <f t="shared" ca="1" si="74"/>
        <v>0</v>
      </c>
      <c r="D504" s="138">
        <f t="shared" ca="1" si="74"/>
        <v>0</v>
      </c>
      <c r="E504" s="57">
        <f ca="1">$J$79</f>
        <v>1.1111111111111112</v>
      </c>
      <c r="F504" s="57">
        <f ca="1">$J$80</f>
        <v>10</v>
      </c>
      <c r="G504" s="57">
        <f ca="1">$K$78</f>
        <v>7.9589371980676349</v>
      </c>
      <c r="H504" s="68" t="str">
        <f>$B$20</f>
        <v>KPI 2</v>
      </c>
      <c r="I504" s="158">
        <f ca="1">INDIRECT("R"&amp;N502)</f>
        <v>0</v>
      </c>
      <c r="J504" s="158">
        <f ca="1">INDIRECT("P"&amp;N502)</f>
        <v>0</v>
      </c>
      <c r="K504" s="69">
        <f ca="1">INDIRECT("N"&amp;N502)</f>
        <v>0</v>
      </c>
      <c r="L504" s="67">
        <f ca="1">$K$78</f>
        <v>7.9589371980676349</v>
      </c>
      <c r="M504" s="73">
        <f ca="1">(K504-L504)/10</f>
        <v>-0.79589371980676349</v>
      </c>
    </row>
    <row r="505" spans="1:14">
      <c r="A505" s="59"/>
      <c r="B505" s="4" t="str">
        <f>$B$21</f>
        <v>KPI 3</v>
      </c>
      <c r="C505" s="138">
        <f t="shared" ca="1" si="74"/>
        <v>0</v>
      </c>
      <c r="D505" s="138">
        <f t="shared" ca="1" si="74"/>
        <v>0</v>
      </c>
      <c r="E505" s="57">
        <f ca="1">$M$79</f>
        <v>0.22222222222222221</v>
      </c>
      <c r="F505" s="57">
        <f ca="1">$M$80</f>
        <v>10</v>
      </c>
      <c r="G505" s="57">
        <f ca="1">$N$78</f>
        <v>6.8743961352657008</v>
      </c>
      <c r="H505" s="68" t="str">
        <f>$B$21</f>
        <v>KPI 3</v>
      </c>
      <c r="I505" s="158">
        <f ca="1">INDIRECT("W"&amp;N502)</f>
        <v>0</v>
      </c>
      <c r="J505" s="158">
        <f ca="1">INDIRECT("U"&amp;N502)</f>
        <v>0</v>
      </c>
      <c r="K505" s="69">
        <f ca="1">INDIRECT("S"&amp;N502)</f>
        <v>0</v>
      </c>
      <c r="L505" s="67">
        <f ca="1">$N$78</f>
        <v>6.8743961352657008</v>
      </c>
      <c r="M505" s="73">
        <f ca="1">(K505-L505)/10</f>
        <v>-0.68743961352657013</v>
      </c>
    </row>
    <row r="506" spans="1:14">
      <c r="A506" s="59"/>
      <c r="B506" s="4" t="str">
        <f>$B$22</f>
        <v>KPI 4</v>
      </c>
      <c r="C506" s="138">
        <f t="shared" ca="1" si="74"/>
        <v>0</v>
      </c>
      <c r="D506" s="138">
        <f t="shared" ca="1" si="74"/>
        <v>0</v>
      </c>
      <c r="E506" s="57">
        <f ca="1">$P$79</f>
        <v>0</v>
      </c>
      <c r="F506" s="57">
        <f ca="1">$P$80</f>
        <v>9.6923076923076916</v>
      </c>
      <c r="G506" s="57">
        <f ca="1">$Q$78</f>
        <v>6.1337792642140467</v>
      </c>
      <c r="H506" s="68" t="str">
        <f>$B$22</f>
        <v>KPI 4</v>
      </c>
      <c r="I506" s="158">
        <f ca="1">INDIRECT("AB"&amp;N502)</f>
        <v>0</v>
      </c>
      <c r="J506" s="158">
        <f ca="1">INDIRECT("Z"&amp;N502)</f>
        <v>0</v>
      </c>
      <c r="K506" s="69">
        <f ca="1">INDIRECT("X"&amp;N502)</f>
        <v>0</v>
      </c>
      <c r="L506" s="67">
        <f ca="1">$Q$78</f>
        <v>6.1337792642140467</v>
      </c>
      <c r="M506" s="73">
        <f ca="1">(K506-L506)/10</f>
        <v>-0.61337792642140465</v>
      </c>
    </row>
    <row r="507" spans="1:14">
      <c r="A507" s="59"/>
      <c r="J507" s="71"/>
    </row>
    <row r="508" spans="1:14">
      <c r="A508" s="59"/>
      <c r="J508" s="71"/>
    </row>
    <row r="509" spans="1:14" ht="22">
      <c r="A509" s="59"/>
      <c r="C509" s="128" t="s">
        <v>41</v>
      </c>
      <c r="D509" s="128" t="s">
        <v>42</v>
      </c>
      <c r="E509" s="44" t="s">
        <v>358</v>
      </c>
      <c r="F509" s="44" t="s">
        <v>359</v>
      </c>
      <c r="G509" s="44" t="s">
        <v>393</v>
      </c>
      <c r="H509" s="66" t="s">
        <v>215</v>
      </c>
      <c r="I509" s="157" t="s">
        <v>40</v>
      </c>
      <c r="J509" s="157" t="s">
        <v>330</v>
      </c>
      <c r="K509" s="70" t="s">
        <v>331</v>
      </c>
      <c r="L509" s="65" t="s">
        <v>216</v>
      </c>
      <c r="M509" s="72" t="s">
        <v>332</v>
      </c>
      <c r="N509" s="4">
        <f>N502+1</f>
        <v>154</v>
      </c>
    </row>
    <row r="510" spans="1:14">
      <c r="A510" s="59">
        <f ca="1">INDIRECT("A"&amp;N509)</f>
        <v>0</v>
      </c>
      <c r="B510" s="4" t="str">
        <f>$B$19</f>
        <v>KPI 1</v>
      </c>
      <c r="C510" s="138">
        <f t="shared" ref="C510:D513" ca="1" si="75">J510-I510</f>
        <v>0</v>
      </c>
      <c r="D510" s="138">
        <f t="shared" ca="1" si="75"/>
        <v>0</v>
      </c>
      <c r="E510" s="57">
        <f ca="1">$G$79</f>
        <v>0</v>
      </c>
      <c r="F510" s="57">
        <f ca="1">$G$80</f>
        <v>9.6</v>
      </c>
      <c r="G510" s="57">
        <f ca="1">$H$78</f>
        <v>7.4304347826086961</v>
      </c>
      <c r="H510" s="68" t="str">
        <f>$B$19</f>
        <v>KPI 1</v>
      </c>
      <c r="I510" s="158">
        <f ca="1">INDIRECT("M"&amp;N509)</f>
        <v>0</v>
      </c>
      <c r="J510" s="158">
        <f ca="1">INDIRECT("K"&amp;N509)</f>
        <v>0</v>
      </c>
      <c r="K510" s="69">
        <f ca="1">INDIRECT("I"&amp;N509)</f>
        <v>0</v>
      </c>
      <c r="L510" s="67">
        <f ca="1">$H$78</f>
        <v>7.4304347826086961</v>
      </c>
      <c r="M510" s="73">
        <f ca="1">(K510-L510)/10</f>
        <v>-0.74304347826086958</v>
      </c>
    </row>
    <row r="511" spans="1:14">
      <c r="A511" s="59"/>
      <c r="B511" s="312" t="str">
        <f>$B$20</f>
        <v>KPI 2</v>
      </c>
      <c r="C511" s="138">
        <f t="shared" ca="1" si="75"/>
        <v>0</v>
      </c>
      <c r="D511" s="138">
        <f t="shared" ca="1" si="75"/>
        <v>0</v>
      </c>
      <c r="E511" s="57">
        <f ca="1">$J$79</f>
        <v>1.1111111111111112</v>
      </c>
      <c r="F511" s="57">
        <f ca="1">$J$80</f>
        <v>10</v>
      </c>
      <c r="G511" s="57">
        <f ca="1">$K$78</f>
        <v>7.9589371980676349</v>
      </c>
      <c r="H511" s="68" t="str">
        <f>$B$20</f>
        <v>KPI 2</v>
      </c>
      <c r="I511" s="158">
        <f ca="1">INDIRECT("R"&amp;N509)</f>
        <v>0</v>
      </c>
      <c r="J511" s="158">
        <f ca="1">INDIRECT("P"&amp;N509)</f>
        <v>0</v>
      </c>
      <c r="K511" s="69">
        <f ca="1">INDIRECT("N"&amp;N509)</f>
        <v>0</v>
      </c>
      <c r="L511" s="67">
        <f ca="1">$K$78</f>
        <v>7.9589371980676349</v>
      </c>
      <c r="M511" s="73">
        <f ca="1">(K511-L511)/10</f>
        <v>-0.79589371980676349</v>
      </c>
    </row>
    <row r="512" spans="1:14">
      <c r="A512" s="59"/>
      <c r="B512" s="4" t="str">
        <f>$B$21</f>
        <v>KPI 3</v>
      </c>
      <c r="C512" s="138">
        <f t="shared" ca="1" si="75"/>
        <v>0</v>
      </c>
      <c r="D512" s="138">
        <f t="shared" ca="1" si="75"/>
        <v>0</v>
      </c>
      <c r="E512" s="57">
        <f ca="1">$M$79</f>
        <v>0.22222222222222221</v>
      </c>
      <c r="F512" s="57">
        <f ca="1">$M$80</f>
        <v>10</v>
      </c>
      <c r="G512" s="57">
        <f ca="1">$N$78</f>
        <v>6.8743961352657008</v>
      </c>
      <c r="H512" s="68" t="str">
        <f>$B$21</f>
        <v>KPI 3</v>
      </c>
      <c r="I512" s="158">
        <f ca="1">INDIRECT("W"&amp;N509)</f>
        <v>0</v>
      </c>
      <c r="J512" s="158">
        <f ca="1">INDIRECT("U"&amp;N509)</f>
        <v>0</v>
      </c>
      <c r="K512" s="69">
        <f ca="1">INDIRECT("S"&amp;N509)</f>
        <v>0</v>
      </c>
      <c r="L512" s="67">
        <f ca="1">$N$78</f>
        <v>6.8743961352657008</v>
      </c>
      <c r="M512" s="73">
        <f ca="1">(K512-L512)/10</f>
        <v>-0.68743961352657013</v>
      </c>
    </row>
    <row r="513" spans="1:14">
      <c r="A513" s="59"/>
      <c r="B513" s="4" t="str">
        <f>$B$22</f>
        <v>KPI 4</v>
      </c>
      <c r="C513" s="138">
        <f t="shared" ca="1" si="75"/>
        <v>0</v>
      </c>
      <c r="D513" s="138">
        <f t="shared" ca="1" si="75"/>
        <v>0</v>
      </c>
      <c r="E513" s="57">
        <f ca="1">$P$79</f>
        <v>0</v>
      </c>
      <c r="F513" s="57">
        <f ca="1">$P$80</f>
        <v>9.6923076923076916</v>
      </c>
      <c r="G513" s="57">
        <f ca="1">$Q$78</f>
        <v>6.1337792642140467</v>
      </c>
      <c r="H513" s="68" t="str">
        <f>$B$22</f>
        <v>KPI 4</v>
      </c>
      <c r="I513" s="158">
        <f ca="1">INDIRECT("AB"&amp;N509)</f>
        <v>0</v>
      </c>
      <c r="J513" s="158">
        <f ca="1">INDIRECT("Z"&amp;N509)</f>
        <v>0</v>
      </c>
      <c r="K513" s="69">
        <f ca="1">INDIRECT("X"&amp;N509)</f>
        <v>0</v>
      </c>
      <c r="L513" s="67">
        <f ca="1">$Q$78</f>
        <v>6.1337792642140467</v>
      </c>
      <c r="M513" s="73">
        <f ca="1">(K513-L513)/10</f>
        <v>-0.61337792642140465</v>
      </c>
    </row>
    <row r="514" spans="1:14">
      <c r="A514" s="59"/>
      <c r="J514" s="71"/>
    </row>
    <row r="515" spans="1:14">
      <c r="J515" s="71"/>
    </row>
    <row r="516" spans="1:14" ht="22">
      <c r="C516" s="128" t="s">
        <v>41</v>
      </c>
      <c r="D516" s="128" t="s">
        <v>42</v>
      </c>
      <c r="E516" s="44" t="s">
        <v>358</v>
      </c>
      <c r="F516" s="44" t="s">
        <v>359</v>
      </c>
      <c r="G516" s="44" t="s">
        <v>393</v>
      </c>
      <c r="H516" s="66" t="s">
        <v>215</v>
      </c>
      <c r="I516" s="157" t="s">
        <v>40</v>
      </c>
      <c r="J516" s="157" t="s">
        <v>330</v>
      </c>
      <c r="K516" s="70" t="s">
        <v>331</v>
      </c>
      <c r="L516" s="65" t="s">
        <v>216</v>
      </c>
      <c r="M516" s="72" t="s">
        <v>332</v>
      </c>
      <c r="N516" s="4">
        <f>N509+1</f>
        <v>155</v>
      </c>
    </row>
    <row r="517" spans="1:14">
      <c r="A517" s="59">
        <f ca="1">INDIRECT("A"&amp;N516)</f>
        <v>56</v>
      </c>
      <c r="B517" s="4" t="str">
        <f>$B$19</f>
        <v>KPI 1</v>
      </c>
      <c r="C517" s="138">
        <f t="shared" ref="C517:D520" ca="1" si="76">J517-I517</f>
        <v>0</v>
      </c>
      <c r="D517" s="138">
        <f t="shared" ca="1" si="76"/>
        <v>0</v>
      </c>
      <c r="E517" s="57">
        <f ca="1">$G$79</f>
        <v>0</v>
      </c>
      <c r="F517" s="57">
        <f ca="1">$G$80</f>
        <v>9.6</v>
      </c>
      <c r="G517" s="57">
        <f ca="1">$H$78</f>
        <v>7.4304347826086961</v>
      </c>
      <c r="H517" s="68" t="str">
        <f>$B$19</f>
        <v>KPI 1</v>
      </c>
      <c r="I517" s="158">
        <f ca="1">INDIRECT("M"&amp;N516)</f>
        <v>0</v>
      </c>
      <c r="J517" s="158">
        <f ca="1">INDIRECT("K"&amp;N516)</f>
        <v>0</v>
      </c>
      <c r="K517" s="69">
        <f ca="1">INDIRECT("I"&amp;N516)</f>
        <v>0</v>
      </c>
      <c r="L517" s="67">
        <f ca="1">$H$78</f>
        <v>7.4304347826086961</v>
      </c>
      <c r="M517" s="73">
        <f ca="1">(K517-L517)/10</f>
        <v>-0.74304347826086958</v>
      </c>
    </row>
    <row r="518" spans="1:14">
      <c r="A518" s="59"/>
      <c r="B518" s="312" t="str">
        <f>$B$20</f>
        <v>KPI 2</v>
      </c>
      <c r="C518" s="138">
        <f t="shared" ca="1" si="76"/>
        <v>0</v>
      </c>
      <c r="D518" s="138">
        <f t="shared" ca="1" si="76"/>
        <v>0</v>
      </c>
      <c r="E518" s="57">
        <f ca="1">$J$79</f>
        <v>1.1111111111111112</v>
      </c>
      <c r="F518" s="57">
        <f ca="1">$J$80</f>
        <v>10</v>
      </c>
      <c r="G518" s="57">
        <f ca="1">$K$78</f>
        <v>7.9589371980676349</v>
      </c>
      <c r="H518" s="68" t="str">
        <f>$B$20</f>
        <v>KPI 2</v>
      </c>
      <c r="I518" s="158">
        <f ca="1">INDIRECT("R"&amp;N516)</f>
        <v>0</v>
      </c>
      <c r="J518" s="158">
        <f ca="1">INDIRECT("P"&amp;N516)</f>
        <v>0</v>
      </c>
      <c r="K518" s="69">
        <f ca="1">INDIRECT("N"&amp;N516)</f>
        <v>0</v>
      </c>
      <c r="L518" s="67">
        <f ca="1">$K$78</f>
        <v>7.9589371980676349</v>
      </c>
      <c r="M518" s="73">
        <f ca="1">(K518-L518)/10</f>
        <v>-0.79589371980676349</v>
      </c>
    </row>
    <row r="519" spans="1:14">
      <c r="A519" s="59"/>
      <c r="B519" s="4" t="str">
        <f>$B$21</f>
        <v>KPI 3</v>
      </c>
      <c r="C519" s="138">
        <f t="shared" ca="1" si="76"/>
        <v>0</v>
      </c>
      <c r="D519" s="138">
        <f t="shared" ca="1" si="76"/>
        <v>0</v>
      </c>
      <c r="E519" s="57">
        <f ca="1">$M$79</f>
        <v>0.22222222222222221</v>
      </c>
      <c r="F519" s="57">
        <f ca="1">$M$80</f>
        <v>10</v>
      </c>
      <c r="G519" s="57">
        <f ca="1">$N$78</f>
        <v>6.8743961352657008</v>
      </c>
      <c r="H519" s="68" t="str">
        <f>$B$21</f>
        <v>KPI 3</v>
      </c>
      <c r="I519" s="158">
        <f ca="1">INDIRECT("W"&amp;N516)</f>
        <v>0</v>
      </c>
      <c r="J519" s="158">
        <f ca="1">INDIRECT("U"&amp;N516)</f>
        <v>0</v>
      </c>
      <c r="K519" s="69">
        <f ca="1">INDIRECT("S"&amp;N516)</f>
        <v>0</v>
      </c>
      <c r="L519" s="67">
        <f ca="1">$N$78</f>
        <v>6.8743961352657008</v>
      </c>
      <c r="M519" s="73">
        <f ca="1">(K519-L519)/10</f>
        <v>-0.68743961352657013</v>
      </c>
    </row>
    <row r="520" spans="1:14">
      <c r="A520" s="59"/>
      <c r="B520" s="4" t="str">
        <f>$B$22</f>
        <v>KPI 4</v>
      </c>
      <c r="C520" s="138">
        <f t="shared" ca="1" si="76"/>
        <v>0</v>
      </c>
      <c r="D520" s="138">
        <f t="shared" ca="1" si="76"/>
        <v>0</v>
      </c>
      <c r="E520" s="57">
        <f ca="1">$P$79</f>
        <v>0</v>
      </c>
      <c r="F520" s="57">
        <f ca="1">$P$80</f>
        <v>9.6923076923076916</v>
      </c>
      <c r="G520" s="57">
        <f ca="1">$Q$78</f>
        <v>6.1337792642140467</v>
      </c>
      <c r="H520" s="68" t="str">
        <f>$B$22</f>
        <v>KPI 4</v>
      </c>
      <c r="I520" s="158">
        <f ca="1">INDIRECT("AB"&amp;N516)</f>
        <v>0</v>
      </c>
      <c r="J520" s="158">
        <f ca="1">INDIRECT("Z"&amp;N516)</f>
        <v>0</v>
      </c>
      <c r="K520" s="69">
        <f ca="1">INDIRECT("X"&amp;N516)</f>
        <v>0</v>
      </c>
      <c r="L520" s="67">
        <f ca="1">$Q$78</f>
        <v>6.1337792642140467</v>
      </c>
      <c r="M520" s="73">
        <f ca="1">(K520-L520)/10</f>
        <v>-0.61337792642140465</v>
      </c>
    </row>
    <row r="521" spans="1:14">
      <c r="A521" s="59"/>
    </row>
    <row r="523" spans="1:14" ht="22">
      <c r="C523" s="128" t="s">
        <v>41</v>
      </c>
      <c r="D523" s="128" t="s">
        <v>42</v>
      </c>
      <c r="E523" s="44" t="s">
        <v>358</v>
      </c>
      <c r="F523" s="44" t="s">
        <v>359</v>
      </c>
      <c r="G523" s="44" t="s">
        <v>393</v>
      </c>
      <c r="H523" s="66" t="s">
        <v>215</v>
      </c>
      <c r="I523" s="157" t="s">
        <v>40</v>
      </c>
      <c r="J523" s="157" t="s">
        <v>330</v>
      </c>
      <c r="K523" s="70" t="s">
        <v>331</v>
      </c>
      <c r="L523" s="65" t="s">
        <v>216</v>
      </c>
      <c r="M523" s="72" t="s">
        <v>332</v>
      </c>
      <c r="N523" s="4">
        <f>N516+1</f>
        <v>156</v>
      </c>
    </row>
    <row r="524" spans="1:14">
      <c r="A524" s="59">
        <f ca="1">INDIRECT("A"&amp;N523)</f>
        <v>0</v>
      </c>
      <c r="B524" s="4" t="str">
        <f>$B$19</f>
        <v>KPI 1</v>
      </c>
      <c r="C524" s="138">
        <f t="shared" ref="C524:D527" ca="1" si="77">J524-I524</f>
        <v>0</v>
      </c>
      <c r="D524" s="138">
        <f t="shared" ca="1" si="77"/>
        <v>0</v>
      </c>
      <c r="E524" s="57">
        <f ca="1">$G$79</f>
        <v>0</v>
      </c>
      <c r="F524" s="57">
        <f ca="1">$G$80</f>
        <v>9.6</v>
      </c>
      <c r="G524" s="57">
        <f ca="1">$H$78</f>
        <v>7.4304347826086961</v>
      </c>
      <c r="H524" s="68" t="str">
        <f>$B$19</f>
        <v>KPI 1</v>
      </c>
      <c r="I524" s="158">
        <f ca="1">INDIRECT("M"&amp;N523)</f>
        <v>0</v>
      </c>
      <c r="J524" s="158">
        <f ca="1">INDIRECT("K"&amp;N523)</f>
        <v>0</v>
      </c>
      <c r="K524" s="69">
        <f ca="1">INDIRECT("I"&amp;N523)</f>
        <v>0</v>
      </c>
      <c r="L524" s="67">
        <f ca="1">$H$78</f>
        <v>7.4304347826086961</v>
      </c>
      <c r="M524" s="73">
        <f ca="1">(K524-L524)/10</f>
        <v>-0.74304347826086958</v>
      </c>
    </row>
    <row r="525" spans="1:14">
      <c r="A525" s="59"/>
      <c r="B525" s="312" t="str">
        <f>$B$20</f>
        <v>KPI 2</v>
      </c>
      <c r="C525" s="138">
        <f t="shared" ca="1" si="77"/>
        <v>0</v>
      </c>
      <c r="D525" s="138">
        <f t="shared" ca="1" si="77"/>
        <v>0</v>
      </c>
      <c r="E525" s="57">
        <f ca="1">$J$79</f>
        <v>1.1111111111111112</v>
      </c>
      <c r="F525" s="57">
        <f ca="1">$J$80</f>
        <v>10</v>
      </c>
      <c r="G525" s="57">
        <f ca="1">$K$78</f>
        <v>7.9589371980676349</v>
      </c>
      <c r="H525" s="68" t="str">
        <f>$B$20</f>
        <v>KPI 2</v>
      </c>
      <c r="I525" s="158">
        <f ca="1">INDIRECT("R"&amp;N523)</f>
        <v>0</v>
      </c>
      <c r="J525" s="158">
        <f ca="1">INDIRECT("P"&amp;N523)</f>
        <v>0</v>
      </c>
      <c r="K525" s="69">
        <f ca="1">INDIRECT("N"&amp;N523)</f>
        <v>0</v>
      </c>
      <c r="L525" s="67">
        <f ca="1">$K$78</f>
        <v>7.9589371980676349</v>
      </c>
      <c r="M525" s="73">
        <f ca="1">(K525-L525)/10</f>
        <v>-0.79589371980676349</v>
      </c>
    </row>
    <row r="526" spans="1:14">
      <c r="A526" s="59"/>
      <c r="B526" s="4" t="str">
        <f>$B$21</f>
        <v>KPI 3</v>
      </c>
      <c r="C526" s="138">
        <f t="shared" ca="1" si="77"/>
        <v>0</v>
      </c>
      <c r="D526" s="138">
        <f t="shared" ca="1" si="77"/>
        <v>0</v>
      </c>
      <c r="E526" s="57">
        <f ca="1">$M$79</f>
        <v>0.22222222222222221</v>
      </c>
      <c r="F526" s="57">
        <f ca="1">$M$80</f>
        <v>10</v>
      </c>
      <c r="G526" s="57">
        <f ca="1">$N$78</f>
        <v>6.8743961352657008</v>
      </c>
      <c r="H526" s="68" t="str">
        <f>$B$21</f>
        <v>KPI 3</v>
      </c>
      <c r="I526" s="158">
        <f ca="1">INDIRECT("W"&amp;N523)</f>
        <v>0</v>
      </c>
      <c r="J526" s="158">
        <f ca="1">INDIRECT("U"&amp;N523)</f>
        <v>0</v>
      </c>
      <c r="K526" s="69">
        <f ca="1">INDIRECT("S"&amp;N523)</f>
        <v>0</v>
      </c>
      <c r="L526" s="67">
        <f ca="1">$N$78</f>
        <v>6.8743961352657008</v>
      </c>
      <c r="M526" s="73">
        <f ca="1">(K526-L526)/10</f>
        <v>-0.68743961352657013</v>
      </c>
    </row>
    <row r="527" spans="1:14">
      <c r="A527" s="59"/>
      <c r="B527" s="4" t="str">
        <f>$B$22</f>
        <v>KPI 4</v>
      </c>
      <c r="C527" s="138">
        <f t="shared" ca="1" si="77"/>
        <v>0</v>
      </c>
      <c r="D527" s="138">
        <f t="shared" ca="1" si="77"/>
        <v>0</v>
      </c>
      <c r="E527" s="57">
        <f ca="1">$P$79</f>
        <v>0</v>
      </c>
      <c r="F527" s="57">
        <f ca="1">$P$80</f>
        <v>9.6923076923076916</v>
      </c>
      <c r="G527" s="57">
        <f ca="1">$Q$78</f>
        <v>6.1337792642140467</v>
      </c>
      <c r="H527" s="68" t="str">
        <f>$B$22</f>
        <v>KPI 4</v>
      </c>
      <c r="I527" s="158">
        <f ca="1">INDIRECT("AB"&amp;N523)</f>
        <v>0</v>
      </c>
      <c r="J527" s="158">
        <f ca="1">INDIRECT("Z"&amp;N523)</f>
        <v>0</v>
      </c>
      <c r="K527" s="69">
        <f ca="1">INDIRECT("X"&amp;N523)</f>
        <v>0</v>
      </c>
      <c r="L527" s="67">
        <f ca="1">$Q$78</f>
        <v>6.1337792642140467</v>
      </c>
      <c r="M527" s="73">
        <f ca="1">(K527-L527)/10</f>
        <v>-0.61337792642140465</v>
      </c>
    </row>
    <row r="528" spans="1:14">
      <c r="A528" s="59"/>
    </row>
    <row r="530" spans="1:14" ht="22">
      <c r="C530" s="128" t="s">
        <v>41</v>
      </c>
      <c r="D530" s="128" t="s">
        <v>42</v>
      </c>
      <c r="E530" s="44" t="s">
        <v>358</v>
      </c>
      <c r="F530" s="44" t="s">
        <v>359</v>
      </c>
      <c r="G530" s="44" t="s">
        <v>393</v>
      </c>
      <c r="H530" s="66" t="s">
        <v>215</v>
      </c>
      <c r="I530" s="157" t="s">
        <v>40</v>
      </c>
      <c r="J530" s="157" t="s">
        <v>330</v>
      </c>
      <c r="K530" s="70" t="s">
        <v>331</v>
      </c>
      <c r="L530" s="65" t="s">
        <v>216</v>
      </c>
      <c r="M530" s="72" t="s">
        <v>332</v>
      </c>
      <c r="N530" s="4">
        <f>N523+1</f>
        <v>157</v>
      </c>
    </row>
    <row r="531" spans="1:14">
      <c r="A531" s="59">
        <f ca="1">INDIRECT("A"&amp;N530)</f>
        <v>0</v>
      </c>
      <c r="B531" s="4" t="str">
        <f>$B$19</f>
        <v>KPI 1</v>
      </c>
      <c r="C531" s="138">
        <f t="shared" ref="C531:D534" ca="1" si="78">J531-I531</f>
        <v>0</v>
      </c>
      <c r="D531" s="138">
        <f t="shared" ca="1" si="78"/>
        <v>0</v>
      </c>
      <c r="E531" s="57">
        <f ca="1">$G$79</f>
        <v>0</v>
      </c>
      <c r="F531" s="57">
        <f ca="1">$G$80</f>
        <v>9.6</v>
      </c>
      <c r="G531" s="57">
        <f ca="1">$H$78</f>
        <v>7.4304347826086961</v>
      </c>
      <c r="H531" s="68" t="str">
        <f>$B$19</f>
        <v>KPI 1</v>
      </c>
      <c r="I531" s="158">
        <f ca="1">INDIRECT("M"&amp;N530)</f>
        <v>0</v>
      </c>
      <c r="J531" s="158">
        <f ca="1">INDIRECT("K"&amp;N530)</f>
        <v>0</v>
      </c>
      <c r="K531" s="69">
        <f ca="1">INDIRECT("I"&amp;N530)</f>
        <v>0</v>
      </c>
      <c r="L531" s="67">
        <f ca="1">$H$78</f>
        <v>7.4304347826086961</v>
      </c>
      <c r="M531" s="73">
        <f ca="1">(K531-L531)/10</f>
        <v>-0.74304347826086958</v>
      </c>
    </row>
    <row r="532" spans="1:14">
      <c r="A532" s="59"/>
      <c r="B532" s="312" t="str">
        <f>$B$20</f>
        <v>KPI 2</v>
      </c>
      <c r="C532" s="138">
        <f t="shared" ca="1" si="78"/>
        <v>0</v>
      </c>
      <c r="D532" s="138">
        <f t="shared" ca="1" si="78"/>
        <v>0</v>
      </c>
      <c r="E532" s="57">
        <f ca="1">$J$79</f>
        <v>1.1111111111111112</v>
      </c>
      <c r="F532" s="57">
        <f ca="1">$J$80</f>
        <v>10</v>
      </c>
      <c r="G532" s="57">
        <f ca="1">$K$78</f>
        <v>7.9589371980676349</v>
      </c>
      <c r="H532" s="68" t="str">
        <f>$B$20</f>
        <v>KPI 2</v>
      </c>
      <c r="I532" s="158">
        <f ca="1">INDIRECT("R"&amp;N530)</f>
        <v>0</v>
      </c>
      <c r="J532" s="158">
        <f ca="1">INDIRECT("P"&amp;N530)</f>
        <v>0</v>
      </c>
      <c r="K532" s="69">
        <f ca="1">INDIRECT("N"&amp;N530)</f>
        <v>0</v>
      </c>
      <c r="L532" s="67">
        <f ca="1">$K$78</f>
        <v>7.9589371980676349</v>
      </c>
      <c r="M532" s="73">
        <f ca="1">(K532-L532)/10</f>
        <v>-0.79589371980676349</v>
      </c>
    </row>
    <row r="533" spans="1:14">
      <c r="A533" s="59"/>
      <c r="B533" s="4" t="str">
        <f>$B$21</f>
        <v>KPI 3</v>
      </c>
      <c r="C533" s="138">
        <f t="shared" ca="1" si="78"/>
        <v>0</v>
      </c>
      <c r="D533" s="138">
        <f t="shared" ca="1" si="78"/>
        <v>0</v>
      </c>
      <c r="E533" s="57">
        <f ca="1">$M$79</f>
        <v>0.22222222222222221</v>
      </c>
      <c r="F533" s="57">
        <f ca="1">$M$80</f>
        <v>10</v>
      </c>
      <c r="G533" s="57">
        <f ca="1">$N$78</f>
        <v>6.8743961352657008</v>
      </c>
      <c r="H533" s="68" t="str">
        <f>$B$21</f>
        <v>KPI 3</v>
      </c>
      <c r="I533" s="158">
        <f ca="1">INDIRECT("W"&amp;N530)</f>
        <v>0</v>
      </c>
      <c r="J533" s="158">
        <f ca="1">INDIRECT("U"&amp;N530)</f>
        <v>0</v>
      </c>
      <c r="K533" s="69">
        <f ca="1">INDIRECT("S"&amp;N530)</f>
        <v>0</v>
      </c>
      <c r="L533" s="67">
        <f ca="1">$N$78</f>
        <v>6.8743961352657008</v>
      </c>
      <c r="M533" s="73">
        <f ca="1">(K533-L533)/10</f>
        <v>-0.68743961352657013</v>
      </c>
    </row>
    <row r="534" spans="1:14">
      <c r="A534" s="59"/>
      <c r="B534" s="4" t="str">
        <f>$B$22</f>
        <v>KPI 4</v>
      </c>
      <c r="C534" s="138">
        <f t="shared" ca="1" si="78"/>
        <v>0</v>
      </c>
      <c r="D534" s="138">
        <f t="shared" ca="1" si="78"/>
        <v>0</v>
      </c>
      <c r="E534" s="57">
        <f ca="1">$P$79</f>
        <v>0</v>
      </c>
      <c r="F534" s="57">
        <f ca="1">$P$80</f>
        <v>9.6923076923076916</v>
      </c>
      <c r="G534" s="57">
        <f ca="1">$Q$78</f>
        <v>6.1337792642140467</v>
      </c>
      <c r="H534" s="68" t="str">
        <f>$B$22</f>
        <v>KPI 4</v>
      </c>
      <c r="I534" s="158">
        <f ca="1">INDIRECT("AB"&amp;N530)</f>
        <v>0</v>
      </c>
      <c r="J534" s="158">
        <f ca="1">INDIRECT("Z"&amp;N530)</f>
        <v>0</v>
      </c>
      <c r="K534" s="69">
        <f ca="1">INDIRECT("X"&amp;N530)</f>
        <v>0</v>
      </c>
      <c r="L534" s="67">
        <f ca="1">$Q$78</f>
        <v>6.1337792642140467</v>
      </c>
      <c r="M534" s="73">
        <f ca="1">(K534-L534)/10</f>
        <v>-0.61337792642140465</v>
      </c>
    </row>
    <row r="535" spans="1:14">
      <c r="A535" s="59"/>
    </row>
    <row r="537" spans="1:14" ht="22">
      <c r="C537" s="128" t="s">
        <v>41</v>
      </c>
      <c r="D537" s="128" t="s">
        <v>42</v>
      </c>
      <c r="E537" s="44" t="s">
        <v>358</v>
      </c>
      <c r="F537" s="44" t="s">
        <v>359</v>
      </c>
      <c r="G537" s="44" t="s">
        <v>393</v>
      </c>
      <c r="H537" s="66" t="s">
        <v>215</v>
      </c>
      <c r="I537" s="157" t="s">
        <v>40</v>
      </c>
      <c r="J537" s="157" t="s">
        <v>330</v>
      </c>
      <c r="K537" s="70" t="s">
        <v>331</v>
      </c>
      <c r="L537" s="65" t="s">
        <v>216</v>
      </c>
      <c r="M537" s="72" t="s">
        <v>332</v>
      </c>
      <c r="N537" s="4">
        <f>N530+1</f>
        <v>158</v>
      </c>
    </row>
    <row r="538" spans="1:14">
      <c r="A538" s="59">
        <f ca="1">INDIRECT("A"&amp;N537)</f>
        <v>0</v>
      </c>
      <c r="B538" s="4" t="str">
        <f>$B$19</f>
        <v>KPI 1</v>
      </c>
      <c r="C538" s="138">
        <f t="shared" ref="C538:D541" ca="1" si="79">J538-I538</f>
        <v>0</v>
      </c>
      <c r="D538" s="138">
        <f t="shared" ca="1" si="79"/>
        <v>0</v>
      </c>
      <c r="E538" s="57">
        <f ca="1">$G$79</f>
        <v>0</v>
      </c>
      <c r="F538" s="57">
        <f ca="1">$G$80</f>
        <v>9.6</v>
      </c>
      <c r="G538" s="57">
        <f ca="1">$H$78</f>
        <v>7.4304347826086961</v>
      </c>
      <c r="H538" s="68" t="str">
        <f>$B$19</f>
        <v>KPI 1</v>
      </c>
      <c r="I538" s="158">
        <f ca="1">INDIRECT("M"&amp;N537)</f>
        <v>0</v>
      </c>
      <c r="J538" s="158">
        <f ca="1">INDIRECT("K"&amp;N537)</f>
        <v>0</v>
      </c>
      <c r="K538" s="69">
        <f ca="1">INDIRECT("I"&amp;N537)</f>
        <v>0</v>
      </c>
      <c r="L538" s="67">
        <f ca="1">$H$78</f>
        <v>7.4304347826086961</v>
      </c>
      <c r="M538" s="73">
        <f ca="1">(K538-L538)/10</f>
        <v>-0.74304347826086958</v>
      </c>
    </row>
    <row r="539" spans="1:14">
      <c r="A539" s="59"/>
      <c r="B539" s="312" t="str">
        <f>$B$20</f>
        <v>KPI 2</v>
      </c>
      <c r="C539" s="138">
        <f t="shared" ca="1" si="79"/>
        <v>0</v>
      </c>
      <c r="D539" s="138">
        <f t="shared" ca="1" si="79"/>
        <v>0</v>
      </c>
      <c r="E539" s="57">
        <f ca="1">$J$79</f>
        <v>1.1111111111111112</v>
      </c>
      <c r="F539" s="57">
        <f ca="1">$J$80</f>
        <v>10</v>
      </c>
      <c r="G539" s="57">
        <f ca="1">$K$78</f>
        <v>7.9589371980676349</v>
      </c>
      <c r="H539" s="68" t="str">
        <f>$B$20</f>
        <v>KPI 2</v>
      </c>
      <c r="I539" s="158">
        <f ca="1">INDIRECT("R"&amp;N537)</f>
        <v>0</v>
      </c>
      <c r="J539" s="158">
        <f ca="1">INDIRECT("P"&amp;N537)</f>
        <v>0</v>
      </c>
      <c r="K539" s="69">
        <f ca="1">INDIRECT("N"&amp;N537)</f>
        <v>0</v>
      </c>
      <c r="L539" s="67">
        <f ca="1">$K$78</f>
        <v>7.9589371980676349</v>
      </c>
      <c r="M539" s="73">
        <f ca="1">(K539-L539)/10</f>
        <v>-0.79589371980676349</v>
      </c>
    </row>
    <row r="540" spans="1:14">
      <c r="A540" s="59"/>
      <c r="B540" s="4" t="str">
        <f>$B$21</f>
        <v>KPI 3</v>
      </c>
      <c r="C540" s="138">
        <f t="shared" ca="1" si="79"/>
        <v>0</v>
      </c>
      <c r="D540" s="138">
        <f t="shared" ca="1" si="79"/>
        <v>0</v>
      </c>
      <c r="E540" s="57">
        <f ca="1">$M$79</f>
        <v>0.22222222222222221</v>
      </c>
      <c r="F540" s="57">
        <f ca="1">$M$80</f>
        <v>10</v>
      </c>
      <c r="G540" s="57">
        <f ca="1">$N$78</f>
        <v>6.8743961352657008</v>
      </c>
      <c r="H540" s="68" t="str">
        <f>$B$21</f>
        <v>KPI 3</v>
      </c>
      <c r="I540" s="158">
        <f ca="1">INDIRECT("W"&amp;N537)</f>
        <v>0</v>
      </c>
      <c r="J540" s="158">
        <f ca="1">INDIRECT("U"&amp;N537)</f>
        <v>0</v>
      </c>
      <c r="K540" s="69">
        <f ca="1">INDIRECT("S"&amp;N537)</f>
        <v>0</v>
      </c>
      <c r="L540" s="67">
        <f ca="1">$N$78</f>
        <v>6.8743961352657008</v>
      </c>
      <c r="M540" s="73">
        <f ca="1">(K540-L540)/10</f>
        <v>-0.68743961352657013</v>
      </c>
    </row>
    <row r="541" spans="1:14">
      <c r="A541" s="59"/>
      <c r="B541" s="4" t="str">
        <f>$B$22</f>
        <v>KPI 4</v>
      </c>
      <c r="C541" s="138">
        <f t="shared" ca="1" si="79"/>
        <v>0</v>
      </c>
      <c r="D541" s="138">
        <f t="shared" ca="1" si="79"/>
        <v>0</v>
      </c>
      <c r="E541" s="57">
        <f ca="1">$P$79</f>
        <v>0</v>
      </c>
      <c r="F541" s="57">
        <f ca="1">$P$80</f>
        <v>9.6923076923076916</v>
      </c>
      <c r="G541" s="57">
        <f ca="1">$Q$78</f>
        <v>6.1337792642140467</v>
      </c>
      <c r="H541" s="68" t="str">
        <f>$B$22</f>
        <v>KPI 4</v>
      </c>
      <c r="I541" s="158">
        <f ca="1">INDIRECT("AB"&amp;N537)</f>
        <v>0</v>
      </c>
      <c r="J541" s="158">
        <f ca="1">INDIRECT("Z"&amp;N537)</f>
        <v>0</v>
      </c>
      <c r="K541" s="69">
        <f ca="1">INDIRECT("X"&amp;N537)</f>
        <v>0</v>
      </c>
      <c r="L541" s="67">
        <f ca="1">$Q$78</f>
        <v>6.1337792642140467</v>
      </c>
      <c r="M541" s="73">
        <f ca="1">(K541-L541)/10</f>
        <v>-0.61337792642140465</v>
      </c>
    </row>
    <row r="542" spans="1:14">
      <c r="A542" s="59"/>
    </row>
  </sheetData>
  <sortState ref="A98:H143">
    <sortCondition descending="1" ref="C98:C143"/>
  </sortState>
  <mergeCells count="24">
    <mergeCell ref="D29:F29"/>
    <mergeCell ref="B96:D96"/>
    <mergeCell ref="E96:G96"/>
    <mergeCell ref="AJ96:AP96"/>
    <mergeCell ref="AB96:AH96"/>
    <mergeCell ref="T96:Z96"/>
    <mergeCell ref="L96:R96"/>
    <mergeCell ref="H96:J96"/>
    <mergeCell ref="P29:R29"/>
    <mergeCell ref="M29:O29"/>
    <mergeCell ref="AA91:AA94"/>
    <mergeCell ref="J29:L29"/>
    <mergeCell ref="G29:I29"/>
    <mergeCell ref="AB159:AG159"/>
    <mergeCell ref="V159:AA159"/>
    <mergeCell ref="AU97:AV97"/>
    <mergeCell ref="AW97:AX97"/>
    <mergeCell ref="AN85:AN88"/>
    <mergeCell ref="P159:U159"/>
    <mergeCell ref="J159:O159"/>
    <mergeCell ref="D159:I159"/>
    <mergeCell ref="AA79:AA82"/>
    <mergeCell ref="AA83:AA86"/>
    <mergeCell ref="AA87:AA90"/>
  </mergeCells>
  <phoneticPr fontId="3" type="noConversion"/>
  <conditionalFormatting sqref="X95:Y95 J98:J145 I101:I145 X90:X94">
    <cfRule type="cellIs" dxfId="22" priority="27" stopIfTrue="1" operator="lessThan">
      <formula>0</formula>
    </cfRule>
    <cfRule type="cellIs" dxfId="21" priority="28" stopIfTrue="1" operator="greaterThanOrEqual">
      <formula>0</formula>
    </cfRule>
  </conditionalFormatting>
  <conditionalFormatting sqref="I482:K485 I223:K226 I230:K233 I237:K240 I244:K247 I251:K254 I258:K261 I265:K268 I272:K275 I279:K282 I286:K289 I293:K296 I300:K303 I307:K310 I314:K317 I321:K324 I328:K331 I335:K338 I342:K345 I349:K352 I356:K359 I363:K366 I370:K373 I377:K380 I384:K387 I391:K394 I398:K401 I405:K408 I412:K415 I419:K422 I426:K429 I433:K436 I440:K443 I447:K450 I454:K457 I461:K464 I468:K471 I475:K478 I489:K492 I496:K499 I503:K506 I510:K513 I517:K520 I524:K527 I531:K534 I538:K541">
    <cfRule type="cellIs" dxfId="20" priority="29" stopIfTrue="1" operator="lessThan">
      <formula>4</formula>
    </cfRule>
    <cfRule type="cellIs" dxfId="19" priority="30" stopIfTrue="1" operator="between">
      <formula>4</formula>
      <formula>5</formula>
    </cfRule>
    <cfRule type="cellIs" dxfId="18" priority="31" stopIfTrue="1" operator="between">
      <formula>5</formula>
      <formula>7</formula>
    </cfRule>
  </conditionalFormatting>
  <conditionalFormatting sqref="I32:I77 F32:F77 R32:R77 L32:L77 O32:O77">
    <cfRule type="cellIs" dxfId="17" priority="21" stopIfTrue="1" operator="equal">
      <formula>$B$26</formula>
    </cfRule>
    <cfRule type="cellIs" dxfId="16" priority="22" stopIfTrue="1" operator="equal">
      <formula>$B$25</formula>
    </cfRule>
    <cfRule type="cellIs" dxfId="15" priority="23" stopIfTrue="1" operator="equal">
      <formula>$B$24</formula>
    </cfRule>
  </conditionalFormatting>
  <conditionalFormatting sqref="H32:H77 E32:E77 Q32:Q77 N32:N77 K32:K77">
    <cfRule type="cellIs" dxfId="14" priority="24" stopIfTrue="1" operator="equal">
      <formula>"Quarto"</formula>
    </cfRule>
    <cfRule type="cellIs" dxfId="13" priority="25" stopIfTrue="1" operator="equal">
      <formula>"Terzo"</formula>
    </cfRule>
    <cfRule type="cellIs" dxfId="12" priority="26" stopIfTrue="1" operator="equal">
      <formula>"Secondo"</formula>
    </cfRule>
  </conditionalFormatting>
  <conditionalFormatting sqref="A153:B153 D153:H153">
    <cfRule type="expression" dxfId="11" priority="0" stopIfTrue="1">
      <formula>IF($C$141 = 0, TRUE, FALSE)</formula>
    </cfRule>
  </conditionalFormatting>
  <conditionalFormatting sqref="C153 A98:H152">
    <cfRule type="expression" dxfId="10" priority="32" stopIfTrue="1">
      <formula>IF($C98 &gt;= 10000, TRUE, FALSE)</formula>
    </cfRule>
    <cfRule type="expression" dxfId="9" priority="32" stopIfTrue="1">
      <formula>IF(AND($C98 &gt;0, $C98 &lt; 1000), TRUE, FALSE)</formula>
    </cfRule>
    <cfRule type="expression" dxfId="8" priority="33" stopIfTrue="1">
      <formula>IF(AND($C98 &gt;= 1000, $C98 &lt; 10000), TRUE, FALSE)</formula>
    </cfRule>
  </conditionalFormatting>
  <conditionalFormatting sqref="AG161:AG206 G207:G211 K207:K211 O161:O211 W207:W211 AA161:AA206 I163:I206 S207:S211 U161:U206 N163:N206 Z163:Z206 AF163:AF206">
    <cfRule type="cellIs" dxfId="7" priority="43" stopIfTrue="1" operator="lessThan">
      <formula>0</formula>
    </cfRule>
  </conditionalFormatting>
  <conditionalFormatting sqref="M163:M206">
    <cfRule type="cellIs" dxfId="6" priority="6" stopIfTrue="1" operator="lessThan">
      <formula>0</formula>
    </cfRule>
  </conditionalFormatting>
  <conditionalFormatting sqref="S163:S206">
    <cfRule type="cellIs" dxfId="5" priority="5" stopIfTrue="1" operator="lessThan">
      <formula>0</formula>
    </cfRule>
  </conditionalFormatting>
  <conditionalFormatting sqref="Y163:Y206">
    <cfRule type="cellIs" dxfId="4" priority="4" stopIfTrue="1" operator="lessThan">
      <formula>0</formula>
    </cfRule>
  </conditionalFormatting>
  <conditionalFormatting sqref="AE163:AE206">
    <cfRule type="cellIs" dxfId="3" priority="3" stopIfTrue="1" operator="lessThan">
      <formula>0</formula>
    </cfRule>
  </conditionalFormatting>
  <conditionalFormatting sqref="G163:G206">
    <cfRule type="cellIs" dxfId="2" priority="2" stopIfTrue="1" operator="lessThan">
      <formula>0</formula>
    </cfRule>
  </conditionalFormatting>
  <conditionalFormatting sqref="H163:H206">
    <cfRule type="cellIs" dxfId="1" priority="1" stopIfTrue="1" operator="lessThan">
      <formula>0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 enableFormatConditionsCalculation="0"/>
  <dimension ref="A2:AZ81"/>
  <sheetViews>
    <sheetView workbookViewId="0">
      <selection activeCell="I52" sqref="I52"/>
    </sheetView>
  </sheetViews>
  <sheetFormatPr baseColWidth="10" defaultColWidth="8.83203125" defaultRowHeight="12" x14ac:dyDescent="0"/>
  <cols>
    <col min="1" max="1" width="6" style="233" customWidth="1"/>
    <col min="2" max="2" width="47.5" style="34" customWidth="1"/>
    <col min="3" max="12" width="5.6640625" customWidth="1"/>
    <col min="13" max="13" width="8.6640625" style="49" customWidth="1"/>
    <col min="14" max="22" width="5.6640625" customWidth="1"/>
    <col min="23" max="23" width="8.6640625" style="49" customWidth="1"/>
    <col min="24" max="32" width="5.6640625" customWidth="1"/>
    <col min="33" max="33" width="8.6640625" style="49" customWidth="1"/>
    <col min="34" max="46" width="5.6640625" customWidth="1"/>
    <col min="47" max="47" width="8.6640625" style="49" customWidth="1"/>
  </cols>
  <sheetData>
    <row r="2" spans="1:52" ht="21">
      <c r="B2" s="523">
        <v>2010</v>
      </c>
      <c r="C2" s="603" t="str">
        <f>Dati!F14</f>
        <v>KPI 1  -  Sicurezza Logica</v>
      </c>
      <c r="D2" s="600"/>
      <c r="E2" s="600"/>
      <c r="F2" s="600"/>
      <c r="G2" s="600"/>
      <c r="H2" s="600"/>
      <c r="I2" s="600"/>
      <c r="J2" s="600"/>
      <c r="K2" s="600"/>
      <c r="L2" s="604"/>
      <c r="M2" s="259"/>
      <c r="N2" s="605" t="str">
        <f>Dati!AO14</f>
        <v>KPI 2  -  Sicurezza Infrastruttura</v>
      </c>
      <c r="O2" s="605"/>
      <c r="P2" s="605"/>
      <c r="Q2" s="605"/>
      <c r="R2" s="605"/>
      <c r="S2" s="605"/>
      <c r="T2" s="605"/>
      <c r="U2" s="605"/>
      <c r="V2" s="605"/>
      <c r="W2" s="259"/>
      <c r="X2" s="605" t="str">
        <f>Dati!BR14</f>
        <v>KPI 3  -  Sicurezza Servizi</v>
      </c>
      <c r="Y2" s="605"/>
      <c r="Z2" s="605"/>
      <c r="AA2" s="605"/>
      <c r="AB2" s="605"/>
      <c r="AC2" s="605"/>
      <c r="AD2" s="605"/>
      <c r="AE2" s="605"/>
      <c r="AF2" s="605"/>
      <c r="AG2" s="259"/>
      <c r="AH2" s="605" t="str">
        <f>Dati!CU14</f>
        <v>KPI 4  -  Sicurezza Organizzazione</v>
      </c>
      <c r="AI2" s="605"/>
      <c r="AJ2" s="605"/>
      <c r="AK2" s="605"/>
      <c r="AL2" s="605"/>
      <c r="AM2" s="605"/>
      <c r="AN2" s="605"/>
      <c r="AO2" s="605"/>
      <c r="AP2" s="605"/>
      <c r="AQ2" s="605"/>
      <c r="AR2" s="605"/>
      <c r="AS2" s="605"/>
      <c r="AT2" s="605"/>
      <c r="AU2" s="259"/>
    </row>
    <row r="3" spans="1:52" s="235" customFormat="1" ht="12" customHeight="1">
      <c r="B3" s="236">
        <v>1</v>
      </c>
      <c r="C3" s="252">
        <f>B3+4</f>
        <v>5</v>
      </c>
      <c r="D3" s="252">
        <f>C3+2</f>
        <v>7</v>
      </c>
      <c r="E3" s="252">
        <f>D3+2</f>
        <v>9</v>
      </c>
      <c r="F3" s="253">
        <f>E3+2</f>
        <v>11</v>
      </c>
      <c r="G3" s="253">
        <f>F3+8</f>
        <v>19</v>
      </c>
      <c r="H3" s="252">
        <f>G3+8</f>
        <v>27</v>
      </c>
      <c r="I3" s="252">
        <f>H3+2</f>
        <v>29</v>
      </c>
      <c r="J3" s="252">
        <f>I3+2</f>
        <v>31</v>
      </c>
      <c r="K3" s="253">
        <f>J3+2</f>
        <v>33</v>
      </c>
      <c r="L3" s="252">
        <f>K3+4</f>
        <v>37</v>
      </c>
      <c r="M3" s="254">
        <f>COUNT(C3:L3)</f>
        <v>10</v>
      </c>
      <c r="N3" s="246">
        <f>L3+3</f>
        <v>40</v>
      </c>
      <c r="O3" s="241">
        <f>N3+2</f>
        <v>42</v>
      </c>
      <c r="P3" s="241">
        <f>O3+2</f>
        <v>44</v>
      </c>
      <c r="Q3" s="242">
        <f>P3+2</f>
        <v>46</v>
      </c>
      <c r="R3" s="242">
        <f>Q3+6</f>
        <v>52</v>
      </c>
      <c r="S3" s="242">
        <f>R3+4</f>
        <v>56</v>
      </c>
      <c r="T3" s="242">
        <f>S3+4</f>
        <v>60</v>
      </c>
      <c r="U3" s="241">
        <f>T3+4</f>
        <v>64</v>
      </c>
      <c r="V3" s="241">
        <f>U3+2</f>
        <v>66</v>
      </c>
      <c r="W3" s="242">
        <f>COUNT(N3:V3)</f>
        <v>9</v>
      </c>
      <c r="X3" s="246">
        <f>V3+3</f>
        <v>69</v>
      </c>
      <c r="Y3" s="241">
        <f>X3+2</f>
        <v>71</v>
      </c>
      <c r="Z3" s="241">
        <f t="shared" ref="Z3:AF3" si="0">Y3+2</f>
        <v>73</v>
      </c>
      <c r="AA3" s="241">
        <f t="shared" si="0"/>
        <v>75</v>
      </c>
      <c r="AB3" s="241">
        <f t="shared" si="0"/>
        <v>77</v>
      </c>
      <c r="AC3" s="241">
        <f t="shared" si="0"/>
        <v>79</v>
      </c>
      <c r="AD3" s="241">
        <f t="shared" si="0"/>
        <v>81</v>
      </c>
      <c r="AE3" s="241">
        <f t="shared" si="0"/>
        <v>83</v>
      </c>
      <c r="AF3" s="242">
        <f t="shared" si="0"/>
        <v>85</v>
      </c>
      <c r="AG3" s="249">
        <f>COUNT(X3:AF3)</f>
        <v>9</v>
      </c>
      <c r="AH3" s="246">
        <f>AF3+13</f>
        <v>98</v>
      </c>
      <c r="AI3" s="241">
        <f>AH3+2</f>
        <v>100</v>
      </c>
      <c r="AJ3" s="241">
        <f t="shared" ref="AJ3:AT3" si="1">AI3+2</f>
        <v>102</v>
      </c>
      <c r="AK3" s="241">
        <f t="shared" si="1"/>
        <v>104</v>
      </c>
      <c r="AL3" s="241">
        <f t="shared" si="1"/>
        <v>106</v>
      </c>
      <c r="AM3" s="241">
        <f t="shared" si="1"/>
        <v>108</v>
      </c>
      <c r="AN3" s="241">
        <f t="shared" si="1"/>
        <v>110</v>
      </c>
      <c r="AO3" s="242">
        <f t="shared" si="1"/>
        <v>112</v>
      </c>
      <c r="AP3" s="242">
        <f>AO3+4</f>
        <v>116</v>
      </c>
      <c r="AQ3" s="242">
        <f>AP3+6</f>
        <v>122</v>
      </c>
      <c r="AR3" s="241">
        <f>AQ3+4</f>
        <v>126</v>
      </c>
      <c r="AS3" s="241">
        <f t="shared" si="1"/>
        <v>128</v>
      </c>
      <c r="AT3" s="242">
        <f t="shared" si="1"/>
        <v>130</v>
      </c>
      <c r="AU3" s="243">
        <f>COUNT(AH3:AT3)</f>
        <v>13</v>
      </c>
      <c r="AV3" s="237"/>
      <c r="AW3" s="238"/>
      <c r="AX3" s="238"/>
      <c r="AY3" s="238"/>
      <c r="AZ3" s="238"/>
    </row>
    <row r="4" spans="1:52" s="60" customFormat="1" ht="30.75" customHeight="1">
      <c r="A4" s="234">
        <v>15</v>
      </c>
      <c r="B4" s="258" t="s">
        <v>217</v>
      </c>
      <c r="C4" s="428" t="str">
        <f ca="1">INDIRECT(ADDRESS($A4,C$3-1,1,FALSE, "Dati"), FALSE)</f>
        <v>KPI 1.1</v>
      </c>
      <c r="D4" s="428" t="str">
        <f t="shared" ref="D4:AT4" ca="1" si="2">INDIRECT(ADDRESS($A4,D$3-1,1,FALSE, "Dati"), FALSE)</f>
        <v>KPI 1.2</v>
      </c>
      <c r="E4" s="428" t="str">
        <f t="shared" ca="1" si="2"/>
        <v>KPI 1.3</v>
      </c>
      <c r="F4" s="428" t="str">
        <f t="shared" ca="1" si="2"/>
        <v>KPI 1.3a</v>
      </c>
      <c r="G4" s="428" t="str">
        <f t="shared" ca="1" si="2"/>
        <v>KPI 1.4</v>
      </c>
      <c r="H4" s="428" t="str">
        <f t="shared" ca="1" si="2"/>
        <v>KPI 1.5</v>
      </c>
      <c r="I4" s="428" t="str">
        <f t="shared" ca="1" si="2"/>
        <v>KPI 1.6</v>
      </c>
      <c r="J4" s="428" t="str">
        <f t="shared" ca="1" si="2"/>
        <v>KPI 1.7</v>
      </c>
      <c r="K4" s="428" t="str">
        <f t="shared" ca="1" si="2"/>
        <v>KPI 1.8</v>
      </c>
      <c r="L4" s="428" t="str">
        <f t="shared" ca="1" si="2"/>
        <v>KPI 1.9</v>
      </c>
      <c r="M4" s="429" t="s">
        <v>392</v>
      </c>
      <c r="N4" s="430" t="str">
        <f t="shared" ca="1" si="2"/>
        <v>KPI 2.1</v>
      </c>
      <c r="O4" s="428" t="str">
        <f t="shared" ca="1" si="2"/>
        <v>KPI 2.2</v>
      </c>
      <c r="P4" s="428" t="str">
        <f t="shared" ca="1" si="2"/>
        <v>KPI 2.3</v>
      </c>
      <c r="Q4" s="428" t="str">
        <f t="shared" ca="1" si="2"/>
        <v>KPI 2.4</v>
      </c>
      <c r="R4" s="428" t="str">
        <f t="shared" ca="1" si="2"/>
        <v>KPI 2.5</v>
      </c>
      <c r="S4" s="428" t="str">
        <f t="shared" ca="1" si="2"/>
        <v>KPI 2.6</v>
      </c>
      <c r="T4" s="428" t="str">
        <f t="shared" ca="1" si="2"/>
        <v>KPI 2.7</v>
      </c>
      <c r="U4" s="428" t="str">
        <f t="shared" ca="1" si="2"/>
        <v>KPI 2.8</v>
      </c>
      <c r="V4" s="428" t="str">
        <f t="shared" ca="1" si="2"/>
        <v>KPI 2.9</v>
      </c>
      <c r="W4" s="431" t="s">
        <v>392</v>
      </c>
      <c r="X4" s="430" t="str">
        <f t="shared" ca="1" si="2"/>
        <v>KPI 3.1</v>
      </c>
      <c r="Y4" s="428" t="str">
        <f t="shared" ca="1" si="2"/>
        <v>KPI 3.2</v>
      </c>
      <c r="Z4" s="428" t="str">
        <f t="shared" ca="1" si="2"/>
        <v>KPI 3.3</v>
      </c>
      <c r="AA4" s="428" t="str">
        <f t="shared" ca="1" si="2"/>
        <v>KPI 3.4</v>
      </c>
      <c r="AB4" s="428" t="str">
        <f t="shared" ca="1" si="2"/>
        <v>KPI 3.5</v>
      </c>
      <c r="AC4" s="428" t="str">
        <f t="shared" ca="1" si="2"/>
        <v>KPI 3.6</v>
      </c>
      <c r="AD4" s="428" t="str">
        <f t="shared" ca="1" si="2"/>
        <v>KPI 3.7</v>
      </c>
      <c r="AE4" s="428" t="str">
        <f t="shared" ca="1" si="2"/>
        <v>KPI 3.8</v>
      </c>
      <c r="AF4" s="428" t="str">
        <f t="shared" ca="1" si="2"/>
        <v>KPI 3.9</v>
      </c>
      <c r="AG4" s="432" t="s">
        <v>392</v>
      </c>
      <c r="AH4" s="430" t="str">
        <f t="shared" ca="1" si="2"/>
        <v>KPI 4.1</v>
      </c>
      <c r="AI4" s="428" t="str">
        <f t="shared" ca="1" si="2"/>
        <v>KPI 4.2</v>
      </c>
      <c r="AJ4" s="428" t="str">
        <f t="shared" ca="1" si="2"/>
        <v>KPI 4.3</v>
      </c>
      <c r="AK4" s="428" t="str">
        <f t="shared" ca="1" si="2"/>
        <v>KPI 4.4</v>
      </c>
      <c r="AL4" s="428" t="str">
        <f t="shared" ca="1" si="2"/>
        <v>KPI 4.5</v>
      </c>
      <c r="AM4" s="428" t="str">
        <f t="shared" ca="1" si="2"/>
        <v>KPI 4.6</v>
      </c>
      <c r="AN4" s="428" t="str">
        <f t="shared" ca="1" si="2"/>
        <v>KPI 4.7</v>
      </c>
      <c r="AO4" s="428" t="str">
        <f t="shared" ca="1" si="2"/>
        <v>KPI 4.8</v>
      </c>
      <c r="AP4" s="428" t="str">
        <f t="shared" ca="1" si="2"/>
        <v>KPI 4.9</v>
      </c>
      <c r="AQ4" s="428" t="str">
        <f t="shared" ca="1" si="2"/>
        <v>KPI 4.10</v>
      </c>
      <c r="AR4" s="428" t="str">
        <f t="shared" ca="1" si="2"/>
        <v>KPI 4.11</v>
      </c>
      <c r="AS4" s="428" t="str">
        <f t="shared" ca="1" si="2"/>
        <v>KPI 4.12</v>
      </c>
      <c r="AT4" s="428" t="str">
        <f t="shared" ca="1" si="2"/>
        <v>KPI 4.13</v>
      </c>
      <c r="AU4" s="433" t="s">
        <v>392</v>
      </c>
      <c r="AV4" s="61" t="s">
        <v>435</v>
      </c>
    </row>
    <row r="5" spans="1:52" ht="15" customHeight="1">
      <c r="A5" s="234">
        <v>21</v>
      </c>
      <c r="B5" s="256" t="str">
        <f t="shared" ref="B5:L5" ca="1" si="3">INDIRECT(ADDRESS($A5,B$3,1,FALSE, "Dati"), FALSE)</f>
        <v>Avvocatura Generale dello Stato</v>
      </c>
      <c r="C5" s="15">
        <f t="shared" ca="1" si="3"/>
        <v>6</v>
      </c>
      <c r="D5" s="17">
        <f t="shared" ca="1" si="3"/>
        <v>10</v>
      </c>
      <c r="E5" s="17">
        <f t="shared" ca="1" si="3"/>
        <v>0</v>
      </c>
      <c r="F5" s="255">
        <f ca="1">MIN(10, SUMIF(Dati!K21:Q21, "&gt;0"))</f>
        <v>0</v>
      </c>
      <c r="G5" s="17">
        <f ca="1">MIN( 10, SUMIF(Dati!$S21:$Y21, "&gt;0"))</f>
        <v>8</v>
      </c>
      <c r="H5" s="17">
        <f t="shared" ca="1" si="3"/>
        <v>4</v>
      </c>
      <c r="I5" s="17">
        <f t="shared" ca="1" si="3"/>
        <v>10</v>
      </c>
      <c r="J5" s="17">
        <f t="shared" ca="1" si="3"/>
        <v>6</v>
      </c>
      <c r="K5" s="255">
        <f ca="1">SUMIF(Dati!AG21:AI21, "&gt;0")</f>
        <v>10</v>
      </c>
      <c r="L5" s="126">
        <f t="shared" ca="1" si="3"/>
        <v>0</v>
      </c>
      <c r="M5" s="293">
        <f ca="1">SUM(C5:L5)</f>
        <v>54</v>
      </c>
      <c r="N5" s="15">
        <f ca="1">INDIRECT(ADDRESS($A5,N$3,1,FALSE, "Dati"), FALSE)</f>
        <v>0</v>
      </c>
      <c r="O5" s="17">
        <f ca="1">INDIRECT(ADDRESS($A5,O$3,1,FALSE, "Dati"), FALSE)</f>
        <v>10</v>
      </c>
      <c r="P5" s="17">
        <f ca="1">INDIRECT(ADDRESS($A5,P$3,1,FALSE, "Dati"), FALSE)</f>
        <v>0</v>
      </c>
      <c r="Q5" s="17">
        <f ca="1">SUMIF(Dati!AT21:AX21, "&gt;0")</f>
        <v>5</v>
      </c>
      <c r="R5" s="17">
        <f ca="1">SUMIF(Dati!AZ21:BB21, "&gt;0")</f>
        <v>0</v>
      </c>
      <c r="S5" s="17">
        <f ca="1">SUMIF(Dati!BD21:BF21, "&gt;0")</f>
        <v>0</v>
      </c>
      <c r="T5" s="17">
        <f ca="1">SUMIF(Dati!BH21:BJ21, "&gt;0")</f>
        <v>6</v>
      </c>
      <c r="U5" s="17">
        <f t="shared" ref="U5:V20" ca="1" si="4">INDIRECT(ADDRESS($A5,U$3,1,FALSE, "Dati"), FALSE)</f>
        <v>0</v>
      </c>
      <c r="V5" s="126">
        <f t="shared" ca="1" si="4"/>
        <v>10</v>
      </c>
      <c r="W5" s="294">
        <f t="shared" ref="W5:W36" ca="1" si="5">SUM(N5:V5)</f>
        <v>31</v>
      </c>
      <c r="X5" s="15">
        <f ca="1">INDIRECT(ADDRESS($A5,X$3,1,FALSE, "Dati"), FALSE)</f>
        <v>0</v>
      </c>
      <c r="Y5" s="17">
        <f ca="1">INDIRECT(ADDRESS($A5,Y$3,1,FALSE, "Dati"), FALSE)</f>
        <v>0</v>
      </c>
      <c r="Z5" s="17">
        <f ca="1">INDIRECT(ADDRESS($A5,Z$3,1,FALSE, "Dati"), FALSE)</f>
        <v>0</v>
      </c>
      <c r="AA5" s="17">
        <f ca="1">INDIRECT(ADDRESS($A5,AA$3,1,FALSE, "Dati"), FALSE)</f>
        <v>0</v>
      </c>
      <c r="AB5" s="17">
        <f t="shared" ref="Y5:AL20" ca="1" si="6">INDIRECT(ADDRESS($A5,AB$3,1,FALSE, "Dati"), FALSE)</f>
        <v>10</v>
      </c>
      <c r="AC5" s="17">
        <f t="shared" ca="1" si="6"/>
        <v>10</v>
      </c>
      <c r="AD5" s="17">
        <f t="shared" ca="1" si="6"/>
        <v>10</v>
      </c>
      <c r="AE5" s="17">
        <f t="shared" ca="1" si="6"/>
        <v>10</v>
      </c>
      <c r="AF5" s="126">
        <f ca="1">MIN(10, SUMIF(Dati!CG21:CQ21, "&gt;0"))</f>
        <v>10</v>
      </c>
      <c r="AG5" s="295">
        <f t="shared" ref="AG5:AG36" ca="1" si="7">SUM(X5:AF5)</f>
        <v>50</v>
      </c>
      <c r="AH5" s="15">
        <f t="shared" ca="1" si="6"/>
        <v>10</v>
      </c>
      <c r="AI5" s="17">
        <f t="shared" ca="1" si="6"/>
        <v>10</v>
      </c>
      <c r="AJ5" s="17">
        <f t="shared" ca="1" si="6"/>
        <v>6</v>
      </c>
      <c r="AK5" s="17">
        <f t="shared" ca="1" si="6"/>
        <v>0</v>
      </c>
      <c r="AL5" s="17">
        <f t="shared" ca="1" si="6"/>
        <v>10</v>
      </c>
      <c r="AM5" s="17">
        <f t="shared" ref="AI5:AS20" ca="1" si="8">INDIRECT(ADDRESS($A5,AM$3,1,FALSE, "Dati"), FALSE)</f>
        <v>10</v>
      </c>
      <c r="AN5" s="17">
        <f t="shared" ca="1" si="8"/>
        <v>10</v>
      </c>
      <c r="AO5" s="17">
        <f ca="1">SUMIF(Dati!DH21:DJ21, "&gt;0")</f>
        <v>4</v>
      </c>
      <c r="AP5" s="17">
        <f ca="1">MIN(10, SUMIF(Dati!DL21:DP21, "&gt;0"))</f>
        <v>10</v>
      </c>
      <c r="AQ5" s="17">
        <f ca="1">SUMIF(Dati!DR21:DT21, "&gt;0")</f>
        <v>0</v>
      </c>
      <c r="AR5" s="17">
        <f t="shared" ca="1" si="8"/>
        <v>8</v>
      </c>
      <c r="AS5" s="17">
        <f t="shared" ca="1" si="8"/>
        <v>10</v>
      </c>
      <c r="AT5" s="126">
        <f ca="1">MIN(10,SUMIF(Dati!DZ21:EB21, "&gt;0"))</f>
        <v>2</v>
      </c>
      <c r="AU5" s="296">
        <f t="shared" ref="AU5:AU36" ca="1" si="9">SUM(AH5:AT5)</f>
        <v>90</v>
      </c>
      <c r="AV5" s="4">
        <f t="shared" ref="AV5:AV36" ca="1" si="10">SUM(M5,W5,AG5,AU5)</f>
        <v>225</v>
      </c>
    </row>
    <row r="6" spans="1:52" ht="15" customHeight="1">
      <c r="A6" s="234">
        <f>A5+1</f>
        <v>22</v>
      </c>
      <c r="B6" s="257" t="str">
        <f t="shared" ref="B6:B37" ca="1" si="11">INDIRECT(ADDRESS($A6,B$3,1,FALSE, "Dati"), FALSE)</f>
        <v xml:space="preserve">Consiglio di Stato                                                                    </v>
      </c>
      <c r="C6" s="11">
        <f t="shared" ref="C6:L20" ca="1" si="12">INDIRECT(ADDRESS($A6,C$3,1,FALSE, "Dati"), FALSE)</f>
        <v>10</v>
      </c>
      <c r="D6" s="18">
        <f t="shared" ca="1" si="12"/>
        <v>10</v>
      </c>
      <c r="E6" s="18">
        <f t="shared" ca="1" si="12"/>
        <v>10</v>
      </c>
      <c r="F6" s="239">
        <f ca="1">MIN(10, SUMIF(Dati!K22:Q22, "&gt;0"))</f>
        <v>8</v>
      </c>
      <c r="G6" s="18">
        <f ca="1">MIN( 10, SUMIF(Dati!$S22:$Y22, "&gt;0"))</f>
        <v>10</v>
      </c>
      <c r="H6" s="18">
        <f t="shared" ca="1" si="12"/>
        <v>6</v>
      </c>
      <c r="I6" s="18">
        <f t="shared" ca="1" si="12"/>
        <v>10</v>
      </c>
      <c r="J6" s="18">
        <f t="shared" ca="1" si="12"/>
        <v>10</v>
      </c>
      <c r="K6" s="239">
        <f ca="1">SUMIF(Dati!AG22:AI22, "&gt;0")</f>
        <v>10</v>
      </c>
      <c r="L6" s="19">
        <f t="shared" ca="1" si="12"/>
        <v>10</v>
      </c>
      <c r="M6" s="251">
        <f t="shared" ref="M6:M50" ca="1" si="13">SUM(C6:L6)</f>
        <v>94</v>
      </c>
      <c r="N6" s="11">
        <f t="shared" ref="N6:N20" ca="1" si="14">INDIRECT(ADDRESS($A6,N$3,1,FALSE, "Dati"), FALSE)</f>
        <v>10</v>
      </c>
      <c r="O6" s="18">
        <f t="shared" ref="O6:P25" ca="1" si="15">INDIRECT(ADDRESS($A6,O$3,1,FALSE, "Dati"), FALSE)</f>
        <v>10</v>
      </c>
      <c r="P6" s="18">
        <f t="shared" ca="1" si="15"/>
        <v>10</v>
      </c>
      <c r="Q6" s="18">
        <f ca="1">SUMIF(Dati!AT22:AX22, "&gt;0")</f>
        <v>5</v>
      </c>
      <c r="R6" s="18">
        <f ca="1">SUMIF(Dati!AZ22:BB22, "&gt;0")</f>
        <v>0</v>
      </c>
      <c r="S6" s="18">
        <f ca="1">SUMIF(Dati!BD22:BF22, "&gt;0")</f>
        <v>10</v>
      </c>
      <c r="T6" s="18">
        <f ca="1">SUMIF(Dati!BH22:BJ22, "&gt;0")</f>
        <v>10</v>
      </c>
      <c r="U6" s="18">
        <f t="shared" ca="1" si="4"/>
        <v>0</v>
      </c>
      <c r="V6" s="19">
        <f t="shared" ca="1" si="4"/>
        <v>10</v>
      </c>
      <c r="W6" s="250">
        <f t="shared" ca="1" si="5"/>
        <v>65</v>
      </c>
      <c r="X6" s="11">
        <f t="shared" ref="X6:X20" ca="1" si="16">INDIRECT(ADDRESS($A6,X$3,1,FALSE, "Dati"), FALSE)</f>
        <v>0</v>
      </c>
      <c r="Y6" s="18">
        <f t="shared" ca="1" si="6"/>
        <v>6</v>
      </c>
      <c r="Z6" s="18">
        <f t="shared" ca="1" si="6"/>
        <v>6</v>
      </c>
      <c r="AA6" s="18">
        <f t="shared" ca="1" si="6"/>
        <v>10</v>
      </c>
      <c r="AB6" s="18">
        <f t="shared" ca="1" si="6"/>
        <v>0</v>
      </c>
      <c r="AC6" s="18">
        <f t="shared" ca="1" si="6"/>
        <v>0</v>
      </c>
      <c r="AD6" s="18">
        <f t="shared" ca="1" si="6"/>
        <v>0</v>
      </c>
      <c r="AE6" s="18">
        <f t="shared" ca="1" si="6"/>
        <v>10</v>
      </c>
      <c r="AF6" s="19">
        <f ca="1">MIN(10, SUMIF(Dati!CG22:CQ22, "&gt;0"))</f>
        <v>3</v>
      </c>
      <c r="AG6" s="248">
        <f t="shared" ca="1" si="7"/>
        <v>35</v>
      </c>
      <c r="AH6" s="11">
        <f t="shared" ca="1" si="6"/>
        <v>10</v>
      </c>
      <c r="AI6" s="18">
        <f t="shared" ca="1" si="8"/>
        <v>10</v>
      </c>
      <c r="AJ6" s="18">
        <f t="shared" ca="1" si="8"/>
        <v>6</v>
      </c>
      <c r="AK6" s="18">
        <f t="shared" ca="1" si="8"/>
        <v>10</v>
      </c>
      <c r="AL6" s="18">
        <f t="shared" ca="1" si="8"/>
        <v>10</v>
      </c>
      <c r="AM6" s="18">
        <f t="shared" ca="1" si="8"/>
        <v>10</v>
      </c>
      <c r="AN6" s="18">
        <f t="shared" ca="1" si="8"/>
        <v>10</v>
      </c>
      <c r="AO6" s="18">
        <f ca="1">SUMIF(Dati!DH22:DJ22, "&gt;0")</f>
        <v>10</v>
      </c>
      <c r="AP6" s="18">
        <f ca="1">MIN(10, SUMIF(Dati!DL22:DP22, "&gt;0"))</f>
        <v>10</v>
      </c>
      <c r="AQ6" s="18">
        <f ca="1">SUMIF(Dati!DR22:DT22, "&gt;0")</f>
        <v>8</v>
      </c>
      <c r="AR6" s="18">
        <f t="shared" ca="1" si="8"/>
        <v>6</v>
      </c>
      <c r="AS6" s="18">
        <f t="shared" ca="1" si="8"/>
        <v>10</v>
      </c>
      <c r="AT6" s="19">
        <f ca="1">MIN(10,SUMIF(Dati!DZ22:EB22, "&gt;0"))</f>
        <v>8</v>
      </c>
      <c r="AU6" s="240">
        <f t="shared" ca="1" si="9"/>
        <v>118</v>
      </c>
      <c r="AV6" s="4">
        <f t="shared" ca="1" si="10"/>
        <v>312</v>
      </c>
    </row>
    <row r="7" spans="1:52" ht="15" customHeight="1">
      <c r="A7" s="234">
        <f t="shared" ref="A7:A50" si="17">A6+1</f>
        <v>23</v>
      </c>
      <c r="B7" s="257" t="str">
        <f t="shared" ca="1" si="11"/>
        <v xml:space="preserve">Corte dei conti                                                                                     </v>
      </c>
      <c r="C7" s="11">
        <f t="shared" ca="1" si="12"/>
        <v>6</v>
      </c>
      <c r="D7" s="18">
        <f t="shared" ca="1" si="12"/>
        <v>10</v>
      </c>
      <c r="E7" s="18">
        <f t="shared" ca="1" si="12"/>
        <v>10</v>
      </c>
      <c r="F7" s="239">
        <f ca="1">MIN(10, SUMIF(Dati!K23:Q23, "&gt;0"))</f>
        <v>5</v>
      </c>
      <c r="G7" s="18">
        <f ca="1">MIN( 10, SUMIF(Dati!$S23:$Y23, "&gt;0"))</f>
        <v>10</v>
      </c>
      <c r="H7" s="18">
        <f t="shared" ca="1" si="12"/>
        <v>8</v>
      </c>
      <c r="I7" s="18">
        <f t="shared" ca="1" si="12"/>
        <v>10</v>
      </c>
      <c r="J7" s="18">
        <f t="shared" ca="1" si="12"/>
        <v>6</v>
      </c>
      <c r="K7" s="239">
        <f ca="1">SUMIF(Dati!AG23:AI23, "&gt;0")</f>
        <v>10</v>
      </c>
      <c r="L7" s="19">
        <f t="shared" ca="1" si="12"/>
        <v>10</v>
      </c>
      <c r="M7" s="251">
        <f t="shared" ca="1" si="13"/>
        <v>85</v>
      </c>
      <c r="N7" s="11">
        <f t="shared" ca="1" si="14"/>
        <v>10</v>
      </c>
      <c r="O7" s="18">
        <f t="shared" ca="1" si="15"/>
        <v>10</v>
      </c>
      <c r="P7" s="18">
        <f t="shared" ca="1" si="15"/>
        <v>10</v>
      </c>
      <c r="Q7" s="18">
        <f ca="1">SUMIF(Dati!AT23:AX23, "&gt;0")</f>
        <v>5</v>
      </c>
      <c r="R7" s="18">
        <f ca="1">SUMIF(Dati!AZ23:BB23, "&gt;0")</f>
        <v>10</v>
      </c>
      <c r="S7" s="18">
        <f ca="1">SUMIF(Dati!BD23:BF23, "&gt;0")</f>
        <v>10</v>
      </c>
      <c r="T7" s="18">
        <f ca="1">SUMIF(Dati!BH23:BJ23, "&gt;0")</f>
        <v>10</v>
      </c>
      <c r="U7" s="18">
        <f t="shared" ca="1" si="4"/>
        <v>10</v>
      </c>
      <c r="V7" s="19">
        <f t="shared" ca="1" si="4"/>
        <v>10</v>
      </c>
      <c r="W7" s="250">
        <f t="shared" ca="1" si="5"/>
        <v>85</v>
      </c>
      <c r="X7" s="11">
        <f t="shared" ca="1" si="16"/>
        <v>0</v>
      </c>
      <c r="Y7" s="18">
        <f t="shared" ca="1" si="6"/>
        <v>6</v>
      </c>
      <c r="Z7" s="18">
        <f t="shared" ca="1" si="6"/>
        <v>0</v>
      </c>
      <c r="AA7" s="18">
        <f t="shared" ca="1" si="6"/>
        <v>10</v>
      </c>
      <c r="AB7" s="18">
        <f t="shared" ca="1" si="6"/>
        <v>10</v>
      </c>
      <c r="AC7" s="18">
        <f t="shared" ca="1" si="6"/>
        <v>10</v>
      </c>
      <c r="AD7" s="18">
        <f t="shared" ca="1" si="6"/>
        <v>10</v>
      </c>
      <c r="AE7" s="18">
        <f t="shared" ca="1" si="6"/>
        <v>10</v>
      </c>
      <c r="AF7" s="19">
        <f ca="1">MIN(10, SUMIF(Dati!CG23:CQ23, "&gt;0"))</f>
        <v>10</v>
      </c>
      <c r="AG7" s="248">
        <f t="shared" ca="1" si="7"/>
        <v>66</v>
      </c>
      <c r="AH7" s="11">
        <f t="shared" ca="1" si="6"/>
        <v>10</v>
      </c>
      <c r="AI7" s="18">
        <f t="shared" ca="1" si="8"/>
        <v>10</v>
      </c>
      <c r="AJ7" s="18">
        <f t="shared" ca="1" si="8"/>
        <v>0</v>
      </c>
      <c r="AK7" s="18">
        <f t="shared" ca="1" si="8"/>
        <v>10</v>
      </c>
      <c r="AL7" s="18">
        <f t="shared" ca="1" si="8"/>
        <v>10</v>
      </c>
      <c r="AM7" s="18">
        <f t="shared" ca="1" si="8"/>
        <v>0</v>
      </c>
      <c r="AN7" s="18">
        <f t="shared" ca="1" si="8"/>
        <v>10</v>
      </c>
      <c r="AO7" s="18">
        <f ca="1">SUMIF(Dati!DH23:DJ23, "&gt;0")</f>
        <v>10</v>
      </c>
      <c r="AP7" s="18">
        <f ca="1">MIN(10, SUMIF(Dati!DL23:DP23, "&gt;0"))</f>
        <v>10</v>
      </c>
      <c r="AQ7" s="18">
        <f ca="1">SUMIF(Dati!DR23:DT23, "&gt;0")</f>
        <v>6</v>
      </c>
      <c r="AR7" s="18">
        <f t="shared" ca="1" si="8"/>
        <v>10</v>
      </c>
      <c r="AS7" s="18">
        <f t="shared" ca="1" si="8"/>
        <v>10</v>
      </c>
      <c r="AT7" s="19">
        <f ca="1">MIN(10,SUMIF(Dati!DZ23:EB23, "&gt;0"))</f>
        <v>6</v>
      </c>
      <c r="AU7" s="240">
        <f t="shared" ca="1" si="9"/>
        <v>102</v>
      </c>
      <c r="AV7" s="4">
        <f t="shared" ca="1" si="10"/>
        <v>338</v>
      </c>
    </row>
    <row r="8" spans="1:52" ht="15" customHeight="1">
      <c r="A8" s="234">
        <f t="shared" si="17"/>
        <v>24</v>
      </c>
      <c r="B8" s="257" t="str">
        <f t="shared" ca="1" si="11"/>
        <v xml:space="preserve">Presidenza del Consiglio dei ministri                     </v>
      </c>
      <c r="C8" s="11">
        <f t="shared" ca="1" si="12"/>
        <v>6</v>
      </c>
      <c r="D8" s="18">
        <f t="shared" ca="1" si="12"/>
        <v>10</v>
      </c>
      <c r="E8" s="18">
        <f t="shared" ca="1" si="12"/>
        <v>10</v>
      </c>
      <c r="F8" s="239">
        <f ca="1">MIN(10, SUMIF(Dati!K24:Q24, "&gt;0"))</f>
        <v>5</v>
      </c>
      <c r="G8" s="18">
        <f ca="1">MIN( 10, SUMIF(Dati!$S24:$Y24, "&gt;0"))</f>
        <v>6</v>
      </c>
      <c r="H8" s="18">
        <f t="shared" ca="1" si="12"/>
        <v>10</v>
      </c>
      <c r="I8" s="18">
        <f t="shared" ca="1" si="12"/>
        <v>10</v>
      </c>
      <c r="J8" s="18">
        <f t="shared" ca="1" si="12"/>
        <v>0</v>
      </c>
      <c r="K8" s="239">
        <f ca="1">SUMIF(Dati!AG24:AI24, "&gt;0")</f>
        <v>10</v>
      </c>
      <c r="L8" s="19">
        <f t="shared" ca="1" si="12"/>
        <v>10</v>
      </c>
      <c r="M8" s="251">
        <f t="shared" ca="1" si="13"/>
        <v>77</v>
      </c>
      <c r="N8" s="11">
        <f t="shared" ca="1" si="14"/>
        <v>10</v>
      </c>
      <c r="O8" s="18">
        <f t="shared" ca="1" si="15"/>
        <v>10</v>
      </c>
      <c r="P8" s="18">
        <f t="shared" ca="1" si="15"/>
        <v>10</v>
      </c>
      <c r="Q8" s="18">
        <f ca="1">SUMIF(Dati!AT24:AX24, "&gt;0")</f>
        <v>10</v>
      </c>
      <c r="R8" s="18">
        <f ca="1">SUMIF(Dati!AZ24:BB24, "&gt;0")</f>
        <v>0</v>
      </c>
      <c r="S8" s="18">
        <f ca="1">SUMIF(Dati!BD24:BF24, "&gt;0")</f>
        <v>10</v>
      </c>
      <c r="T8" s="18">
        <f ca="1">SUMIF(Dati!BH24:BJ24, "&gt;0")</f>
        <v>10</v>
      </c>
      <c r="U8" s="18">
        <f t="shared" ca="1" si="4"/>
        <v>10</v>
      </c>
      <c r="V8" s="19">
        <f t="shared" ca="1" si="4"/>
        <v>10</v>
      </c>
      <c r="W8" s="250">
        <f t="shared" ca="1" si="5"/>
        <v>80</v>
      </c>
      <c r="X8" s="11">
        <f t="shared" ca="1" si="16"/>
        <v>0</v>
      </c>
      <c r="Y8" s="18">
        <f t="shared" ca="1" si="6"/>
        <v>0</v>
      </c>
      <c r="Z8" s="18">
        <f t="shared" ca="1" si="6"/>
        <v>0</v>
      </c>
      <c r="AA8" s="18">
        <f t="shared" ca="1" si="6"/>
        <v>0</v>
      </c>
      <c r="AB8" s="18">
        <f t="shared" ca="1" si="6"/>
        <v>10</v>
      </c>
      <c r="AC8" s="18">
        <f t="shared" ca="1" si="6"/>
        <v>10</v>
      </c>
      <c r="AD8" s="18">
        <f t="shared" ca="1" si="6"/>
        <v>10</v>
      </c>
      <c r="AE8" s="18">
        <f t="shared" ca="1" si="6"/>
        <v>10</v>
      </c>
      <c r="AF8" s="19">
        <f ca="1">MIN(10, SUMIF(Dati!CG24:CQ24, "&gt;0"))</f>
        <v>3</v>
      </c>
      <c r="AG8" s="248">
        <f t="shared" ca="1" si="7"/>
        <v>43</v>
      </c>
      <c r="AH8" s="11">
        <f t="shared" ca="1" si="6"/>
        <v>10</v>
      </c>
      <c r="AI8" s="18">
        <f t="shared" ca="1" si="8"/>
        <v>10</v>
      </c>
      <c r="AJ8" s="18">
        <f t="shared" ca="1" si="8"/>
        <v>0</v>
      </c>
      <c r="AK8" s="18">
        <f t="shared" ca="1" si="8"/>
        <v>10</v>
      </c>
      <c r="AL8" s="18">
        <f t="shared" ca="1" si="8"/>
        <v>10</v>
      </c>
      <c r="AM8" s="18">
        <f t="shared" ca="1" si="8"/>
        <v>0</v>
      </c>
      <c r="AN8" s="18">
        <f t="shared" ca="1" si="8"/>
        <v>10</v>
      </c>
      <c r="AO8" s="18">
        <f ca="1">SUMIF(Dati!DH24:DJ24, "&gt;0")</f>
        <v>10</v>
      </c>
      <c r="AP8" s="18">
        <f ca="1">MIN(10, SUMIF(Dati!DL24:DP24, "&gt;0"))</f>
        <v>10</v>
      </c>
      <c r="AQ8" s="18">
        <f ca="1">SUMIF(Dati!DR24:DT24, "&gt;0")</f>
        <v>0</v>
      </c>
      <c r="AR8" s="18">
        <f t="shared" ca="1" si="8"/>
        <v>0</v>
      </c>
      <c r="AS8" s="18">
        <f t="shared" ca="1" si="8"/>
        <v>0</v>
      </c>
      <c r="AT8" s="19">
        <f ca="1">MIN(10,SUMIF(Dati!DZ24:EB24, "&gt;0"))</f>
        <v>2</v>
      </c>
      <c r="AU8" s="240">
        <f t="shared" ca="1" si="9"/>
        <v>72</v>
      </c>
      <c r="AV8" s="4">
        <f t="shared" ca="1" si="10"/>
        <v>272</v>
      </c>
    </row>
    <row r="9" spans="1:52" ht="15" customHeight="1">
      <c r="A9" s="234">
        <f t="shared" si="17"/>
        <v>25</v>
      </c>
      <c r="B9" s="257" t="str">
        <f t="shared" ca="1" si="11"/>
        <v xml:space="preserve">Ministero degli affari esteri                                           </v>
      </c>
      <c r="C9" s="11">
        <f t="shared" ca="1" si="12"/>
        <v>6</v>
      </c>
      <c r="D9" s="18">
        <f t="shared" ca="1" si="12"/>
        <v>10</v>
      </c>
      <c r="E9" s="18">
        <f t="shared" ca="1" si="12"/>
        <v>10</v>
      </c>
      <c r="F9" s="239">
        <f ca="1">MIN(10, SUMIF(Dati!K25:Q25, "&gt;0"))</f>
        <v>10</v>
      </c>
      <c r="G9" s="18">
        <f ca="1">MIN( 10, SUMIF(Dati!$S25:$Y25, "&gt;0"))</f>
        <v>10</v>
      </c>
      <c r="H9" s="18">
        <f t="shared" ca="1" si="12"/>
        <v>10</v>
      </c>
      <c r="I9" s="18">
        <f t="shared" ca="1" si="12"/>
        <v>10</v>
      </c>
      <c r="J9" s="18">
        <f t="shared" ca="1" si="12"/>
        <v>6</v>
      </c>
      <c r="K9" s="239">
        <f ca="1">SUMIF(Dati!AG25:AI25, "&gt;0")</f>
        <v>10</v>
      </c>
      <c r="L9" s="19">
        <f t="shared" ca="1" si="12"/>
        <v>10</v>
      </c>
      <c r="M9" s="251">
        <f t="shared" ca="1" si="13"/>
        <v>92</v>
      </c>
      <c r="N9" s="11">
        <f t="shared" ca="1" si="14"/>
        <v>10</v>
      </c>
      <c r="O9" s="18">
        <f t="shared" ca="1" si="15"/>
        <v>10</v>
      </c>
      <c r="P9" s="18">
        <f t="shared" ca="1" si="15"/>
        <v>10</v>
      </c>
      <c r="Q9" s="18">
        <f ca="1">SUMIF(Dati!AT25:AX25, "&gt;0")</f>
        <v>10</v>
      </c>
      <c r="R9" s="18">
        <f ca="1">SUMIF(Dati!AZ25:BB25, "&gt;0")</f>
        <v>0</v>
      </c>
      <c r="S9" s="18">
        <f ca="1">SUMIF(Dati!BD25:BF25, "&gt;0")</f>
        <v>6</v>
      </c>
      <c r="T9" s="18">
        <f ca="1">SUMIF(Dati!BH25:BJ25, "&gt;0")</f>
        <v>10</v>
      </c>
      <c r="U9" s="18">
        <f t="shared" ca="1" si="4"/>
        <v>10</v>
      </c>
      <c r="V9" s="19">
        <f t="shared" ca="1" si="4"/>
        <v>10</v>
      </c>
      <c r="W9" s="250">
        <f t="shared" ca="1" si="5"/>
        <v>76</v>
      </c>
      <c r="X9" s="11">
        <f t="shared" ca="1" si="16"/>
        <v>0</v>
      </c>
      <c r="Y9" s="18">
        <f t="shared" ca="1" si="6"/>
        <v>0</v>
      </c>
      <c r="Z9" s="18">
        <f t="shared" ca="1" si="6"/>
        <v>0</v>
      </c>
      <c r="AA9" s="18">
        <f t="shared" ca="1" si="6"/>
        <v>0</v>
      </c>
      <c r="AB9" s="18">
        <f t="shared" ca="1" si="6"/>
        <v>10</v>
      </c>
      <c r="AC9" s="18">
        <f t="shared" ca="1" si="6"/>
        <v>10</v>
      </c>
      <c r="AD9" s="18">
        <f t="shared" ca="1" si="6"/>
        <v>10</v>
      </c>
      <c r="AE9" s="18">
        <f t="shared" ca="1" si="6"/>
        <v>10</v>
      </c>
      <c r="AF9" s="19">
        <f ca="1">MIN(10, SUMIF(Dati!CG25:CQ25, "&gt;0"))</f>
        <v>3</v>
      </c>
      <c r="AG9" s="248">
        <f t="shared" ca="1" si="7"/>
        <v>43</v>
      </c>
      <c r="AH9" s="11">
        <f t="shared" ca="1" si="6"/>
        <v>0</v>
      </c>
      <c r="AI9" s="18">
        <f t="shared" ca="1" si="8"/>
        <v>0</v>
      </c>
      <c r="AJ9" s="18">
        <f t="shared" ca="1" si="8"/>
        <v>0</v>
      </c>
      <c r="AK9" s="18">
        <f t="shared" ca="1" si="8"/>
        <v>10</v>
      </c>
      <c r="AL9" s="18">
        <f t="shared" ca="1" si="8"/>
        <v>0</v>
      </c>
      <c r="AM9" s="18">
        <f t="shared" ca="1" si="8"/>
        <v>0</v>
      </c>
      <c r="AN9" s="18">
        <f t="shared" ca="1" si="8"/>
        <v>10</v>
      </c>
      <c r="AO9" s="18">
        <f ca="1">SUMIF(Dati!DH25:DJ25, "&gt;0")</f>
        <v>4</v>
      </c>
      <c r="AP9" s="18">
        <f ca="1">MIN(10, SUMIF(Dati!DL25:DP25, "&gt;0"))</f>
        <v>10</v>
      </c>
      <c r="AQ9" s="18">
        <f ca="1">SUMIF(Dati!DR25:DT25, "&gt;0")</f>
        <v>6</v>
      </c>
      <c r="AR9" s="18">
        <f t="shared" ca="1" si="8"/>
        <v>8</v>
      </c>
      <c r="AS9" s="18">
        <f t="shared" ca="1" si="8"/>
        <v>10</v>
      </c>
      <c r="AT9" s="19">
        <f ca="1">MIN(10,SUMIF(Dati!DZ25:EB25, "&gt;0"))</f>
        <v>2</v>
      </c>
      <c r="AU9" s="240">
        <f t="shared" ca="1" si="9"/>
        <v>60</v>
      </c>
      <c r="AV9" s="4">
        <f t="shared" ca="1" si="10"/>
        <v>271</v>
      </c>
    </row>
    <row r="10" spans="1:52" ht="15" customHeight="1">
      <c r="A10" s="234">
        <f t="shared" si="17"/>
        <v>26</v>
      </c>
      <c r="B10" s="257" t="str">
        <f t="shared" ca="1" si="11"/>
        <v>Ministero dell'ambiente e della tutela del territorio e del mare</v>
      </c>
      <c r="C10" s="11">
        <f t="shared" ca="1" si="12"/>
        <v>6</v>
      </c>
      <c r="D10" s="18">
        <f t="shared" ca="1" si="12"/>
        <v>10</v>
      </c>
      <c r="E10" s="18">
        <f t="shared" ca="1" si="12"/>
        <v>10</v>
      </c>
      <c r="F10" s="239">
        <f ca="1">MIN(10, SUMIF(Dati!K26:Q26, "&gt;0"))</f>
        <v>5</v>
      </c>
      <c r="G10" s="18">
        <f ca="1">MIN( 10, SUMIF(Dati!$S26:$Y26, "&gt;0"))</f>
        <v>10</v>
      </c>
      <c r="H10" s="18">
        <f t="shared" ca="1" si="12"/>
        <v>10</v>
      </c>
      <c r="I10" s="18">
        <f t="shared" ca="1" si="12"/>
        <v>10</v>
      </c>
      <c r="J10" s="18">
        <f t="shared" ca="1" si="12"/>
        <v>0</v>
      </c>
      <c r="K10" s="239">
        <f ca="1">SUMIF(Dati!AG26:AI26, "&gt;0")</f>
        <v>6</v>
      </c>
      <c r="L10" s="19">
        <f t="shared" ca="1" si="12"/>
        <v>0</v>
      </c>
      <c r="M10" s="251">
        <f t="shared" ca="1" si="13"/>
        <v>67</v>
      </c>
      <c r="N10" s="11">
        <f t="shared" ca="1" si="14"/>
        <v>10</v>
      </c>
      <c r="O10" s="18">
        <f t="shared" ca="1" si="15"/>
        <v>0</v>
      </c>
      <c r="P10" s="18">
        <f t="shared" ca="1" si="15"/>
        <v>0</v>
      </c>
      <c r="Q10" s="18">
        <f ca="1">SUMIF(Dati!AT26:AX26, "&gt;0")</f>
        <v>10</v>
      </c>
      <c r="R10" s="18">
        <f ca="1">SUMIF(Dati!AZ26:BB26, "&gt;0")</f>
        <v>6</v>
      </c>
      <c r="S10" s="18">
        <f ca="1">SUMIF(Dati!BD26:BF26, "&gt;0")</f>
        <v>10</v>
      </c>
      <c r="T10" s="18">
        <f ca="1">SUMIF(Dati!BH26:BJ26, "&gt;0")</f>
        <v>10</v>
      </c>
      <c r="U10" s="18">
        <f t="shared" ca="1" si="4"/>
        <v>10</v>
      </c>
      <c r="V10" s="19">
        <f t="shared" ca="1" si="4"/>
        <v>10</v>
      </c>
      <c r="W10" s="250">
        <f t="shared" ca="1" si="5"/>
        <v>66</v>
      </c>
      <c r="X10" s="11">
        <f t="shared" ca="1" si="16"/>
        <v>0</v>
      </c>
      <c r="Y10" s="18">
        <f t="shared" ca="1" si="6"/>
        <v>0</v>
      </c>
      <c r="Z10" s="18">
        <f t="shared" ca="1" si="6"/>
        <v>0</v>
      </c>
      <c r="AA10" s="18">
        <f t="shared" ca="1" si="6"/>
        <v>10</v>
      </c>
      <c r="AB10" s="18">
        <f t="shared" ca="1" si="6"/>
        <v>10</v>
      </c>
      <c r="AC10" s="18">
        <f t="shared" ca="1" si="6"/>
        <v>10</v>
      </c>
      <c r="AD10" s="18">
        <f t="shared" ca="1" si="6"/>
        <v>10</v>
      </c>
      <c r="AE10" s="18">
        <f t="shared" ca="1" si="6"/>
        <v>10</v>
      </c>
      <c r="AF10" s="19">
        <f ca="1">MIN(10, SUMIF(Dati!CG26:CQ26, "&gt;0"))</f>
        <v>10</v>
      </c>
      <c r="AG10" s="248">
        <f t="shared" ca="1" si="7"/>
        <v>60</v>
      </c>
      <c r="AH10" s="11">
        <f t="shared" ca="1" si="6"/>
        <v>0</v>
      </c>
      <c r="AI10" s="18">
        <f t="shared" ca="1" si="8"/>
        <v>10</v>
      </c>
      <c r="AJ10" s="18">
        <f t="shared" ca="1" si="8"/>
        <v>0</v>
      </c>
      <c r="AK10" s="18">
        <f t="shared" ca="1" si="8"/>
        <v>0</v>
      </c>
      <c r="AL10" s="18">
        <f t="shared" ca="1" si="8"/>
        <v>10</v>
      </c>
      <c r="AM10" s="18">
        <f t="shared" ca="1" si="8"/>
        <v>10</v>
      </c>
      <c r="AN10" s="18">
        <f t="shared" ca="1" si="8"/>
        <v>10</v>
      </c>
      <c r="AO10" s="18">
        <f ca="1">SUMIF(Dati!DH26:DJ26, "&gt;0")</f>
        <v>6</v>
      </c>
      <c r="AP10" s="18">
        <f ca="1">MIN(10, SUMIF(Dati!DL26:DP26, "&gt;0"))</f>
        <v>6</v>
      </c>
      <c r="AQ10" s="18">
        <f ca="1">SUMIF(Dati!DR26:DT26, "&gt;0")</f>
        <v>0</v>
      </c>
      <c r="AR10" s="18">
        <f t="shared" ca="1" si="8"/>
        <v>0</v>
      </c>
      <c r="AS10" s="18">
        <f t="shared" ca="1" si="8"/>
        <v>10</v>
      </c>
      <c r="AT10" s="19">
        <f ca="1">MIN(10,SUMIF(Dati!DZ26:EB26, "&gt;0"))</f>
        <v>10</v>
      </c>
      <c r="AU10" s="240">
        <f t="shared" ca="1" si="9"/>
        <v>72</v>
      </c>
      <c r="AV10" s="4">
        <f t="shared" ca="1" si="10"/>
        <v>265</v>
      </c>
    </row>
    <row r="11" spans="1:52" ht="15" customHeight="1">
      <c r="A11" s="234">
        <f t="shared" si="17"/>
        <v>27</v>
      </c>
      <c r="B11" s="257" t="str">
        <f t="shared" ca="1" si="11"/>
        <v>Ministero dello sviluppo economico</v>
      </c>
      <c r="C11" s="11">
        <f t="shared" ca="1" si="12"/>
        <v>6</v>
      </c>
      <c r="D11" s="18">
        <f t="shared" ca="1" si="12"/>
        <v>10</v>
      </c>
      <c r="E11" s="18">
        <f t="shared" ca="1" si="12"/>
        <v>10</v>
      </c>
      <c r="F11" s="239">
        <f ca="1">MIN(10, SUMIF(Dati!K27:Q27, "&gt;0"))</f>
        <v>10</v>
      </c>
      <c r="G11" s="18">
        <f ca="1">MIN( 10, SUMIF(Dati!$S27:$Y27, "&gt;0"))</f>
        <v>4</v>
      </c>
      <c r="H11" s="18">
        <f t="shared" ca="1" si="12"/>
        <v>10</v>
      </c>
      <c r="I11" s="18">
        <f t="shared" ca="1" si="12"/>
        <v>10</v>
      </c>
      <c r="J11" s="18">
        <f t="shared" ca="1" si="12"/>
        <v>0</v>
      </c>
      <c r="K11" s="239">
        <f ca="1">SUMIF(Dati!AG27:AI27, "&gt;0")</f>
        <v>10</v>
      </c>
      <c r="L11" s="19">
        <f t="shared" ca="1" si="12"/>
        <v>10</v>
      </c>
      <c r="M11" s="251">
        <f t="shared" ca="1" si="13"/>
        <v>80</v>
      </c>
      <c r="N11" s="11">
        <f t="shared" ca="1" si="14"/>
        <v>10</v>
      </c>
      <c r="O11" s="18">
        <f t="shared" ca="1" si="15"/>
        <v>10</v>
      </c>
      <c r="P11" s="18">
        <f t="shared" ca="1" si="15"/>
        <v>0</v>
      </c>
      <c r="Q11" s="18">
        <f ca="1">SUMIF(Dati!AT27:AX27, "&gt;0")</f>
        <v>10</v>
      </c>
      <c r="R11" s="18">
        <f ca="1">SUMIF(Dati!AZ27:BB27, "&gt;0")</f>
        <v>0</v>
      </c>
      <c r="S11" s="18">
        <f ca="1">SUMIF(Dati!BD27:BF27, "&gt;0")</f>
        <v>10</v>
      </c>
      <c r="T11" s="18">
        <f ca="1">SUMIF(Dati!BH27:BJ27, "&gt;0")</f>
        <v>10</v>
      </c>
      <c r="U11" s="18">
        <f t="shared" ca="1" si="4"/>
        <v>10</v>
      </c>
      <c r="V11" s="19">
        <f t="shared" ca="1" si="4"/>
        <v>10</v>
      </c>
      <c r="W11" s="250">
        <f t="shared" ca="1" si="5"/>
        <v>70</v>
      </c>
      <c r="X11" s="11">
        <f t="shared" ca="1" si="16"/>
        <v>0</v>
      </c>
      <c r="Y11" s="18">
        <f t="shared" ca="1" si="6"/>
        <v>10</v>
      </c>
      <c r="Z11" s="18">
        <f t="shared" ca="1" si="6"/>
        <v>0</v>
      </c>
      <c r="AA11" s="18">
        <f t="shared" ca="1" si="6"/>
        <v>0</v>
      </c>
      <c r="AB11" s="18">
        <f t="shared" ca="1" si="6"/>
        <v>10</v>
      </c>
      <c r="AC11" s="18">
        <f t="shared" ca="1" si="6"/>
        <v>10</v>
      </c>
      <c r="AD11" s="18">
        <f t="shared" ca="1" si="6"/>
        <v>10</v>
      </c>
      <c r="AE11" s="18">
        <f t="shared" ca="1" si="6"/>
        <v>10</v>
      </c>
      <c r="AF11" s="19">
        <f ca="1">MIN(10, SUMIF(Dati!CG27:CQ27, "&gt;0"))</f>
        <v>3</v>
      </c>
      <c r="AG11" s="248">
        <f t="shared" ca="1" si="7"/>
        <v>53</v>
      </c>
      <c r="AH11" s="11">
        <f t="shared" ca="1" si="6"/>
        <v>0</v>
      </c>
      <c r="AI11" s="18">
        <f t="shared" ca="1" si="8"/>
        <v>0</v>
      </c>
      <c r="AJ11" s="18">
        <f t="shared" ca="1" si="8"/>
        <v>0</v>
      </c>
      <c r="AK11" s="18">
        <f t="shared" ca="1" si="8"/>
        <v>10</v>
      </c>
      <c r="AL11" s="18">
        <f t="shared" ca="1" si="8"/>
        <v>10</v>
      </c>
      <c r="AM11" s="18">
        <f t="shared" ca="1" si="8"/>
        <v>0</v>
      </c>
      <c r="AN11" s="18">
        <f t="shared" ca="1" si="8"/>
        <v>10</v>
      </c>
      <c r="AO11" s="18">
        <f ca="1">SUMIF(Dati!DH27:DJ27, "&gt;0")</f>
        <v>4</v>
      </c>
      <c r="AP11" s="18">
        <f ca="1">MIN(10, SUMIF(Dati!DL27:DP27, "&gt;0"))</f>
        <v>10</v>
      </c>
      <c r="AQ11" s="18">
        <f ca="1">SUMIF(Dati!DR27:DT27, "&gt;0")</f>
        <v>0</v>
      </c>
      <c r="AR11" s="18">
        <f t="shared" ca="1" si="8"/>
        <v>0</v>
      </c>
      <c r="AS11" s="18">
        <f t="shared" ca="1" si="8"/>
        <v>10</v>
      </c>
      <c r="AT11" s="19">
        <f ca="1">MIN(10,SUMIF(Dati!DZ27:EB27, "&gt;0"))</f>
        <v>2</v>
      </c>
      <c r="AU11" s="240">
        <f t="shared" ca="1" si="9"/>
        <v>56</v>
      </c>
      <c r="AV11" s="4">
        <f t="shared" ca="1" si="10"/>
        <v>259</v>
      </c>
    </row>
    <row r="12" spans="1:52" ht="15" customHeight="1">
      <c r="A12" s="234">
        <f t="shared" si="17"/>
        <v>28</v>
      </c>
      <c r="B12" s="257" t="str">
        <f t="shared" ca="1" si="11"/>
        <v xml:space="preserve">Ministero per i beni e le attività culturali                                                     </v>
      </c>
      <c r="C12" s="11">
        <f t="shared" ca="1" si="12"/>
        <v>0</v>
      </c>
      <c r="D12" s="18">
        <f t="shared" ca="1" si="12"/>
        <v>0</v>
      </c>
      <c r="E12" s="18">
        <f t="shared" ca="1" si="12"/>
        <v>0</v>
      </c>
      <c r="F12" s="239">
        <f ca="1">MIN(10, SUMIF(Dati!K28:Q28, "&gt;0"))</f>
        <v>0</v>
      </c>
      <c r="G12" s="18">
        <f ca="1">MIN( 10, SUMIF(Dati!$S28:$Y28, "&gt;0"))</f>
        <v>0</v>
      </c>
      <c r="H12" s="18">
        <f t="shared" ca="1" si="12"/>
        <v>0</v>
      </c>
      <c r="I12" s="18">
        <f t="shared" ca="1" si="12"/>
        <v>0</v>
      </c>
      <c r="J12" s="18">
        <f t="shared" ca="1" si="12"/>
        <v>0</v>
      </c>
      <c r="K12" s="239">
        <f ca="1">SUMIF(Dati!AG28:AI28, "&gt;0")</f>
        <v>0</v>
      </c>
      <c r="L12" s="19">
        <f t="shared" ca="1" si="12"/>
        <v>0</v>
      </c>
      <c r="M12" s="251">
        <f t="shared" ca="1" si="13"/>
        <v>0</v>
      </c>
      <c r="N12" s="11">
        <f t="shared" ca="1" si="14"/>
        <v>0</v>
      </c>
      <c r="O12" s="18">
        <f t="shared" ca="1" si="15"/>
        <v>0</v>
      </c>
      <c r="P12" s="18">
        <f t="shared" ca="1" si="15"/>
        <v>0</v>
      </c>
      <c r="Q12" s="18">
        <f ca="1">SUMIF(Dati!AT28:AX28, "&gt;0")</f>
        <v>0</v>
      </c>
      <c r="R12" s="18">
        <f ca="1">SUMIF(Dati!AZ28:BB28, "&gt;0")</f>
        <v>0</v>
      </c>
      <c r="S12" s="18">
        <f ca="1">SUMIF(Dati!BD28:BF28, "&gt;0")</f>
        <v>0</v>
      </c>
      <c r="T12" s="18">
        <f ca="1">SUMIF(Dati!BH28:BJ28, "&gt;0")</f>
        <v>0</v>
      </c>
      <c r="U12" s="18">
        <f t="shared" ca="1" si="4"/>
        <v>0</v>
      </c>
      <c r="V12" s="19">
        <f t="shared" ca="1" si="4"/>
        <v>10</v>
      </c>
      <c r="W12" s="250">
        <f t="shared" ca="1" si="5"/>
        <v>10</v>
      </c>
      <c r="X12" s="11">
        <f t="shared" ca="1" si="16"/>
        <v>0</v>
      </c>
      <c r="Y12" s="18">
        <f t="shared" ca="1" si="6"/>
        <v>0</v>
      </c>
      <c r="Z12" s="18">
        <f t="shared" ca="1" si="6"/>
        <v>0</v>
      </c>
      <c r="AA12" s="18">
        <f t="shared" ca="1" si="6"/>
        <v>0</v>
      </c>
      <c r="AB12" s="18">
        <f t="shared" ca="1" si="6"/>
        <v>0</v>
      </c>
      <c r="AC12" s="18">
        <f t="shared" ca="1" si="6"/>
        <v>0</v>
      </c>
      <c r="AD12" s="18">
        <f t="shared" ca="1" si="6"/>
        <v>0</v>
      </c>
      <c r="AE12" s="18">
        <f t="shared" ca="1" si="6"/>
        <v>0</v>
      </c>
      <c r="AF12" s="19">
        <f ca="1">MIN(10, SUMIF(Dati!CG28:CQ28, "&gt;0"))</f>
        <v>2</v>
      </c>
      <c r="AG12" s="248">
        <f t="shared" ca="1" si="7"/>
        <v>2</v>
      </c>
      <c r="AH12" s="11">
        <f t="shared" ca="1" si="6"/>
        <v>0</v>
      </c>
      <c r="AI12" s="18">
        <f t="shared" ca="1" si="8"/>
        <v>0</v>
      </c>
      <c r="AJ12" s="18">
        <f t="shared" ca="1" si="8"/>
        <v>0</v>
      </c>
      <c r="AK12" s="18">
        <f t="shared" ca="1" si="8"/>
        <v>0</v>
      </c>
      <c r="AL12" s="18">
        <f t="shared" ca="1" si="8"/>
        <v>0</v>
      </c>
      <c r="AM12" s="18">
        <f t="shared" ca="1" si="8"/>
        <v>0</v>
      </c>
      <c r="AN12" s="18">
        <f t="shared" ca="1" si="8"/>
        <v>0</v>
      </c>
      <c r="AO12" s="18">
        <f ca="1">SUMIF(Dati!DH28:DJ28, "&gt;0")</f>
        <v>0</v>
      </c>
      <c r="AP12" s="18">
        <f ca="1">MIN(10, SUMIF(Dati!DL28:DP28, "&gt;0"))</f>
        <v>0</v>
      </c>
      <c r="AQ12" s="18">
        <f ca="1">SUMIF(Dati!DR28:DT28, "&gt;0")</f>
        <v>0</v>
      </c>
      <c r="AR12" s="18">
        <f t="shared" ca="1" si="8"/>
        <v>0</v>
      </c>
      <c r="AS12" s="18">
        <f t="shared" ca="1" si="8"/>
        <v>0</v>
      </c>
      <c r="AT12" s="19">
        <f ca="1">MIN(10,SUMIF(Dati!DZ28:EB28, "&gt;0"))</f>
        <v>2</v>
      </c>
      <c r="AU12" s="240">
        <f t="shared" ca="1" si="9"/>
        <v>2</v>
      </c>
      <c r="AV12" s="4">
        <f t="shared" ca="1" si="10"/>
        <v>14</v>
      </c>
    </row>
    <row r="13" spans="1:52" ht="15" customHeight="1">
      <c r="A13" s="234">
        <f t="shared" si="17"/>
        <v>29</v>
      </c>
      <c r="B13" s="257" t="str">
        <f t="shared" ca="1" si="11"/>
        <v>Ministero della difesa</v>
      </c>
      <c r="C13" s="11">
        <f t="shared" ca="1" si="12"/>
        <v>8</v>
      </c>
      <c r="D13" s="18">
        <f t="shared" ca="1" si="12"/>
        <v>10</v>
      </c>
      <c r="E13" s="18">
        <f t="shared" ca="1" si="12"/>
        <v>0</v>
      </c>
      <c r="F13" s="239">
        <f ca="1">MIN(10, SUMIF(Dati!K29:Q29, "&gt;0"))</f>
        <v>0</v>
      </c>
      <c r="G13" s="18">
        <f ca="1">MIN( 10, SUMIF(Dati!$S29:$Y29, "&gt;0"))</f>
        <v>10</v>
      </c>
      <c r="H13" s="18">
        <f t="shared" ca="1" si="12"/>
        <v>10</v>
      </c>
      <c r="I13" s="18">
        <f t="shared" ca="1" si="12"/>
        <v>10</v>
      </c>
      <c r="J13" s="18">
        <f t="shared" ca="1" si="12"/>
        <v>10</v>
      </c>
      <c r="K13" s="239">
        <f ca="1">SUMIF(Dati!AG29:AI29, "&gt;0")</f>
        <v>10</v>
      </c>
      <c r="L13" s="19">
        <f t="shared" ca="1" si="12"/>
        <v>10</v>
      </c>
      <c r="M13" s="251">
        <f t="shared" ca="1" si="13"/>
        <v>78</v>
      </c>
      <c r="N13" s="11">
        <f t="shared" ca="1" si="14"/>
        <v>10</v>
      </c>
      <c r="O13" s="18">
        <f t="shared" ca="1" si="15"/>
        <v>10</v>
      </c>
      <c r="P13" s="18">
        <f t="shared" ca="1" si="15"/>
        <v>10</v>
      </c>
      <c r="Q13" s="18">
        <f ca="1">SUMIF(Dati!AT29:AX29, "&gt;0")</f>
        <v>5</v>
      </c>
      <c r="R13" s="18">
        <f ca="1">SUMIF(Dati!AZ29:BB29, "&gt;0")</f>
        <v>6</v>
      </c>
      <c r="S13" s="18">
        <f ca="1">SUMIF(Dati!BD29:BF29, "&gt;0")</f>
        <v>6</v>
      </c>
      <c r="T13" s="18">
        <f ca="1">SUMIF(Dati!BH29:BJ29, "&gt;0")</f>
        <v>10</v>
      </c>
      <c r="U13" s="18">
        <f t="shared" ca="1" si="4"/>
        <v>0</v>
      </c>
      <c r="V13" s="19">
        <f t="shared" ca="1" si="4"/>
        <v>10</v>
      </c>
      <c r="W13" s="250">
        <f t="shared" ca="1" si="5"/>
        <v>67</v>
      </c>
      <c r="X13" s="11">
        <f t="shared" ca="1" si="16"/>
        <v>10</v>
      </c>
      <c r="Y13" s="18">
        <f t="shared" ca="1" si="6"/>
        <v>6</v>
      </c>
      <c r="Z13" s="18">
        <f t="shared" ca="1" si="6"/>
        <v>6</v>
      </c>
      <c r="AA13" s="18">
        <f t="shared" ca="1" si="6"/>
        <v>0</v>
      </c>
      <c r="AB13" s="18">
        <f t="shared" ca="1" si="6"/>
        <v>0</v>
      </c>
      <c r="AC13" s="18">
        <f t="shared" ca="1" si="6"/>
        <v>0</v>
      </c>
      <c r="AD13" s="18">
        <f t="shared" ca="1" si="6"/>
        <v>0</v>
      </c>
      <c r="AE13" s="18">
        <f t="shared" ca="1" si="6"/>
        <v>10</v>
      </c>
      <c r="AF13" s="19">
        <f ca="1">MIN(10, SUMIF(Dati!CG29:CQ29, "&gt;0"))</f>
        <v>10</v>
      </c>
      <c r="AG13" s="248">
        <f t="shared" ca="1" si="7"/>
        <v>42</v>
      </c>
      <c r="AH13" s="11">
        <f t="shared" ca="1" si="6"/>
        <v>10</v>
      </c>
      <c r="AI13" s="18">
        <f t="shared" ca="1" si="8"/>
        <v>10</v>
      </c>
      <c r="AJ13" s="18">
        <f t="shared" ca="1" si="8"/>
        <v>10</v>
      </c>
      <c r="AK13" s="18">
        <f t="shared" ca="1" si="8"/>
        <v>10</v>
      </c>
      <c r="AL13" s="18">
        <f t="shared" ca="1" si="8"/>
        <v>10</v>
      </c>
      <c r="AM13" s="18">
        <f t="shared" ca="1" si="8"/>
        <v>10</v>
      </c>
      <c r="AN13" s="18">
        <f t="shared" ca="1" si="8"/>
        <v>10</v>
      </c>
      <c r="AO13" s="18">
        <f ca="1">SUMIF(Dati!DH29:DJ29, "&gt;0")</f>
        <v>10</v>
      </c>
      <c r="AP13" s="18">
        <f ca="1">MIN(10, SUMIF(Dati!DL29:DP29, "&gt;0"))</f>
        <v>10</v>
      </c>
      <c r="AQ13" s="18">
        <f ca="1">SUMIF(Dati!DR29:DT29, "&gt;0")</f>
        <v>0</v>
      </c>
      <c r="AR13" s="18">
        <f t="shared" ca="1" si="8"/>
        <v>10</v>
      </c>
      <c r="AS13" s="18">
        <f t="shared" ca="1" si="8"/>
        <v>10</v>
      </c>
      <c r="AT13" s="19">
        <f ca="1">MIN(10,SUMIF(Dati!DZ29:EB29, "&gt;0"))</f>
        <v>2</v>
      </c>
      <c r="AU13" s="240">
        <f t="shared" ca="1" si="9"/>
        <v>112</v>
      </c>
      <c r="AV13" s="4">
        <f t="shared" ca="1" si="10"/>
        <v>299</v>
      </c>
    </row>
    <row r="14" spans="1:52" ht="15" customHeight="1">
      <c r="A14" s="234">
        <f t="shared" si="17"/>
        <v>30</v>
      </c>
      <c r="B14" s="257" t="str">
        <f t="shared" ca="1" si="11"/>
        <v>Stato Maggiore Difesa</v>
      </c>
      <c r="C14" s="11">
        <f t="shared" ca="1" si="12"/>
        <v>6</v>
      </c>
      <c r="D14" s="18">
        <f t="shared" ca="1" si="12"/>
        <v>10</v>
      </c>
      <c r="E14" s="18">
        <f t="shared" ca="1" si="12"/>
        <v>0</v>
      </c>
      <c r="F14" s="239">
        <f ca="1">MIN(10, SUMIF(Dati!K30:Q30, "&gt;0"))</f>
        <v>0</v>
      </c>
      <c r="G14" s="18">
        <f ca="1">MIN( 10, SUMIF(Dati!$S30:$Y30, "&gt;0"))</f>
        <v>10</v>
      </c>
      <c r="H14" s="18">
        <f t="shared" ca="1" si="12"/>
        <v>8</v>
      </c>
      <c r="I14" s="18">
        <f t="shared" ca="1" si="12"/>
        <v>10</v>
      </c>
      <c r="J14" s="18">
        <f t="shared" ca="1" si="12"/>
        <v>0</v>
      </c>
      <c r="K14" s="239">
        <f ca="1">SUMIF(Dati!AG30:AI30, "&gt;0")</f>
        <v>0</v>
      </c>
      <c r="L14" s="19">
        <f t="shared" ca="1" si="12"/>
        <v>0</v>
      </c>
      <c r="M14" s="251">
        <f t="shared" ca="1" si="13"/>
        <v>44</v>
      </c>
      <c r="N14" s="11">
        <f t="shared" ca="1" si="14"/>
        <v>10</v>
      </c>
      <c r="O14" s="18">
        <f t="shared" ca="1" si="15"/>
        <v>10</v>
      </c>
      <c r="P14" s="18">
        <f t="shared" ca="1" si="15"/>
        <v>10</v>
      </c>
      <c r="Q14" s="18">
        <f ca="1">SUMIF(Dati!AT30:AX30, "&gt;0")</f>
        <v>10</v>
      </c>
      <c r="R14" s="18">
        <f ca="1">SUMIF(Dati!AZ30:BB30, "&gt;0")</f>
        <v>6</v>
      </c>
      <c r="S14" s="18">
        <f ca="1">SUMIF(Dati!BD30:BF30, "&gt;0")</f>
        <v>0</v>
      </c>
      <c r="T14" s="18">
        <f ca="1">SUMIF(Dati!BH30:BJ30, "&gt;0")</f>
        <v>10</v>
      </c>
      <c r="U14" s="18">
        <f t="shared" ca="1" si="4"/>
        <v>10</v>
      </c>
      <c r="V14" s="19">
        <f t="shared" ca="1" si="4"/>
        <v>10</v>
      </c>
      <c r="W14" s="250">
        <f t="shared" ca="1" si="5"/>
        <v>76</v>
      </c>
      <c r="X14" s="11">
        <f t="shared" ca="1" si="16"/>
        <v>0</v>
      </c>
      <c r="Y14" s="18">
        <f t="shared" ca="1" si="6"/>
        <v>0</v>
      </c>
      <c r="Z14" s="18">
        <f t="shared" ca="1" si="6"/>
        <v>0</v>
      </c>
      <c r="AA14" s="18">
        <f t="shared" ca="1" si="6"/>
        <v>10</v>
      </c>
      <c r="AB14" s="18">
        <f t="shared" ca="1" si="6"/>
        <v>10</v>
      </c>
      <c r="AC14" s="18">
        <f t="shared" ca="1" si="6"/>
        <v>10</v>
      </c>
      <c r="AD14" s="18">
        <f t="shared" ca="1" si="6"/>
        <v>0</v>
      </c>
      <c r="AE14" s="18">
        <f t="shared" ca="1" si="6"/>
        <v>10</v>
      </c>
      <c r="AF14" s="19">
        <f ca="1">MIN(10, SUMIF(Dati!CG30:CQ30, "&gt;0"))</f>
        <v>2</v>
      </c>
      <c r="AG14" s="248">
        <f t="shared" ca="1" si="7"/>
        <v>42</v>
      </c>
      <c r="AH14" s="11">
        <f t="shared" ca="1" si="6"/>
        <v>0</v>
      </c>
      <c r="AI14" s="18">
        <f t="shared" ca="1" si="8"/>
        <v>0</v>
      </c>
      <c r="AJ14" s="18">
        <f t="shared" ca="1" si="8"/>
        <v>0</v>
      </c>
      <c r="AK14" s="18">
        <f t="shared" ca="1" si="8"/>
        <v>0</v>
      </c>
      <c r="AL14" s="18">
        <f t="shared" ca="1" si="8"/>
        <v>0</v>
      </c>
      <c r="AM14" s="18">
        <f t="shared" ca="1" si="8"/>
        <v>0</v>
      </c>
      <c r="AN14" s="18">
        <f t="shared" ca="1" si="8"/>
        <v>0</v>
      </c>
      <c r="AO14" s="18">
        <f ca="1">SUMIF(Dati!DH30:DJ30, "&gt;0")</f>
        <v>0</v>
      </c>
      <c r="AP14" s="18">
        <f ca="1">MIN(10, SUMIF(Dati!DL30:DP30, "&gt;0"))</f>
        <v>0</v>
      </c>
      <c r="AQ14" s="18">
        <f ca="1">SUMIF(Dati!DR30:DT30, "&gt;0")</f>
        <v>0</v>
      </c>
      <c r="AR14" s="18">
        <f t="shared" ca="1" si="8"/>
        <v>0</v>
      </c>
      <c r="AS14" s="18">
        <f t="shared" ca="1" si="8"/>
        <v>0</v>
      </c>
      <c r="AT14" s="19">
        <f ca="1">MIN(10,SUMIF(Dati!DZ30:EB30, "&gt;0"))</f>
        <v>2</v>
      </c>
      <c r="AU14" s="240">
        <f t="shared" ca="1" si="9"/>
        <v>2</v>
      </c>
      <c r="AV14" s="4">
        <f t="shared" ca="1" si="10"/>
        <v>164</v>
      </c>
    </row>
    <row r="15" spans="1:52" ht="15" customHeight="1">
      <c r="A15" s="234">
        <f t="shared" si="17"/>
        <v>31</v>
      </c>
      <c r="B15" s="257" t="str">
        <f t="shared" ca="1" si="11"/>
        <v>Stato Maggiore Esercito</v>
      </c>
      <c r="C15" s="11">
        <f t="shared" ca="1" si="12"/>
        <v>6</v>
      </c>
      <c r="D15" s="18">
        <f t="shared" ca="1" si="12"/>
        <v>10</v>
      </c>
      <c r="E15" s="18">
        <f t="shared" ca="1" si="12"/>
        <v>10</v>
      </c>
      <c r="F15" s="239">
        <f ca="1">MIN(10, SUMIF(Dati!K31:Q31, "&gt;0"))</f>
        <v>0</v>
      </c>
      <c r="G15" s="18">
        <f ca="1">MIN( 10, SUMIF(Dati!$S31:$Y31, "&gt;0"))</f>
        <v>6</v>
      </c>
      <c r="H15" s="18">
        <f t="shared" ca="1" si="12"/>
        <v>10</v>
      </c>
      <c r="I15" s="18">
        <f t="shared" ca="1" si="12"/>
        <v>10</v>
      </c>
      <c r="J15" s="18">
        <f t="shared" ca="1" si="12"/>
        <v>10</v>
      </c>
      <c r="K15" s="239">
        <f ca="1">SUMIF(Dati!AG31:AI31, "&gt;0")</f>
        <v>6</v>
      </c>
      <c r="L15" s="19">
        <f t="shared" ca="1" si="12"/>
        <v>10</v>
      </c>
      <c r="M15" s="251">
        <f t="shared" ca="1" si="13"/>
        <v>78</v>
      </c>
      <c r="N15" s="11">
        <f t="shared" ca="1" si="14"/>
        <v>10</v>
      </c>
      <c r="O15" s="18">
        <f t="shared" ca="1" si="15"/>
        <v>10</v>
      </c>
      <c r="P15" s="18">
        <f t="shared" ca="1" si="15"/>
        <v>0</v>
      </c>
      <c r="Q15" s="18">
        <f ca="1">SUMIF(Dati!AT31:AX31, "&gt;0")</f>
        <v>5</v>
      </c>
      <c r="R15" s="18">
        <f ca="1">SUMIF(Dati!AZ31:BB31, "&gt;0")</f>
        <v>4</v>
      </c>
      <c r="S15" s="18">
        <f ca="1">SUMIF(Dati!BD31:BF31, "&gt;0")</f>
        <v>0</v>
      </c>
      <c r="T15" s="18">
        <f ca="1">SUMIF(Dati!BH31:BJ31, "&gt;0")</f>
        <v>6</v>
      </c>
      <c r="U15" s="18">
        <f t="shared" ca="1" si="4"/>
        <v>0</v>
      </c>
      <c r="V15" s="19">
        <f t="shared" ca="1" si="4"/>
        <v>10</v>
      </c>
      <c r="W15" s="250">
        <f t="shared" ca="1" si="5"/>
        <v>45</v>
      </c>
      <c r="X15" s="11">
        <f t="shared" ca="1" si="16"/>
        <v>10</v>
      </c>
      <c r="Y15" s="18">
        <f t="shared" ca="1" si="6"/>
        <v>0</v>
      </c>
      <c r="Z15" s="18">
        <f t="shared" ca="1" si="6"/>
        <v>10</v>
      </c>
      <c r="AA15" s="18">
        <f t="shared" ca="1" si="6"/>
        <v>10</v>
      </c>
      <c r="AB15" s="18">
        <f t="shared" ca="1" si="6"/>
        <v>0</v>
      </c>
      <c r="AC15" s="18">
        <f t="shared" ca="1" si="6"/>
        <v>10</v>
      </c>
      <c r="AD15" s="18">
        <f t="shared" ca="1" si="6"/>
        <v>0</v>
      </c>
      <c r="AE15" s="18">
        <f t="shared" ca="1" si="6"/>
        <v>10</v>
      </c>
      <c r="AF15" s="19">
        <f ca="1">MIN(10, SUMIF(Dati!CG31:CQ31, "&gt;0"))</f>
        <v>2</v>
      </c>
      <c r="AG15" s="248">
        <f t="shared" ca="1" si="7"/>
        <v>52</v>
      </c>
      <c r="AH15" s="11">
        <f t="shared" ca="1" si="6"/>
        <v>10</v>
      </c>
      <c r="AI15" s="18">
        <f t="shared" ca="1" si="8"/>
        <v>0</v>
      </c>
      <c r="AJ15" s="18">
        <f t="shared" ca="1" si="8"/>
        <v>0</v>
      </c>
      <c r="AK15" s="18">
        <f t="shared" ca="1" si="8"/>
        <v>10</v>
      </c>
      <c r="AL15" s="18">
        <f t="shared" ca="1" si="8"/>
        <v>10</v>
      </c>
      <c r="AM15" s="18">
        <f t="shared" ca="1" si="8"/>
        <v>10</v>
      </c>
      <c r="AN15" s="18">
        <f t="shared" ca="1" si="8"/>
        <v>10</v>
      </c>
      <c r="AO15" s="18">
        <f ca="1">SUMIF(Dati!DH31:DJ31, "&gt;0")</f>
        <v>6</v>
      </c>
      <c r="AP15" s="18">
        <f ca="1">MIN(10, SUMIF(Dati!DL31:DP31, "&gt;0"))</f>
        <v>0</v>
      </c>
      <c r="AQ15" s="18">
        <f ca="1">SUMIF(Dati!DR31:DT31, "&gt;0")</f>
        <v>0</v>
      </c>
      <c r="AR15" s="18">
        <f t="shared" ca="1" si="8"/>
        <v>10</v>
      </c>
      <c r="AS15" s="18">
        <f t="shared" ca="1" si="8"/>
        <v>0</v>
      </c>
      <c r="AT15" s="19">
        <f ca="1">MIN(10,SUMIF(Dati!DZ31:EB31, "&gt;0"))</f>
        <v>2</v>
      </c>
      <c r="AU15" s="240">
        <f t="shared" ca="1" si="9"/>
        <v>68</v>
      </c>
      <c r="AV15" s="4">
        <f t="shared" ca="1" si="10"/>
        <v>243</v>
      </c>
    </row>
    <row r="16" spans="1:52" ht="15" customHeight="1">
      <c r="A16" s="234">
        <f t="shared" si="17"/>
        <v>32</v>
      </c>
      <c r="B16" s="257" t="str">
        <f t="shared" ca="1" si="11"/>
        <v>Stato Maggiore Marina</v>
      </c>
      <c r="C16" s="11">
        <f t="shared" ca="1" si="12"/>
        <v>6</v>
      </c>
      <c r="D16" s="18">
        <f t="shared" ca="1" si="12"/>
        <v>10</v>
      </c>
      <c r="E16" s="18">
        <f t="shared" ca="1" si="12"/>
        <v>10</v>
      </c>
      <c r="F16" s="239">
        <f ca="1">MIN(10, SUMIF(Dati!K32:Q32, "&gt;0"))</f>
        <v>5</v>
      </c>
      <c r="G16" s="18">
        <f ca="1">MIN( 10, SUMIF(Dati!$S32:$Y32, "&gt;0"))</f>
        <v>10</v>
      </c>
      <c r="H16" s="18">
        <f t="shared" ca="1" si="12"/>
        <v>10</v>
      </c>
      <c r="I16" s="18">
        <f t="shared" ca="1" si="12"/>
        <v>10</v>
      </c>
      <c r="J16" s="18">
        <f t="shared" ca="1" si="12"/>
        <v>0</v>
      </c>
      <c r="K16" s="239">
        <f ca="1">SUMIF(Dati!AG32:AI32, "&gt;0")</f>
        <v>6</v>
      </c>
      <c r="L16" s="19">
        <f t="shared" ca="1" si="12"/>
        <v>10</v>
      </c>
      <c r="M16" s="251">
        <f t="shared" ca="1" si="13"/>
        <v>77</v>
      </c>
      <c r="N16" s="11">
        <f t="shared" ca="1" si="14"/>
        <v>10</v>
      </c>
      <c r="O16" s="18">
        <f t="shared" ca="1" si="15"/>
        <v>10</v>
      </c>
      <c r="P16" s="18">
        <f t="shared" ca="1" si="15"/>
        <v>10</v>
      </c>
      <c r="Q16" s="18">
        <f ca="1">SUMIF(Dati!AT32:AX32, "&gt;0")</f>
        <v>10</v>
      </c>
      <c r="R16" s="18">
        <f ca="1">SUMIF(Dati!AZ32:BB32, "&gt;0")</f>
        <v>6</v>
      </c>
      <c r="S16" s="18">
        <f ca="1">SUMIF(Dati!BD32:BF32, "&gt;0")</f>
        <v>10</v>
      </c>
      <c r="T16" s="18">
        <f ca="1">SUMIF(Dati!BH32:BJ32, "&gt;0")</f>
        <v>10</v>
      </c>
      <c r="U16" s="18">
        <f t="shared" ca="1" si="4"/>
        <v>10</v>
      </c>
      <c r="V16" s="19">
        <f t="shared" ca="1" si="4"/>
        <v>10</v>
      </c>
      <c r="W16" s="250">
        <f t="shared" ca="1" si="5"/>
        <v>86</v>
      </c>
      <c r="X16" s="11">
        <f t="shared" ca="1" si="16"/>
        <v>0</v>
      </c>
      <c r="Y16" s="18">
        <f t="shared" ca="1" si="6"/>
        <v>0</v>
      </c>
      <c r="Z16" s="18">
        <f t="shared" ca="1" si="6"/>
        <v>0</v>
      </c>
      <c r="AA16" s="18">
        <f t="shared" ca="1" si="6"/>
        <v>0</v>
      </c>
      <c r="AB16" s="18">
        <f t="shared" ca="1" si="6"/>
        <v>10</v>
      </c>
      <c r="AC16" s="18">
        <f t="shared" ca="1" si="6"/>
        <v>10</v>
      </c>
      <c r="AD16" s="18">
        <f t="shared" ca="1" si="6"/>
        <v>10</v>
      </c>
      <c r="AE16" s="18">
        <f t="shared" ca="1" si="6"/>
        <v>10</v>
      </c>
      <c r="AF16" s="19">
        <f ca="1">MIN(10, SUMIF(Dati!CG32:CQ32, "&gt;0"))</f>
        <v>10</v>
      </c>
      <c r="AG16" s="248">
        <f t="shared" ca="1" si="7"/>
        <v>50</v>
      </c>
      <c r="AH16" s="11">
        <f t="shared" ca="1" si="6"/>
        <v>10</v>
      </c>
      <c r="AI16" s="18">
        <f t="shared" ca="1" si="8"/>
        <v>10</v>
      </c>
      <c r="AJ16" s="18">
        <f t="shared" ca="1" si="8"/>
        <v>0</v>
      </c>
      <c r="AK16" s="18">
        <f t="shared" ca="1" si="8"/>
        <v>10</v>
      </c>
      <c r="AL16" s="18">
        <f t="shared" ca="1" si="8"/>
        <v>10</v>
      </c>
      <c r="AM16" s="18">
        <f t="shared" ca="1" si="8"/>
        <v>10</v>
      </c>
      <c r="AN16" s="18">
        <f t="shared" ca="1" si="8"/>
        <v>0</v>
      </c>
      <c r="AO16" s="18">
        <f ca="1">SUMIF(Dati!DH32:DJ32, "&gt;0")</f>
        <v>0</v>
      </c>
      <c r="AP16" s="18">
        <f ca="1">MIN(10, SUMIF(Dati!DL32:DP32, "&gt;0"))</f>
        <v>0</v>
      </c>
      <c r="AQ16" s="18">
        <f ca="1">SUMIF(Dati!DR32:DT32, "&gt;0")</f>
        <v>0</v>
      </c>
      <c r="AR16" s="18">
        <f t="shared" ca="1" si="8"/>
        <v>0</v>
      </c>
      <c r="AS16" s="18">
        <f t="shared" ca="1" si="8"/>
        <v>10</v>
      </c>
      <c r="AT16" s="19">
        <f ca="1">MIN(10,SUMIF(Dati!DZ32:EB32, "&gt;0"))</f>
        <v>6</v>
      </c>
      <c r="AU16" s="240">
        <f t="shared" ca="1" si="9"/>
        <v>66</v>
      </c>
      <c r="AV16" s="4">
        <f t="shared" ca="1" si="10"/>
        <v>279</v>
      </c>
    </row>
    <row r="17" spans="1:48" ht="15" customHeight="1">
      <c r="A17" s="234">
        <f t="shared" si="17"/>
        <v>33</v>
      </c>
      <c r="B17" s="257" t="str">
        <f t="shared" ca="1" si="11"/>
        <v>Stato Maggiore Aeronautica</v>
      </c>
      <c r="C17" s="11">
        <f t="shared" ca="1" si="12"/>
        <v>8</v>
      </c>
      <c r="D17" s="18">
        <f t="shared" ca="1" si="12"/>
        <v>10</v>
      </c>
      <c r="E17" s="18">
        <f t="shared" ca="1" si="12"/>
        <v>10</v>
      </c>
      <c r="F17" s="239">
        <f ca="1">MIN(10, SUMIF(Dati!K33:Q33, "&gt;0"))</f>
        <v>5</v>
      </c>
      <c r="G17" s="18">
        <f ca="1">MIN( 10, SUMIF(Dati!$S33:$Y33, "&gt;0"))</f>
        <v>10</v>
      </c>
      <c r="H17" s="18">
        <f t="shared" ca="1" si="12"/>
        <v>10</v>
      </c>
      <c r="I17" s="18">
        <f t="shared" ca="1" si="12"/>
        <v>10</v>
      </c>
      <c r="J17" s="18">
        <f t="shared" ca="1" si="12"/>
        <v>0</v>
      </c>
      <c r="K17" s="239">
        <f ca="1">SUMIF(Dati!AG33:AI33, "&gt;0")</f>
        <v>10</v>
      </c>
      <c r="L17" s="19">
        <f t="shared" ca="1" si="12"/>
        <v>10</v>
      </c>
      <c r="M17" s="251">
        <f t="shared" ca="1" si="13"/>
        <v>83</v>
      </c>
      <c r="N17" s="11">
        <f t="shared" ca="1" si="14"/>
        <v>10</v>
      </c>
      <c r="O17" s="18">
        <f t="shared" ca="1" si="15"/>
        <v>10</v>
      </c>
      <c r="P17" s="18">
        <f t="shared" ca="1" si="15"/>
        <v>10</v>
      </c>
      <c r="Q17" s="18">
        <f ca="1">SUMIF(Dati!AT33:AX33, "&gt;0")</f>
        <v>10</v>
      </c>
      <c r="R17" s="18">
        <f ca="1">SUMIF(Dati!AZ33:BB33, "&gt;0")</f>
        <v>6</v>
      </c>
      <c r="S17" s="18">
        <f ca="1">SUMIF(Dati!BD33:BF33, "&gt;0")</f>
        <v>6</v>
      </c>
      <c r="T17" s="18">
        <f ca="1">SUMIF(Dati!BH33:BJ33, "&gt;0")</f>
        <v>10</v>
      </c>
      <c r="U17" s="18">
        <f t="shared" ca="1" si="4"/>
        <v>10</v>
      </c>
      <c r="V17" s="19">
        <f t="shared" ca="1" si="4"/>
        <v>10</v>
      </c>
      <c r="W17" s="250">
        <f t="shared" ca="1" si="5"/>
        <v>82</v>
      </c>
      <c r="X17" s="11">
        <f t="shared" ca="1" si="16"/>
        <v>10</v>
      </c>
      <c r="Y17" s="18">
        <f t="shared" ca="1" si="6"/>
        <v>6</v>
      </c>
      <c r="Z17" s="18">
        <f t="shared" ca="1" si="6"/>
        <v>6</v>
      </c>
      <c r="AA17" s="18">
        <f t="shared" ca="1" si="6"/>
        <v>10</v>
      </c>
      <c r="AB17" s="18">
        <f t="shared" ca="1" si="6"/>
        <v>10</v>
      </c>
      <c r="AC17" s="18">
        <f t="shared" ca="1" si="6"/>
        <v>10</v>
      </c>
      <c r="AD17" s="18">
        <f t="shared" ca="1" si="6"/>
        <v>10</v>
      </c>
      <c r="AE17" s="18">
        <f t="shared" ca="1" si="6"/>
        <v>10</v>
      </c>
      <c r="AF17" s="19">
        <f ca="1">MIN(10, SUMIF(Dati!CG33:CQ33, "&gt;0"))</f>
        <v>10</v>
      </c>
      <c r="AG17" s="248">
        <f t="shared" ca="1" si="7"/>
        <v>82</v>
      </c>
      <c r="AH17" s="11">
        <f t="shared" ca="1" si="6"/>
        <v>10</v>
      </c>
      <c r="AI17" s="18">
        <f t="shared" ca="1" si="8"/>
        <v>10</v>
      </c>
      <c r="AJ17" s="18">
        <f t="shared" ca="1" si="8"/>
        <v>6</v>
      </c>
      <c r="AK17" s="18">
        <f t="shared" ca="1" si="8"/>
        <v>10</v>
      </c>
      <c r="AL17" s="18">
        <f t="shared" ca="1" si="8"/>
        <v>10</v>
      </c>
      <c r="AM17" s="18">
        <f t="shared" ca="1" si="8"/>
        <v>10</v>
      </c>
      <c r="AN17" s="18">
        <f t="shared" ca="1" si="8"/>
        <v>10</v>
      </c>
      <c r="AO17" s="18">
        <f ca="1">SUMIF(Dati!DH33:DJ33, "&gt;0")</f>
        <v>10</v>
      </c>
      <c r="AP17" s="18">
        <f ca="1">MIN(10, SUMIF(Dati!DL33:DP33, "&gt;0"))</f>
        <v>10</v>
      </c>
      <c r="AQ17" s="18">
        <f ca="1">SUMIF(Dati!DR33:DT33, "&gt;0")</f>
        <v>8</v>
      </c>
      <c r="AR17" s="18">
        <f t="shared" ca="1" si="8"/>
        <v>0</v>
      </c>
      <c r="AS17" s="18">
        <f t="shared" ca="1" si="8"/>
        <v>10</v>
      </c>
      <c r="AT17" s="19">
        <f ca="1">MIN(10,SUMIF(Dati!DZ33:EB33, "&gt;0"))</f>
        <v>6</v>
      </c>
      <c r="AU17" s="240">
        <f t="shared" ca="1" si="9"/>
        <v>110</v>
      </c>
      <c r="AV17" s="4">
        <f t="shared" ca="1" si="10"/>
        <v>357</v>
      </c>
    </row>
    <row r="18" spans="1:48" ht="15" customHeight="1">
      <c r="A18" s="234">
        <f t="shared" si="17"/>
        <v>34</v>
      </c>
      <c r="B18" s="257" t="str">
        <f t="shared" ca="1" si="11"/>
        <v xml:space="preserve">Arma dei Carabinieri                                 </v>
      </c>
      <c r="C18" s="11">
        <f t="shared" ca="1" si="12"/>
        <v>8</v>
      </c>
      <c r="D18" s="18">
        <f t="shared" ca="1" si="12"/>
        <v>10</v>
      </c>
      <c r="E18" s="18">
        <f t="shared" ca="1" si="12"/>
        <v>10</v>
      </c>
      <c r="F18" s="239">
        <f ca="1">MIN(10, SUMIF(Dati!K34:Q34, "&gt;0"))</f>
        <v>3</v>
      </c>
      <c r="G18" s="18">
        <f ca="1">MIN( 10, SUMIF(Dati!$S34:$Y34, "&gt;0"))</f>
        <v>8</v>
      </c>
      <c r="H18" s="18">
        <f t="shared" ca="1" si="12"/>
        <v>10</v>
      </c>
      <c r="I18" s="18">
        <f t="shared" ca="1" si="12"/>
        <v>0</v>
      </c>
      <c r="J18" s="18">
        <f t="shared" ca="1" si="12"/>
        <v>10</v>
      </c>
      <c r="K18" s="239">
        <f ca="1">SUMIF(Dati!AG34:AI34, "&gt;0")</f>
        <v>10</v>
      </c>
      <c r="L18" s="19">
        <f t="shared" ca="1" si="12"/>
        <v>10</v>
      </c>
      <c r="M18" s="251">
        <f t="shared" ca="1" si="13"/>
        <v>79</v>
      </c>
      <c r="N18" s="11">
        <f t="shared" ca="1" si="14"/>
        <v>10</v>
      </c>
      <c r="O18" s="18">
        <f t="shared" ca="1" si="15"/>
        <v>10</v>
      </c>
      <c r="P18" s="18">
        <f t="shared" ca="1" si="15"/>
        <v>10</v>
      </c>
      <c r="Q18" s="18">
        <f ca="1">SUMIF(Dati!AT34:AX34, "&gt;0")</f>
        <v>5</v>
      </c>
      <c r="R18" s="18">
        <f ca="1">SUMIF(Dati!AZ34:BB34, "&gt;0")</f>
        <v>4</v>
      </c>
      <c r="S18" s="18">
        <f ca="1">SUMIF(Dati!BD34:BF34, "&gt;0")</f>
        <v>0</v>
      </c>
      <c r="T18" s="18">
        <f ca="1">SUMIF(Dati!BH34:BJ34, "&gt;0")</f>
        <v>10</v>
      </c>
      <c r="U18" s="18">
        <f t="shared" ca="1" si="4"/>
        <v>0</v>
      </c>
      <c r="V18" s="19">
        <f t="shared" ca="1" si="4"/>
        <v>10</v>
      </c>
      <c r="W18" s="250">
        <f t="shared" ca="1" si="5"/>
        <v>59</v>
      </c>
      <c r="X18" s="11">
        <f t="shared" ca="1" si="16"/>
        <v>10</v>
      </c>
      <c r="Y18" s="18">
        <f t="shared" ca="1" si="6"/>
        <v>6</v>
      </c>
      <c r="Z18" s="18">
        <f t="shared" ca="1" si="6"/>
        <v>6</v>
      </c>
      <c r="AA18" s="18">
        <f t="shared" ca="1" si="6"/>
        <v>10</v>
      </c>
      <c r="AB18" s="18">
        <f t="shared" ca="1" si="6"/>
        <v>10</v>
      </c>
      <c r="AC18" s="18">
        <f t="shared" ca="1" si="6"/>
        <v>10</v>
      </c>
      <c r="AD18" s="18">
        <f t="shared" ca="1" si="6"/>
        <v>10</v>
      </c>
      <c r="AE18" s="18">
        <f t="shared" ca="1" si="6"/>
        <v>10</v>
      </c>
      <c r="AF18" s="19">
        <f ca="1">MIN(10, SUMIF(Dati!CG34:CQ34, "&gt;0"))</f>
        <v>10</v>
      </c>
      <c r="AG18" s="248">
        <f t="shared" ca="1" si="7"/>
        <v>82</v>
      </c>
      <c r="AH18" s="11">
        <f t="shared" ca="1" si="6"/>
        <v>10</v>
      </c>
      <c r="AI18" s="18">
        <f t="shared" ca="1" si="8"/>
        <v>10</v>
      </c>
      <c r="AJ18" s="18">
        <f t="shared" ca="1" si="8"/>
        <v>10</v>
      </c>
      <c r="AK18" s="18">
        <f t="shared" ca="1" si="8"/>
        <v>10</v>
      </c>
      <c r="AL18" s="18">
        <f t="shared" ca="1" si="8"/>
        <v>10</v>
      </c>
      <c r="AM18" s="18">
        <f t="shared" ca="1" si="8"/>
        <v>10</v>
      </c>
      <c r="AN18" s="18">
        <f t="shared" ca="1" si="8"/>
        <v>10</v>
      </c>
      <c r="AO18" s="18">
        <f ca="1">SUMIF(Dati!DH34:DJ34, "&gt;0")</f>
        <v>10</v>
      </c>
      <c r="AP18" s="18">
        <f ca="1">MIN(10, SUMIF(Dati!DL34:DP34, "&gt;0"))</f>
        <v>10</v>
      </c>
      <c r="AQ18" s="18">
        <f ca="1">SUMIF(Dati!DR34:DT34, "&gt;0")</f>
        <v>8</v>
      </c>
      <c r="AR18" s="18">
        <f t="shared" ca="1" si="8"/>
        <v>8</v>
      </c>
      <c r="AS18" s="18">
        <f t="shared" ca="1" si="8"/>
        <v>10</v>
      </c>
      <c r="AT18" s="19">
        <f ca="1">MIN(10,SUMIF(Dati!DZ34:EB34, "&gt;0"))</f>
        <v>10</v>
      </c>
      <c r="AU18" s="240">
        <f t="shared" ca="1" si="9"/>
        <v>126</v>
      </c>
      <c r="AV18" s="4">
        <f t="shared" ca="1" si="10"/>
        <v>346</v>
      </c>
    </row>
    <row r="19" spans="1:48" ht="15" customHeight="1">
      <c r="A19" s="234">
        <f t="shared" si="17"/>
        <v>35</v>
      </c>
      <c r="B19" s="257" t="str">
        <f t="shared" ca="1" si="11"/>
        <v>Dipartimento delle Finanze</v>
      </c>
      <c r="C19" s="11">
        <f t="shared" ca="1" si="12"/>
        <v>8</v>
      </c>
      <c r="D19" s="18">
        <f t="shared" ca="1" si="12"/>
        <v>10</v>
      </c>
      <c r="E19" s="18">
        <f t="shared" ca="1" si="12"/>
        <v>10</v>
      </c>
      <c r="F19" s="239">
        <f ca="1">MIN(10, SUMIF(Dati!K35:Q35, "&gt;0"))</f>
        <v>5</v>
      </c>
      <c r="G19" s="18">
        <f ca="1">MIN( 10, SUMIF(Dati!$S35:$Y35, "&gt;0"))</f>
        <v>10</v>
      </c>
      <c r="H19" s="18">
        <f t="shared" ca="1" si="12"/>
        <v>0</v>
      </c>
      <c r="I19" s="18">
        <f t="shared" ca="1" si="12"/>
        <v>0</v>
      </c>
      <c r="J19" s="18">
        <f t="shared" ca="1" si="12"/>
        <v>10</v>
      </c>
      <c r="K19" s="239">
        <f ca="1">SUMIF(Dati!AG35:AI35, "&gt;0")</f>
        <v>10</v>
      </c>
      <c r="L19" s="19">
        <f t="shared" ca="1" si="12"/>
        <v>10</v>
      </c>
      <c r="M19" s="251">
        <f t="shared" ca="1" si="13"/>
        <v>73</v>
      </c>
      <c r="N19" s="11">
        <f t="shared" ca="1" si="14"/>
        <v>10</v>
      </c>
      <c r="O19" s="18">
        <f t="shared" ca="1" si="15"/>
        <v>10</v>
      </c>
      <c r="P19" s="18">
        <f t="shared" ca="1" si="15"/>
        <v>10</v>
      </c>
      <c r="Q19" s="18">
        <f ca="1">SUMIF(Dati!AT35:AX35, "&gt;0")</f>
        <v>5</v>
      </c>
      <c r="R19" s="18">
        <f ca="1">SUMIF(Dati!AZ35:BB35, "&gt;0")</f>
        <v>6</v>
      </c>
      <c r="S19" s="18">
        <f ca="1">SUMIF(Dati!BD35:BF35, "&gt;0")</f>
        <v>10</v>
      </c>
      <c r="T19" s="18">
        <f ca="1">SUMIF(Dati!BH35:BJ35, "&gt;0")</f>
        <v>10</v>
      </c>
      <c r="U19" s="18">
        <f t="shared" ca="1" si="4"/>
        <v>10</v>
      </c>
      <c r="V19" s="19">
        <f t="shared" ca="1" si="4"/>
        <v>10</v>
      </c>
      <c r="W19" s="250">
        <f t="shared" ca="1" si="5"/>
        <v>81</v>
      </c>
      <c r="X19" s="11">
        <f t="shared" ca="1" si="16"/>
        <v>10</v>
      </c>
      <c r="Y19" s="18">
        <f t="shared" ca="1" si="6"/>
        <v>10</v>
      </c>
      <c r="Z19" s="18">
        <f t="shared" ca="1" si="6"/>
        <v>6</v>
      </c>
      <c r="AA19" s="18">
        <f t="shared" ca="1" si="6"/>
        <v>10</v>
      </c>
      <c r="AB19" s="18">
        <f t="shared" ca="1" si="6"/>
        <v>10</v>
      </c>
      <c r="AC19" s="18">
        <f t="shared" ca="1" si="6"/>
        <v>10</v>
      </c>
      <c r="AD19" s="18">
        <f t="shared" ca="1" si="6"/>
        <v>10</v>
      </c>
      <c r="AE19" s="18">
        <f t="shared" ca="1" si="6"/>
        <v>10</v>
      </c>
      <c r="AF19" s="19">
        <f ca="1">MIN(10, SUMIF(Dati!CG35:CQ35, "&gt;0"))</f>
        <v>10</v>
      </c>
      <c r="AG19" s="248">
        <f t="shared" ca="1" si="7"/>
        <v>86</v>
      </c>
      <c r="AH19" s="11">
        <f t="shared" ca="1" si="6"/>
        <v>10</v>
      </c>
      <c r="AI19" s="18">
        <f t="shared" ca="1" si="8"/>
        <v>10</v>
      </c>
      <c r="AJ19" s="18">
        <f t="shared" ca="1" si="8"/>
        <v>10</v>
      </c>
      <c r="AK19" s="18">
        <f t="shared" ca="1" si="8"/>
        <v>10</v>
      </c>
      <c r="AL19" s="18">
        <f t="shared" ca="1" si="8"/>
        <v>10</v>
      </c>
      <c r="AM19" s="18">
        <f t="shared" ca="1" si="8"/>
        <v>10</v>
      </c>
      <c r="AN19" s="18">
        <f t="shared" ca="1" si="8"/>
        <v>10</v>
      </c>
      <c r="AO19" s="18">
        <f ca="1">SUMIF(Dati!DH35:DJ35, "&gt;0")</f>
        <v>10</v>
      </c>
      <c r="AP19" s="18">
        <f ca="1">MIN(10, SUMIF(Dati!DL35:DP35, "&gt;0"))</f>
        <v>10</v>
      </c>
      <c r="AQ19" s="18">
        <f ca="1">SUMIF(Dati!DR35:DT35, "&gt;0")</f>
        <v>6</v>
      </c>
      <c r="AR19" s="18">
        <f t="shared" ca="1" si="8"/>
        <v>8</v>
      </c>
      <c r="AS19" s="18">
        <f t="shared" ca="1" si="8"/>
        <v>10</v>
      </c>
      <c r="AT19" s="19">
        <f ca="1">MIN(10,SUMIF(Dati!DZ35:EB35, "&gt;0"))</f>
        <v>6</v>
      </c>
      <c r="AU19" s="240">
        <f t="shared" ca="1" si="9"/>
        <v>120</v>
      </c>
      <c r="AV19" s="4">
        <f t="shared" ca="1" si="10"/>
        <v>360</v>
      </c>
    </row>
    <row r="20" spans="1:48" ht="15" customHeight="1">
      <c r="A20" s="234">
        <f t="shared" si="17"/>
        <v>36</v>
      </c>
      <c r="B20" s="257" t="str">
        <f t="shared" ca="1" si="11"/>
        <v xml:space="preserve">Ministero dell'economia e finanze - Area tesoro        </v>
      </c>
      <c r="C20" s="11">
        <f t="shared" ca="1" si="12"/>
        <v>8</v>
      </c>
      <c r="D20" s="18">
        <f t="shared" ca="1" si="12"/>
        <v>10</v>
      </c>
      <c r="E20" s="18">
        <f t="shared" ca="1" si="12"/>
        <v>10</v>
      </c>
      <c r="F20" s="239">
        <f ca="1">MIN(10, SUMIF(Dati!K36:Q36, "&gt;0"))</f>
        <v>8</v>
      </c>
      <c r="G20" s="18">
        <f ca="1">MIN( 10, SUMIF(Dati!$S36:$Y36, "&gt;0"))</f>
        <v>10</v>
      </c>
      <c r="H20" s="18">
        <f t="shared" ca="1" si="12"/>
        <v>6</v>
      </c>
      <c r="I20" s="18">
        <f t="shared" ca="1" si="12"/>
        <v>10</v>
      </c>
      <c r="J20" s="18">
        <f t="shared" ca="1" si="12"/>
        <v>0</v>
      </c>
      <c r="K20" s="239">
        <f ca="1">SUMIF(Dati!AG36:AI36, "&gt;0")</f>
        <v>10</v>
      </c>
      <c r="L20" s="19">
        <f t="shared" ca="1" si="12"/>
        <v>10</v>
      </c>
      <c r="M20" s="251">
        <f t="shared" ca="1" si="13"/>
        <v>82</v>
      </c>
      <c r="N20" s="11">
        <f t="shared" ca="1" si="14"/>
        <v>10</v>
      </c>
      <c r="O20" s="18">
        <f t="shared" ca="1" si="15"/>
        <v>10</v>
      </c>
      <c r="P20" s="18">
        <f t="shared" ca="1" si="15"/>
        <v>10</v>
      </c>
      <c r="Q20" s="18">
        <f ca="1">SUMIF(Dati!AT36:AX36, "&gt;0")</f>
        <v>0</v>
      </c>
      <c r="R20" s="18">
        <f ca="1">SUMIF(Dati!AZ36:BB36, "&gt;0")</f>
        <v>10</v>
      </c>
      <c r="S20" s="18">
        <f ca="1">SUMIF(Dati!BD36:BF36, "&gt;0")</f>
        <v>10</v>
      </c>
      <c r="T20" s="18">
        <f ca="1">SUMIF(Dati!BH36:BJ36, "&gt;0")</f>
        <v>10</v>
      </c>
      <c r="U20" s="18">
        <f t="shared" ca="1" si="4"/>
        <v>10</v>
      </c>
      <c r="V20" s="19">
        <f t="shared" ca="1" si="4"/>
        <v>0</v>
      </c>
      <c r="W20" s="250">
        <f t="shared" ca="1" si="5"/>
        <v>70</v>
      </c>
      <c r="X20" s="11">
        <f t="shared" ca="1" si="16"/>
        <v>0</v>
      </c>
      <c r="Y20" s="18">
        <f t="shared" ca="1" si="6"/>
        <v>6</v>
      </c>
      <c r="Z20" s="18">
        <f t="shared" ca="1" si="6"/>
        <v>0</v>
      </c>
      <c r="AA20" s="18">
        <f t="shared" ca="1" si="6"/>
        <v>10</v>
      </c>
      <c r="AB20" s="18">
        <f t="shared" ca="1" si="6"/>
        <v>10</v>
      </c>
      <c r="AC20" s="18">
        <f t="shared" ca="1" si="6"/>
        <v>10</v>
      </c>
      <c r="AD20" s="18">
        <f t="shared" ca="1" si="6"/>
        <v>10</v>
      </c>
      <c r="AE20" s="18">
        <f t="shared" ca="1" si="6"/>
        <v>10</v>
      </c>
      <c r="AF20" s="19">
        <f ca="1">MIN(10, SUMIF(Dati!CG36:CQ36, "&gt;0"))</f>
        <v>10</v>
      </c>
      <c r="AG20" s="248">
        <f t="shared" ca="1" si="7"/>
        <v>66</v>
      </c>
      <c r="AH20" s="11">
        <f t="shared" ca="1" si="6"/>
        <v>0</v>
      </c>
      <c r="AI20" s="18">
        <f t="shared" ca="1" si="8"/>
        <v>0</v>
      </c>
      <c r="AJ20" s="18">
        <f t="shared" ca="1" si="8"/>
        <v>6</v>
      </c>
      <c r="AK20" s="18">
        <f t="shared" ca="1" si="8"/>
        <v>10</v>
      </c>
      <c r="AL20" s="18">
        <f t="shared" ca="1" si="8"/>
        <v>10</v>
      </c>
      <c r="AM20" s="18">
        <f t="shared" ref="AM20:AS20" ca="1" si="18">INDIRECT(ADDRESS($A20,AM$3,1,FALSE, "Dati"), FALSE)</f>
        <v>10</v>
      </c>
      <c r="AN20" s="18">
        <f t="shared" ca="1" si="18"/>
        <v>10</v>
      </c>
      <c r="AO20" s="18">
        <f ca="1">SUMIF(Dati!DH36:DJ36, "&gt;0")</f>
        <v>10</v>
      </c>
      <c r="AP20" s="18">
        <f ca="1">MIN(10, SUMIF(Dati!DL36:DP36, "&gt;0"))</f>
        <v>10</v>
      </c>
      <c r="AQ20" s="18">
        <f ca="1">SUMIF(Dati!DR36:DT36, "&gt;0")</f>
        <v>8</v>
      </c>
      <c r="AR20" s="18">
        <f t="shared" ca="1" si="18"/>
        <v>8</v>
      </c>
      <c r="AS20" s="18">
        <f t="shared" ca="1" si="18"/>
        <v>10</v>
      </c>
      <c r="AT20" s="19">
        <f ca="1">MIN(10,SUMIF(Dati!DZ36:EB36, "&gt;0"))</f>
        <v>2</v>
      </c>
      <c r="AU20" s="240">
        <f t="shared" ca="1" si="9"/>
        <v>94</v>
      </c>
      <c r="AV20" s="4">
        <f t="shared" ca="1" si="10"/>
        <v>312</v>
      </c>
    </row>
    <row r="21" spans="1:48" ht="15" customHeight="1">
      <c r="A21" s="234">
        <f t="shared" si="17"/>
        <v>37</v>
      </c>
      <c r="B21" s="257" t="str">
        <f t="shared" ca="1" si="11"/>
        <v xml:space="preserve">Ministero della giustizia                             </v>
      </c>
      <c r="C21" s="11">
        <f t="shared" ref="C21:J21" ca="1" si="19">INDIRECT(ADDRESS($A21,C$3,1,FALSE, "Dati"), FALSE)</f>
        <v>8</v>
      </c>
      <c r="D21" s="18">
        <f t="shared" ca="1" si="19"/>
        <v>10</v>
      </c>
      <c r="E21" s="18">
        <f t="shared" ca="1" si="19"/>
        <v>10</v>
      </c>
      <c r="F21" s="239">
        <f ca="1">MIN(10, SUMIF(Dati!K37:Q37, "&gt;0"))</f>
        <v>10</v>
      </c>
      <c r="G21" s="18">
        <f ca="1">MIN( 10, SUMIF(Dati!$S37:$Y37, "&gt;0"))</f>
        <v>10</v>
      </c>
      <c r="H21" s="18">
        <f t="shared" ca="1" si="19"/>
        <v>10</v>
      </c>
      <c r="I21" s="18">
        <f t="shared" ca="1" si="19"/>
        <v>10</v>
      </c>
      <c r="J21" s="18">
        <f t="shared" ca="1" si="19"/>
        <v>0</v>
      </c>
      <c r="K21" s="239">
        <f ca="1">SUMIF(Dati!AG37:AI37, "&gt;0")</f>
        <v>10</v>
      </c>
      <c r="L21" s="19">
        <f t="shared" ref="D21:L36" ca="1" si="20">INDIRECT(ADDRESS($A21,L$3,1,FALSE, "Dati"), FALSE)</f>
        <v>10</v>
      </c>
      <c r="M21" s="251">
        <f t="shared" ca="1" si="13"/>
        <v>88</v>
      </c>
      <c r="N21" s="11">
        <f t="shared" ref="N21:N50" ca="1" si="21">INDIRECT(ADDRESS($A21,N$3,1,FALSE, "Dati"), FALSE)</f>
        <v>10</v>
      </c>
      <c r="O21" s="18">
        <f t="shared" ca="1" si="15"/>
        <v>10</v>
      </c>
      <c r="P21" s="18">
        <f t="shared" ca="1" si="15"/>
        <v>10</v>
      </c>
      <c r="Q21" s="18">
        <f ca="1">SUMIF(Dati!AT37:AX37, "&gt;0")</f>
        <v>10</v>
      </c>
      <c r="R21" s="18">
        <f ca="1">SUMIF(Dati!AZ37:BB37, "&gt;0")</f>
        <v>10</v>
      </c>
      <c r="S21" s="18">
        <f ca="1">SUMIF(Dati!BD37:BF37, "&gt;0")</f>
        <v>10</v>
      </c>
      <c r="T21" s="18">
        <f ca="1">SUMIF(Dati!BH37:BJ37, "&gt;0")</f>
        <v>10</v>
      </c>
      <c r="U21" s="18">
        <f t="shared" ref="U21:U50" ca="1" si="22">INDIRECT(ADDRESS($A21,U$3,1,FALSE, "Dati"), FALSE)</f>
        <v>10</v>
      </c>
      <c r="V21" s="19">
        <f t="shared" ref="V21:V50" ca="1" si="23">INDIRECT(ADDRESS($A21,V$3,1,FALSE, "Dati"), FALSE)</f>
        <v>10</v>
      </c>
      <c r="W21" s="250">
        <f t="shared" ca="1" si="5"/>
        <v>90</v>
      </c>
      <c r="X21" s="11">
        <f t="shared" ref="X21:AE50" ca="1" si="24">INDIRECT(ADDRESS($A21,X$3,1,FALSE, "Dati"), FALSE)</f>
        <v>0</v>
      </c>
      <c r="Y21" s="18">
        <f t="shared" ca="1" si="24"/>
        <v>6</v>
      </c>
      <c r="Z21" s="18">
        <f t="shared" ca="1" si="24"/>
        <v>6</v>
      </c>
      <c r="AA21" s="18">
        <f t="shared" ca="1" si="24"/>
        <v>10</v>
      </c>
      <c r="AB21" s="18">
        <f t="shared" ca="1" si="24"/>
        <v>10</v>
      </c>
      <c r="AC21" s="18">
        <f t="shared" ca="1" si="24"/>
        <v>10</v>
      </c>
      <c r="AD21" s="18">
        <f t="shared" ca="1" si="24"/>
        <v>10</v>
      </c>
      <c r="AE21" s="18">
        <f t="shared" ca="1" si="24"/>
        <v>10</v>
      </c>
      <c r="AF21" s="19">
        <f ca="1">MIN(10, SUMIF(Dati!CG37:CQ37, "&gt;0"))</f>
        <v>10</v>
      </c>
      <c r="AG21" s="248">
        <f t="shared" ca="1" si="7"/>
        <v>72</v>
      </c>
      <c r="AH21" s="11">
        <f t="shared" ref="AH21:AS21" ca="1" si="25">INDIRECT(ADDRESS($A21,AH$3,1,FALSE, "Dati"), FALSE)</f>
        <v>0</v>
      </c>
      <c r="AI21" s="18">
        <f t="shared" ca="1" si="25"/>
        <v>0</v>
      </c>
      <c r="AJ21" s="18">
        <f t="shared" ca="1" si="25"/>
        <v>6</v>
      </c>
      <c r="AK21" s="18">
        <f t="shared" ca="1" si="25"/>
        <v>10</v>
      </c>
      <c r="AL21" s="18">
        <f t="shared" ca="1" si="25"/>
        <v>10</v>
      </c>
      <c r="AM21" s="18">
        <f t="shared" ca="1" si="25"/>
        <v>10</v>
      </c>
      <c r="AN21" s="18">
        <f t="shared" ca="1" si="25"/>
        <v>10</v>
      </c>
      <c r="AO21" s="18">
        <f ca="1">SUMIF(Dati!DH37:DJ37, "&gt;0")</f>
        <v>10</v>
      </c>
      <c r="AP21" s="18">
        <f ca="1">MIN(10, SUMIF(Dati!DL37:DP37, "&gt;0"))</f>
        <v>10</v>
      </c>
      <c r="AQ21" s="18">
        <f ca="1">SUMIF(Dati!DR37:DT37, "&gt;0")</f>
        <v>0</v>
      </c>
      <c r="AR21" s="18">
        <f t="shared" ca="1" si="25"/>
        <v>0</v>
      </c>
      <c r="AS21" s="18">
        <f t="shared" ca="1" si="25"/>
        <v>0</v>
      </c>
      <c r="AT21" s="19">
        <f ca="1">MIN(10,SUMIF(Dati!DZ37:EB37, "&gt;0"))</f>
        <v>2</v>
      </c>
      <c r="AU21" s="240">
        <f t="shared" ca="1" si="9"/>
        <v>68</v>
      </c>
      <c r="AV21" s="4">
        <f t="shared" ca="1" si="10"/>
        <v>318</v>
      </c>
    </row>
    <row r="22" spans="1:48" ht="15" customHeight="1">
      <c r="A22" s="234">
        <f t="shared" si="17"/>
        <v>38</v>
      </c>
      <c r="B22" s="257" t="str">
        <f t="shared" ca="1" si="11"/>
        <v xml:space="preserve">Ministero dell'interno                                                                              </v>
      </c>
      <c r="C22" s="11">
        <f t="shared" ref="C22:C50" ca="1" si="26">INDIRECT(ADDRESS($A22,C$3,1,FALSE, "Dati"), FALSE)</f>
        <v>6</v>
      </c>
      <c r="D22" s="18">
        <f t="shared" ca="1" si="20"/>
        <v>10</v>
      </c>
      <c r="E22" s="18">
        <f t="shared" ca="1" si="20"/>
        <v>10</v>
      </c>
      <c r="F22" s="239">
        <f ca="1">MIN(10, SUMIF(Dati!K38:Q38, "&gt;0"))</f>
        <v>10</v>
      </c>
      <c r="G22" s="18">
        <f ca="1">MIN( 10, SUMIF(Dati!$S38:$Y38, "&gt;0"))</f>
        <v>10</v>
      </c>
      <c r="H22" s="18">
        <f t="shared" ca="1" si="20"/>
        <v>6</v>
      </c>
      <c r="I22" s="18">
        <f t="shared" ca="1" si="20"/>
        <v>10</v>
      </c>
      <c r="J22" s="18">
        <f t="shared" ca="1" si="20"/>
        <v>10</v>
      </c>
      <c r="K22" s="239">
        <f ca="1">SUMIF(Dati!AG38:AI38, "&gt;0")</f>
        <v>10</v>
      </c>
      <c r="L22" s="19">
        <f t="shared" ca="1" si="20"/>
        <v>10</v>
      </c>
      <c r="M22" s="251">
        <f t="shared" ca="1" si="13"/>
        <v>92</v>
      </c>
      <c r="N22" s="11">
        <f t="shared" ca="1" si="21"/>
        <v>10</v>
      </c>
      <c r="O22" s="18">
        <f t="shared" ca="1" si="15"/>
        <v>10</v>
      </c>
      <c r="P22" s="18">
        <f t="shared" ca="1" si="15"/>
        <v>10</v>
      </c>
      <c r="Q22" s="18">
        <f ca="1">SUMIF(Dati!AT38:AX38, "&gt;0")</f>
        <v>10</v>
      </c>
      <c r="R22" s="18">
        <f ca="1">SUMIF(Dati!AZ38:BB38, "&gt;0")</f>
        <v>6</v>
      </c>
      <c r="S22" s="18">
        <f ca="1">SUMIF(Dati!BD38:BF38, "&gt;0")</f>
        <v>10</v>
      </c>
      <c r="T22" s="18">
        <f ca="1">SUMIF(Dati!BH38:BJ38, "&gt;0")</f>
        <v>10</v>
      </c>
      <c r="U22" s="18">
        <f t="shared" ca="1" si="22"/>
        <v>10</v>
      </c>
      <c r="V22" s="19">
        <f t="shared" ca="1" si="23"/>
        <v>10</v>
      </c>
      <c r="W22" s="250">
        <f t="shared" ca="1" si="5"/>
        <v>86</v>
      </c>
      <c r="X22" s="11">
        <f t="shared" ca="1" si="24"/>
        <v>10</v>
      </c>
      <c r="Y22" s="18">
        <f t="shared" ca="1" si="24"/>
        <v>6</v>
      </c>
      <c r="Z22" s="18">
        <f t="shared" ca="1" si="24"/>
        <v>6</v>
      </c>
      <c r="AA22" s="18">
        <f t="shared" ca="1" si="24"/>
        <v>10</v>
      </c>
      <c r="AB22" s="18">
        <f t="shared" ca="1" si="24"/>
        <v>10</v>
      </c>
      <c r="AC22" s="18">
        <f t="shared" ca="1" si="24"/>
        <v>10</v>
      </c>
      <c r="AD22" s="18">
        <f t="shared" ca="1" si="24"/>
        <v>10</v>
      </c>
      <c r="AE22" s="18">
        <f t="shared" ca="1" si="24"/>
        <v>10</v>
      </c>
      <c r="AF22" s="19">
        <f ca="1">MIN(10, SUMIF(Dati!CG38:CQ38, "&gt;0"))</f>
        <v>10</v>
      </c>
      <c r="AG22" s="248">
        <f t="shared" ca="1" si="7"/>
        <v>82</v>
      </c>
      <c r="AH22" s="11">
        <f t="shared" ref="AH22:AH47" ca="1" si="27">INDIRECT(ADDRESS($A22,AH$3,1,FALSE, "Dati"), FALSE)</f>
        <v>10</v>
      </c>
      <c r="AI22" s="18">
        <f t="shared" ref="AI22:AS36" ca="1" si="28">INDIRECT(ADDRESS($A22,AI$3,1,FALSE, "Dati"), FALSE)</f>
        <v>10</v>
      </c>
      <c r="AJ22" s="18">
        <f t="shared" ca="1" si="28"/>
        <v>10</v>
      </c>
      <c r="AK22" s="18">
        <f t="shared" ca="1" si="28"/>
        <v>10</v>
      </c>
      <c r="AL22" s="18">
        <f t="shared" ca="1" si="28"/>
        <v>10</v>
      </c>
      <c r="AM22" s="18">
        <f t="shared" ca="1" si="28"/>
        <v>10</v>
      </c>
      <c r="AN22" s="18">
        <f t="shared" ca="1" si="28"/>
        <v>10</v>
      </c>
      <c r="AO22" s="18">
        <f ca="1">SUMIF(Dati!DH38:DJ38, "&gt;0")</f>
        <v>10</v>
      </c>
      <c r="AP22" s="18">
        <f ca="1">MIN(10, SUMIF(Dati!DL38:DP38, "&gt;0"))</f>
        <v>10</v>
      </c>
      <c r="AQ22" s="18">
        <f ca="1">SUMIF(Dati!DR38:DT38, "&gt;0")</f>
        <v>4</v>
      </c>
      <c r="AR22" s="18">
        <f t="shared" ca="1" si="28"/>
        <v>10</v>
      </c>
      <c r="AS22" s="18">
        <f t="shared" ca="1" si="28"/>
        <v>10</v>
      </c>
      <c r="AT22" s="19">
        <f ca="1">MIN(10,SUMIF(Dati!DZ38:EB38, "&gt;0"))</f>
        <v>10</v>
      </c>
      <c r="AU22" s="240">
        <f t="shared" ca="1" si="9"/>
        <v>124</v>
      </c>
      <c r="AV22" s="4">
        <f t="shared" ca="1" si="10"/>
        <v>384</v>
      </c>
    </row>
    <row r="23" spans="1:48" ht="15" customHeight="1">
      <c r="A23" s="234">
        <f t="shared" si="17"/>
        <v>39</v>
      </c>
      <c r="B23" s="257" t="str">
        <f t="shared" ca="1" si="11"/>
        <v>Ministero dell'interno - Affari Interni e Territoriali - Demografici</v>
      </c>
      <c r="C23" s="11">
        <f t="shared" ca="1" si="26"/>
        <v>6</v>
      </c>
      <c r="D23" s="18">
        <f t="shared" ca="1" si="20"/>
        <v>10</v>
      </c>
      <c r="E23" s="18">
        <f t="shared" ca="1" si="20"/>
        <v>0</v>
      </c>
      <c r="F23" s="239">
        <f ca="1">MIN(10, SUMIF(Dati!K39:Q39, "&gt;0"))</f>
        <v>0</v>
      </c>
      <c r="G23" s="18">
        <f ca="1">MIN( 10, SUMIF(Dati!$S39:$Y39, "&gt;0"))</f>
        <v>10</v>
      </c>
      <c r="H23" s="18">
        <f t="shared" ca="1" si="20"/>
        <v>6</v>
      </c>
      <c r="I23" s="18">
        <f t="shared" ca="1" si="20"/>
        <v>0</v>
      </c>
      <c r="J23" s="18">
        <f t="shared" ca="1" si="20"/>
        <v>10</v>
      </c>
      <c r="K23" s="239">
        <f ca="1">SUMIF(Dati!AG39:AI39, "&gt;0")</f>
        <v>10</v>
      </c>
      <c r="L23" s="19">
        <f t="shared" ca="1" si="20"/>
        <v>10</v>
      </c>
      <c r="M23" s="251">
        <f t="shared" ca="1" si="13"/>
        <v>62</v>
      </c>
      <c r="N23" s="11">
        <f t="shared" ca="1" si="21"/>
        <v>10</v>
      </c>
      <c r="O23" s="18">
        <f t="shared" ca="1" si="15"/>
        <v>10</v>
      </c>
      <c r="P23" s="18">
        <f t="shared" ca="1" si="15"/>
        <v>10</v>
      </c>
      <c r="Q23" s="18">
        <f ca="1">SUMIF(Dati!AT39:AX39, "&gt;0")</f>
        <v>5</v>
      </c>
      <c r="R23" s="18">
        <f ca="1">SUMIF(Dati!AZ39:BB39, "&gt;0")</f>
        <v>6</v>
      </c>
      <c r="S23" s="18">
        <f ca="1">SUMIF(Dati!BD39:BF39, "&gt;0")</f>
        <v>6</v>
      </c>
      <c r="T23" s="18">
        <f ca="1">SUMIF(Dati!BH39:BJ39, "&gt;0")</f>
        <v>10</v>
      </c>
      <c r="U23" s="18">
        <f t="shared" ca="1" si="22"/>
        <v>0</v>
      </c>
      <c r="V23" s="19">
        <f t="shared" ca="1" si="23"/>
        <v>10</v>
      </c>
      <c r="W23" s="250">
        <f t="shared" ca="1" si="5"/>
        <v>67</v>
      </c>
      <c r="X23" s="11">
        <f t="shared" ca="1" si="24"/>
        <v>10</v>
      </c>
      <c r="Y23" s="18">
        <f t="shared" ca="1" si="24"/>
        <v>6</v>
      </c>
      <c r="Z23" s="18">
        <f t="shared" ca="1" si="24"/>
        <v>0</v>
      </c>
      <c r="AA23" s="18">
        <f t="shared" ca="1" si="24"/>
        <v>10</v>
      </c>
      <c r="AB23" s="18">
        <f t="shared" ca="1" si="24"/>
        <v>0</v>
      </c>
      <c r="AC23" s="18">
        <f t="shared" ca="1" si="24"/>
        <v>0</v>
      </c>
      <c r="AD23" s="18">
        <f t="shared" ca="1" si="24"/>
        <v>10</v>
      </c>
      <c r="AE23" s="18">
        <f t="shared" ca="1" si="24"/>
        <v>10</v>
      </c>
      <c r="AF23" s="19">
        <f ca="1">MIN(10, SUMIF(Dati!CG39:CQ39, "&gt;0"))</f>
        <v>10</v>
      </c>
      <c r="AG23" s="248">
        <f t="shared" ca="1" si="7"/>
        <v>56</v>
      </c>
      <c r="AH23" s="11">
        <f t="shared" ca="1" si="27"/>
        <v>0</v>
      </c>
      <c r="AI23" s="18">
        <f t="shared" ca="1" si="28"/>
        <v>0</v>
      </c>
      <c r="AJ23" s="18">
        <f t="shared" ca="1" si="28"/>
        <v>0</v>
      </c>
      <c r="AK23" s="18">
        <f t="shared" ca="1" si="28"/>
        <v>0</v>
      </c>
      <c r="AL23" s="18">
        <f t="shared" ca="1" si="28"/>
        <v>0</v>
      </c>
      <c r="AM23" s="18">
        <f t="shared" ca="1" si="28"/>
        <v>10</v>
      </c>
      <c r="AN23" s="18">
        <f t="shared" ca="1" si="28"/>
        <v>10</v>
      </c>
      <c r="AO23" s="18">
        <f ca="1">SUMIF(Dati!DH39:DJ39, "&gt;0")</f>
        <v>10</v>
      </c>
      <c r="AP23" s="18">
        <f ca="1">MIN(10, SUMIF(Dati!DL39:DP39, "&gt;0"))</f>
        <v>10</v>
      </c>
      <c r="AQ23" s="18">
        <f ca="1">SUMIF(Dati!DR39:DT39, "&gt;0")</f>
        <v>4</v>
      </c>
      <c r="AR23" s="18">
        <f t="shared" ca="1" si="28"/>
        <v>10</v>
      </c>
      <c r="AS23" s="18">
        <f t="shared" ca="1" si="28"/>
        <v>0</v>
      </c>
      <c r="AT23" s="19">
        <f ca="1">MIN(10,SUMIF(Dati!DZ39:EB39, "&gt;0"))</f>
        <v>2</v>
      </c>
      <c r="AU23" s="240">
        <f t="shared" ca="1" si="9"/>
        <v>56</v>
      </c>
      <c r="AV23" s="4">
        <f t="shared" ca="1" si="10"/>
        <v>241</v>
      </c>
    </row>
    <row r="24" spans="1:48" ht="15" customHeight="1">
      <c r="A24" s="234">
        <f t="shared" si="17"/>
        <v>40</v>
      </c>
      <c r="B24" s="257" t="str">
        <f t="shared" ca="1" si="11"/>
        <v>Ministero dell'interno - Affari Interni e Territoriali - Elettorale</v>
      </c>
      <c r="C24" s="11">
        <f t="shared" ca="1" si="26"/>
        <v>6</v>
      </c>
      <c r="D24" s="18">
        <f t="shared" ca="1" si="20"/>
        <v>10</v>
      </c>
      <c r="E24" s="18">
        <f t="shared" ca="1" si="20"/>
        <v>10</v>
      </c>
      <c r="F24" s="239">
        <f ca="1">MIN(10, SUMIF(Dati!K40:Q40, "&gt;0"))</f>
        <v>10</v>
      </c>
      <c r="G24" s="18">
        <f ca="1">MIN( 10, SUMIF(Dati!$S40:$Y40, "&gt;0"))</f>
        <v>10</v>
      </c>
      <c r="H24" s="18">
        <f t="shared" ca="1" si="20"/>
        <v>6</v>
      </c>
      <c r="I24" s="18">
        <f t="shared" ca="1" si="20"/>
        <v>0</v>
      </c>
      <c r="J24" s="18">
        <f t="shared" ca="1" si="20"/>
        <v>10</v>
      </c>
      <c r="K24" s="239">
        <f ca="1">SUMIF(Dati!AG40:AI40, "&gt;0")</f>
        <v>10</v>
      </c>
      <c r="L24" s="19">
        <f t="shared" ca="1" si="20"/>
        <v>10</v>
      </c>
      <c r="M24" s="251">
        <f t="shared" ca="1" si="13"/>
        <v>82</v>
      </c>
      <c r="N24" s="11">
        <f t="shared" ca="1" si="21"/>
        <v>10</v>
      </c>
      <c r="O24" s="18">
        <f t="shared" ca="1" si="15"/>
        <v>10</v>
      </c>
      <c r="P24" s="18">
        <f t="shared" ca="1" si="15"/>
        <v>10</v>
      </c>
      <c r="Q24" s="18">
        <f ca="1">SUMIF(Dati!AT40:AX40, "&gt;0")</f>
        <v>10</v>
      </c>
      <c r="R24" s="18">
        <f ca="1">SUMIF(Dati!AZ40:BB40, "&gt;0")</f>
        <v>6</v>
      </c>
      <c r="S24" s="18">
        <f ca="1">SUMIF(Dati!BD40:BF40, "&gt;0")</f>
        <v>10</v>
      </c>
      <c r="T24" s="18">
        <f ca="1">SUMIF(Dati!BH40:BJ40, "&gt;0")</f>
        <v>10</v>
      </c>
      <c r="U24" s="18">
        <f t="shared" ca="1" si="22"/>
        <v>10</v>
      </c>
      <c r="V24" s="19">
        <f t="shared" ca="1" si="23"/>
        <v>10</v>
      </c>
      <c r="W24" s="250">
        <f t="shared" ca="1" si="5"/>
        <v>86</v>
      </c>
      <c r="X24" s="11">
        <f t="shared" ca="1" si="24"/>
        <v>0</v>
      </c>
      <c r="Y24" s="18">
        <f t="shared" ca="1" si="24"/>
        <v>6</v>
      </c>
      <c r="Z24" s="18">
        <f t="shared" ca="1" si="24"/>
        <v>6</v>
      </c>
      <c r="AA24" s="18">
        <f t="shared" ca="1" si="24"/>
        <v>10</v>
      </c>
      <c r="AB24" s="18">
        <f t="shared" ca="1" si="24"/>
        <v>10</v>
      </c>
      <c r="AC24" s="18">
        <f t="shared" ca="1" si="24"/>
        <v>10</v>
      </c>
      <c r="AD24" s="18">
        <f t="shared" ca="1" si="24"/>
        <v>10</v>
      </c>
      <c r="AE24" s="18">
        <f t="shared" ca="1" si="24"/>
        <v>10</v>
      </c>
      <c r="AF24" s="19">
        <f ca="1">MIN(10, SUMIF(Dati!CG40:CQ40, "&gt;0"))</f>
        <v>10</v>
      </c>
      <c r="AG24" s="248">
        <f t="shared" ca="1" si="7"/>
        <v>72</v>
      </c>
      <c r="AH24" s="11">
        <f t="shared" ca="1" si="27"/>
        <v>10</v>
      </c>
      <c r="AI24" s="18">
        <f t="shared" ca="1" si="28"/>
        <v>10</v>
      </c>
      <c r="AJ24" s="18">
        <f t="shared" ca="1" si="28"/>
        <v>10</v>
      </c>
      <c r="AK24" s="18">
        <f t="shared" ca="1" si="28"/>
        <v>10</v>
      </c>
      <c r="AL24" s="18">
        <f t="shared" ca="1" si="28"/>
        <v>10</v>
      </c>
      <c r="AM24" s="18">
        <f t="shared" ca="1" si="28"/>
        <v>10</v>
      </c>
      <c r="AN24" s="18">
        <f t="shared" ca="1" si="28"/>
        <v>10</v>
      </c>
      <c r="AO24" s="18">
        <f ca="1">SUMIF(Dati!DH40:DJ40, "&gt;0")</f>
        <v>10</v>
      </c>
      <c r="AP24" s="18">
        <f ca="1">MIN(10, SUMIF(Dati!DL40:DP40, "&gt;0"))</f>
        <v>10</v>
      </c>
      <c r="AQ24" s="18">
        <f ca="1">SUMIF(Dati!DR40:DT40, "&gt;0")</f>
        <v>4</v>
      </c>
      <c r="AR24" s="18">
        <f t="shared" ca="1" si="28"/>
        <v>10</v>
      </c>
      <c r="AS24" s="18">
        <f t="shared" ca="1" si="28"/>
        <v>10</v>
      </c>
      <c r="AT24" s="19">
        <f ca="1">MIN(10,SUMIF(Dati!DZ40:EB40, "&gt;0"))</f>
        <v>10</v>
      </c>
      <c r="AU24" s="240">
        <f t="shared" ca="1" si="9"/>
        <v>124</v>
      </c>
      <c r="AV24" s="4">
        <f t="shared" ca="1" si="10"/>
        <v>364</v>
      </c>
    </row>
    <row r="25" spans="1:48" ht="15" customHeight="1">
      <c r="A25" s="234">
        <f t="shared" si="17"/>
        <v>41</v>
      </c>
      <c r="B25" s="257" t="str">
        <f t="shared" ca="1" si="11"/>
        <v>Ministero dell'interno - Politiche Personale</v>
      </c>
      <c r="C25" s="11">
        <f t="shared" ca="1" si="26"/>
        <v>6</v>
      </c>
      <c r="D25" s="18">
        <f t="shared" ca="1" si="20"/>
        <v>10</v>
      </c>
      <c r="E25" s="18">
        <f t="shared" ca="1" si="20"/>
        <v>10</v>
      </c>
      <c r="F25" s="239">
        <f ca="1">MIN(10, SUMIF(Dati!K41:Q41, "&gt;0"))</f>
        <v>8</v>
      </c>
      <c r="G25" s="18">
        <f ca="1">MIN( 10, SUMIF(Dati!$S41:$Y41, "&gt;0"))</f>
        <v>10</v>
      </c>
      <c r="H25" s="18">
        <f t="shared" ca="1" si="20"/>
        <v>6</v>
      </c>
      <c r="I25" s="18">
        <f t="shared" ca="1" si="20"/>
        <v>10</v>
      </c>
      <c r="J25" s="18">
        <f t="shared" ca="1" si="20"/>
        <v>10</v>
      </c>
      <c r="K25" s="239">
        <f ca="1">SUMIF(Dati!AG41:AI41, "&gt;0")</f>
        <v>6</v>
      </c>
      <c r="L25" s="19">
        <f t="shared" ca="1" si="20"/>
        <v>10</v>
      </c>
      <c r="M25" s="251">
        <f t="shared" ca="1" si="13"/>
        <v>86</v>
      </c>
      <c r="N25" s="11">
        <f t="shared" ca="1" si="21"/>
        <v>10</v>
      </c>
      <c r="O25" s="18">
        <f t="shared" ca="1" si="15"/>
        <v>10</v>
      </c>
      <c r="P25" s="18">
        <f t="shared" ca="1" si="15"/>
        <v>10</v>
      </c>
      <c r="Q25" s="18">
        <f ca="1">SUMIF(Dati!AT41:AX41, "&gt;0")</f>
        <v>10</v>
      </c>
      <c r="R25" s="18">
        <f ca="1">SUMIF(Dati!AZ41:BB41, "&gt;0")</f>
        <v>6</v>
      </c>
      <c r="S25" s="18">
        <f ca="1">SUMIF(Dati!BD41:BF41, "&gt;0")</f>
        <v>10</v>
      </c>
      <c r="T25" s="18">
        <f ca="1">SUMIF(Dati!BH41:BJ41, "&gt;0")</f>
        <v>10</v>
      </c>
      <c r="U25" s="18">
        <f t="shared" ca="1" si="22"/>
        <v>10</v>
      </c>
      <c r="V25" s="19">
        <f t="shared" ca="1" si="23"/>
        <v>10</v>
      </c>
      <c r="W25" s="250">
        <f t="shared" ca="1" si="5"/>
        <v>86</v>
      </c>
      <c r="X25" s="11">
        <f t="shared" ca="1" si="24"/>
        <v>0</v>
      </c>
      <c r="Y25" s="18">
        <f t="shared" ca="1" si="24"/>
        <v>6</v>
      </c>
      <c r="Z25" s="18">
        <f t="shared" ca="1" si="24"/>
        <v>6</v>
      </c>
      <c r="AA25" s="18">
        <f t="shared" ca="1" si="24"/>
        <v>10</v>
      </c>
      <c r="AB25" s="18">
        <f t="shared" ca="1" si="24"/>
        <v>0</v>
      </c>
      <c r="AC25" s="18">
        <f t="shared" ca="1" si="24"/>
        <v>0</v>
      </c>
      <c r="AD25" s="18">
        <f t="shared" ca="1" si="24"/>
        <v>10</v>
      </c>
      <c r="AE25" s="18">
        <f t="shared" ca="1" si="24"/>
        <v>10</v>
      </c>
      <c r="AF25" s="19">
        <f ca="1">MIN(10, SUMIF(Dati!CG41:CQ41, "&gt;0"))</f>
        <v>10</v>
      </c>
      <c r="AG25" s="248">
        <f t="shared" ca="1" si="7"/>
        <v>52</v>
      </c>
      <c r="AH25" s="11">
        <f t="shared" ca="1" si="27"/>
        <v>0</v>
      </c>
      <c r="AI25" s="18">
        <f t="shared" ca="1" si="28"/>
        <v>0</v>
      </c>
      <c r="AJ25" s="18">
        <f t="shared" ca="1" si="28"/>
        <v>0</v>
      </c>
      <c r="AK25" s="18">
        <f t="shared" ca="1" si="28"/>
        <v>10</v>
      </c>
      <c r="AL25" s="18">
        <f t="shared" ca="1" si="28"/>
        <v>0</v>
      </c>
      <c r="AM25" s="18">
        <f t="shared" ca="1" si="28"/>
        <v>0</v>
      </c>
      <c r="AN25" s="18">
        <f t="shared" ca="1" si="28"/>
        <v>0</v>
      </c>
      <c r="AO25" s="18">
        <f ca="1">SUMIF(Dati!DH41:DJ41, "&gt;0")</f>
        <v>10</v>
      </c>
      <c r="AP25" s="18">
        <f ca="1">MIN(10, SUMIF(Dati!DL41:DP41, "&gt;0"))</f>
        <v>10</v>
      </c>
      <c r="AQ25" s="18">
        <f ca="1">SUMIF(Dati!DR41:DT41, "&gt;0")</f>
        <v>0</v>
      </c>
      <c r="AR25" s="18">
        <f t="shared" ca="1" si="28"/>
        <v>8</v>
      </c>
      <c r="AS25" s="18">
        <f t="shared" ca="1" si="28"/>
        <v>10</v>
      </c>
      <c r="AT25" s="19">
        <f ca="1">MIN(10,SUMIF(Dati!DZ41:EB41, "&gt;0"))</f>
        <v>2</v>
      </c>
      <c r="AU25" s="240">
        <f t="shared" ca="1" si="9"/>
        <v>50</v>
      </c>
      <c r="AV25" s="4">
        <f t="shared" ca="1" si="10"/>
        <v>274</v>
      </c>
    </row>
    <row r="26" spans="1:48" ht="15" customHeight="1">
      <c r="A26" s="234">
        <f t="shared" si="17"/>
        <v>42</v>
      </c>
      <c r="B26" s="257" t="str">
        <f t="shared" ca="1" si="11"/>
        <v>Ministero dell'interno - Libertà Civili e Immigrazione</v>
      </c>
      <c r="C26" s="11">
        <f t="shared" ca="1" si="26"/>
        <v>6</v>
      </c>
      <c r="D26" s="18">
        <f t="shared" ca="1" si="20"/>
        <v>10</v>
      </c>
      <c r="E26" s="18">
        <f t="shared" ca="1" si="20"/>
        <v>10</v>
      </c>
      <c r="F26" s="239">
        <f ca="1">MIN(10, SUMIF(Dati!K42:Q42, "&gt;0"))</f>
        <v>10</v>
      </c>
      <c r="G26" s="18">
        <f ca="1">MIN( 10, SUMIF(Dati!$S42:$Y42, "&gt;0"))</f>
        <v>10</v>
      </c>
      <c r="H26" s="18">
        <f t="shared" ca="1" si="20"/>
        <v>10</v>
      </c>
      <c r="I26" s="18">
        <f t="shared" ca="1" si="20"/>
        <v>10</v>
      </c>
      <c r="J26" s="18">
        <f t="shared" ca="1" si="20"/>
        <v>0</v>
      </c>
      <c r="K26" s="239">
        <f ca="1">SUMIF(Dati!AG42:AI42, "&gt;0")</f>
        <v>10</v>
      </c>
      <c r="L26" s="19">
        <f t="shared" ca="1" si="20"/>
        <v>10</v>
      </c>
      <c r="M26" s="251">
        <f t="shared" ca="1" si="13"/>
        <v>86</v>
      </c>
      <c r="N26" s="11">
        <f t="shared" ca="1" si="21"/>
        <v>10</v>
      </c>
      <c r="O26" s="18">
        <f t="shared" ref="O26:P45" ca="1" si="29">INDIRECT(ADDRESS($A26,O$3,1,FALSE, "Dati"), FALSE)</f>
        <v>10</v>
      </c>
      <c r="P26" s="18">
        <f t="shared" ca="1" si="29"/>
        <v>10</v>
      </c>
      <c r="Q26" s="18">
        <f ca="1">SUMIF(Dati!AT42:AX42, "&gt;0")</f>
        <v>5</v>
      </c>
      <c r="R26" s="18">
        <f ca="1">SUMIF(Dati!AZ42:BB42, "&gt;0")</f>
        <v>0</v>
      </c>
      <c r="S26" s="18">
        <f ca="1">SUMIF(Dati!BD42:BF42, "&gt;0")</f>
        <v>6</v>
      </c>
      <c r="T26" s="18">
        <f ca="1">SUMIF(Dati!BH42:BJ42, "&gt;0")</f>
        <v>10</v>
      </c>
      <c r="U26" s="18">
        <f t="shared" ca="1" si="22"/>
        <v>0</v>
      </c>
      <c r="V26" s="19">
        <f t="shared" ca="1" si="23"/>
        <v>10</v>
      </c>
      <c r="W26" s="250">
        <f t="shared" ca="1" si="5"/>
        <v>61</v>
      </c>
      <c r="X26" s="11">
        <f t="shared" ca="1" si="24"/>
        <v>10</v>
      </c>
      <c r="Y26" s="18">
        <f t="shared" ca="1" si="24"/>
        <v>0</v>
      </c>
      <c r="Z26" s="18">
        <f t="shared" ca="1" si="24"/>
        <v>0</v>
      </c>
      <c r="AA26" s="18">
        <f t="shared" ca="1" si="24"/>
        <v>0</v>
      </c>
      <c r="AB26" s="18">
        <f t="shared" ca="1" si="24"/>
        <v>10</v>
      </c>
      <c r="AC26" s="18">
        <f t="shared" ca="1" si="24"/>
        <v>10</v>
      </c>
      <c r="AD26" s="18">
        <f t="shared" ca="1" si="24"/>
        <v>10</v>
      </c>
      <c r="AE26" s="18">
        <f t="shared" ca="1" si="24"/>
        <v>10</v>
      </c>
      <c r="AF26" s="19">
        <f ca="1">MIN(10, SUMIF(Dati!CG42:CQ42, "&gt;0"))</f>
        <v>2</v>
      </c>
      <c r="AG26" s="248">
        <f t="shared" ca="1" si="7"/>
        <v>52</v>
      </c>
      <c r="AH26" s="11">
        <f t="shared" ca="1" si="27"/>
        <v>10</v>
      </c>
      <c r="AI26" s="18">
        <f t="shared" ca="1" si="28"/>
        <v>10</v>
      </c>
      <c r="AJ26" s="18">
        <f t="shared" ca="1" si="28"/>
        <v>6</v>
      </c>
      <c r="AK26" s="18">
        <f t="shared" ca="1" si="28"/>
        <v>0</v>
      </c>
      <c r="AL26" s="18">
        <f t="shared" ca="1" si="28"/>
        <v>10</v>
      </c>
      <c r="AM26" s="18">
        <f t="shared" ca="1" si="28"/>
        <v>10</v>
      </c>
      <c r="AN26" s="18">
        <f t="shared" ca="1" si="28"/>
        <v>10</v>
      </c>
      <c r="AO26" s="18">
        <f ca="1">SUMIF(Dati!DH42:DJ42, "&gt;0")</f>
        <v>10</v>
      </c>
      <c r="AP26" s="18">
        <f ca="1">MIN(10, SUMIF(Dati!DL42:DP42, "&gt;0"))</f>
        <v>10</v>
      </c>
      <c r="AQ26" s="18">
        <f ca="1">SUMIF(Dati!DR42:DT42, "&gt;0")</f>
        <v>0</v>
      </c>
      <c r="AR26" s="18">
        <f t="shared" ca="1" si="28"/>
        <v>8</v>
      </c>
      <c r="AS26" s="18">
        <f t="shared" ca="1" si="28"/>
        <v>10</v>
      </c>
      <c r="AT26" s="19">
        <f ca="1">MIN(10,SUMIF(Dati!DZ42:EB42, "&gt;0"))</f>
        <v>10</v>
      </c>
      <c r="AU26" s="240">
        <f t="shared" ca="1" si="9"/>
        <v>104</v>
      </c>
      <c r="AV26" s="4">
        <f t="shared" ca="1" si="10"/>
        <v>303</v>
      </c>
    </row>
    <row r="27" spans="1:48" ht="15" customHeight="1">
      <c r="A27" s="234">
        <f t="shared" si="17"/>
        <v>43</v>
      </c>
      <c r="B27" s="257" t="str">
        <f t="shared" ca="1" si="11"/>
        <v>Ministero dell'interno - Vigili del  Fuoco</v>
      </c>
      <c r="C27" s="11">
        <f t="shared" ca="1" si="26"/>
        <v>8</v>
      </c>
      <c r="D27" s="18">
        <f t="shared" ca="1" si="20"/>
        <v>10</v>
      </c>
      <c r="E27" s="18">
        <f t="shared" ca="1" si="20"/>
        <v>10</v>
      </c>
      <c r="F27" s="239">
        <f ca="1">MIN(10, SUMIF(Dati!K43:Q43, "&gt;0"))</f>
        <v>5</v>
      </c>
      <c r="G27" s="18">
        <f ca="1">MIN( 10, SUMIF(Dati!$S43:$Y43, "&gt;0"))</f>
        <v>10</v>
      </c>
      <c r="H27" s="18">
        <f t="shared" ca="1" si="20"/>
        <v>10</v>
      </c>
      <c r="I27" s="18">
        <f t="shared" ca="1" si="20"/>
        <v>10</v>
      </c>
      <c r="J27" s="18">
        <f t="shared" ca="1" si="20"/>
        <v>0</v>
      </c>
      <c r="K27" s="239">
        <f ca="1">SUMIF(Dati!AG43:AI43, "&gt;0")</f>
        <v>10</v>
      </c>
      <c r="L27" s="19">
        <f t="shared" ca="1" si="20"/>
        <v>10</v>
      </c>
      <c r="M27" s="251">
        <f t="shared" ca="1" si="13"/>
        <v>83</v>
      </c>
      <c r="N27" s="11">
        <f t="shared" ca="1" si="21"/>
        <v>10</v>
      </c>
      <c r="O27" s="18">
        <f t="shared" ca="1" si="29"/>
        <v>10</v>
      </c>
      <c r="P27" s="18">
        <f t="shared" ca="1" si="29"/>
        <v>10</v>
      </c>
      <c r="Q27" s="18">
        <f ca="1">SUMIF(Dati!AT43:AX43, "&gt;0")</f>
        <v>5</v>
      </c>
      <c r="R27" s="18">
        <f ca="1">SUMIF(Dati!AZ43:BB43, "&gt;0")</f>
        <v>6</v>
      </c>
      <c r="S27" s="18">
        <f ca="1">SUMIF(Dati!BD43:BF43, "&gt;0")</f>
        <v>10</v>
      </c>
      <c r="T27" s="18">
        <f ca="1">SUMIF(Dati!BH43:BJ43, "&gt;0")</f>
        <v>10</v>
      </c>
      <c r="U27" s="18">
        <f t="shared" ca="1" si="22"/>
        <v>10</v>
      </c>
      <c r="V27" s="19">
        <f t="shared" ca="1" si="23"/>
        <v>10</v>
      </c>
      <c r="W27" s="250">
        <f t="shared" ca="1" si="5"/>
        <v>81</v>
      </c>
      <c r="X27" s="11">
        <f t="shared" ca="1" si="24"/>
        <v>0</v>
      </c>
      <c r="Y27" s="18">
        <f t="shared" ca="1" si="24"/>
        <v>6</v>
      </c>
      <c r="Z27" s="18">
        <f t="shared" ca="1" si="24"/>
        <v>6</v>
      </c>
      <c r="AA27" s="18">
        <f t="shared" ca="1" si="24"/>
        <v>10</v>
      </c>
      <c r="AB27" s="18">
        <f t="shared" ca="1" si="24"/>
        <v>10</v>
      </c>
      <c r="AC27" s="18">
        <f t="shared" ca="1" si="24"/>
        <v>10</v>
      </c>
      <c r="AD27" s="18">
        <f t="shared" ca="1" si="24"/>
        <v>10</v>
      </c>
      <c r="AE27" s="18">
        <f t="shared" ca="1" si="24"/>
        <v>10</v>
      </c>
      <c r="AF27" s="19">
        <f ca="1">MIN(10, SUMIF(Dati!CG43:CQ43, "&gt;0"))</f>
        <v>10</v>
      </c>
      <c r="AG27" s="248">
        <f t="shared" ca="1" si="7"/>
        <v>72</v>
      </c>
      <c r="AH27" s="11">
        <f t="shared" ca="1" si="27"/>
        <v>10</v>
      </c>
      <c r="AI27" s="18">
        <f t="shared" ca="1" si="28"/>
        <v>10</v>
      </c>
      <c r="AJ27" s="18">
        <f t="shared" ca="1" si="28"/>
        <v>10</v>
      </c>
      <c r="AK27" s="18">
        <f t="shared" ca="1" si="28"/>
        <v>10</v>
      </c>
      <c r="AL27" s="18">
        <f t="shared" ca="1" si="28"/>
        <v>10</v>
      </c>
      <c r="AM27" s="18">
        <f t="shared" ca="1" si="28"/>
        <v>10</v>
      </c>
      <c r="AN27" s="18">
        <f t="shared" ca="1" si="28"/>
        <v>10</v>
      </c>
      <c r="AO27" s="18">
        <f ca="1">SUMIF(Dati!DH43:DJ43, "&gt;0")</f>
        <v>10</v>
      </c>
      <c r="AP27" s="18">
        <f ca="1">MIN(10, SUMIF(Dati!DL43:DP43, "&gt;0"))</f>
        <v>10</v>
      </c>
      <c r="AQ27" s="18">
        <f ca="1">SUMIF(Dati!DR43:DT43, "&gt;0")</f>
        <v>0</v>
      </c>
      <c r="AR27" s="18">
        <f t="shared" ca="1" si="28"/>
        <v>8</v>
      </c>
      <c r="AS27" s="18">
        <f t="shared" ca="1" si="28"/>
        <v>10</v>
      </c>
      <c r="AT27" s="19">
        <f ca="1">MIN(10,SUMIF(Dati!DZ43:EB43, "&gt;0"))</f>
        <v>2</v>
      </c>
      <c r="AU27" s="240">
        <f t="shared" ca="1" si="9"/>
        <v>110</v>
      </c>
      <c r="AV27" s="4">
        <f t="shared" ca="1" si="10"/>
        <v>346</v>
      </c>
    </row>
    <row r="28" spans="1:48" ht="15" customHeight="1">
      <c r="A28" s="234">
        <f t="shared" si="17"/>
        <v>44</v>
      </c>
      <c r="B28" s="257" t="str">
        <f t="shared" ca="1" si="11"/>
        <v>Ministero dell'interno - P.S. CED PS</v>
      </c>
      <c r="C28" s="11">
        <f t="shared" ca="1" si="26"/>
        <v>6</v>
      </c>
      <c r="D28" s="18">
        <f t="shared" ca="1" si="20"/>
        <v>10</v>
      </c>
      <c r="E28" s="18">
        <f t="shared" ca="1" si="20"/>
        <v>10</v>
      </c>
      <c r="F28" s="239">
        <f ca="1">MIN(10, SUMIF(Dati!K44:Q44, "&gt;0"))</f>
        <v>5</v>
      </c>
      <c r="G28" s="18">
        <f ca="1">MIN( 10, SUMIF(Dati!$S44:$Y44, "&gt;0"))</f>
        <v>10</v>
      </c>
      <c r="H28" s="18">
        <f t="shared" ca="1" si="20"/>
        <v>10</v>
      </c>
      <c r="I28" s="18">
        <f t="shared" ca="1" si="20"/>
        <v>10</v>
      </c>
      <c r="J28" s="18">
        <f t="shared" ca="1" si="20"/>
        <v>6</v>
      </c>
      <c r="K28" s="239">
        <f ca="1">SUMIF(Dati!AG44:AI44, "&gt;0")</f>
        <v>6</v>
      </c>
      <c r="L28" s="19">
        <f t="shared" ca="1" si="20"/>
        <v>10</v>
      </c>
      <c r="M28" s="251">
        <f t="shared" ca="1" si="13"/>
        <v>83</v>
      </c>
      <c r="N28" s="11">
        <f t="shared" ca="1" si="21"/>
        <v>10</v>
      </c>
      <c r="O28" s="18">
        <f t="shared" ca="1" si="29"/>
        <v>10</v>
      </c>
      <c r="P28" s="18">
        <f t="shared" ca="1" si="29"/>
        <v>10</v>
      </c>
      <c r="Q28" s="18">
        <f ca="1">SUMIF(Dati!AT44:AX44, "&gt;0")</f>
        <v>10</v>
      </c>
      <c r="R28" s="18">
        <f ca="1">SUMIF(Dati!AZ44:BB44, "&gt;0")</f>
        <v>6</v>
      </c>
      <c r="S28" s="18">
        <f ca="1">SUMIF(Dati!BD44:BF44, "&gt;0")</f>
        <v>10</v>
      </c>
      <c r="T28" s="18">
        <f ca="1">SUMIF(Dati!BH44:BJ44, "&gt;0")</f>
        <v>10</v>
      </c>
      <c r="U28" s="18">
        <f t="shared" ca="1" si="22"/>
        <v>10</v>
      </c>
      <c r="V28" s="19">
        <f t="shared" ca="1" si="23"/>
        <v>10</v>
      </c>
      <c r="W28" s="250">
        <f t="shared" ca="1" si="5"/>
        <v>86</v>
      </c>
      <c r="X28" s="11">
        <f t="shared" ca="1" si="24"/>
        <v>0</v>
      </c>
      <c r="Y28" s="18">
        <f t="shared" ca="1" si="24"/>
        <v>10</v>
      </c>
      <c r="Z28" s="18">
        <f t="shared" ca="1" si="24"/>
        <v>0</v>
      </c>
      <c r="AA28" s="18">
        <f t="shared" ca="1" si="24"/>
        <v>10</v>
      </c>
      <c r="AB28" s="18">
        <f t="shared" ca="1" si="24"/>
        <v>10</v>
      </c>
      <c r="AC28" s="18">
        <f t="shared" ca="1" si="24"/>
        <v>10</v>
      </c>
      <c r="AD28" s="18">
        <f t="shared" ca="1" si="24"/>
        <v>10</v>
      </c>
      <c r="AE28" s="18">
        <f t="shared" ca="1" si="24"/>
        <v>10</v>
      </c>
      <c r="AF28" s="19">
        <f ca="1">MIN(10, SUMIF(Dati!CG44:CQ44, "&gt;0"))</f>
        <v>10</v>
      </c>
      <c r="AG28" s="248">
        <f t="shared" ca="1" si="7"/>
        <v>70</v>
      </c>
      <c r="AH28" s="11">
        <f t="shared" ca="1" si="27"/>
        <v>10</v>
      </c>
      <c r="AI28" s="18">
        <f t="shared" ca="1" si="28"/>
        <v>10</v>
      </c>
      <c r="AJ28" s="18">
        <f t="shared" ca="1" si="28"/>
        <v>10</v>
      </c>
      <c r="AK28" s="18">
        <f t="shared" ca="1" si="28"/>
        <v>10</v>
      </c>
      <c r="AL28" s="18">
        <f t="shared" ca="1" si="28"/>
        <v>0</v>
      </c>
      <c r="AM28" s="18">
        <f t="shared" ca="1" si="28"/>
        <v>10</v>
      </c>
      <c r="AN28" s="18">
        <f t="shared" ca="1" si="28"/>
        <v>10</v>
      </c>
      <c r="AO28" s="18">
        <f ca="1">SUMIF(Dati!DH44:DJ44, "&gt;0")</f>
        <v>10</v>
      </c>
      <c r="AP28" s="18">
        <f ca="1">MIN(10, SUMIF(Dati!DL44:DP44, "&gt;0"))</f>
        <v>10</v>
      </c>
      <c r="AQ28" s="18">
        <f ca="1">SUMIF(Dati!DR44:DT44, "&gt;0")</f>
        <v>0</v>
      </c>
      <c r="AR28" s="18">
        <f t="shared" ca="1" si="28"/>
        <v>10</v>
      </c>
      <c r="AS28" s="18">
        <f t="shared" ca="1" si="28"/>
        <v>10</v>
      </c>
      <c r="AT28" s="19">
        <f ca="1">MIN(10,SUMIF(Dati!DZ44:EB44, "&gt;0"))</f>
        <v>10</v>
      </c>
      <c r="AU28" s="240">
        <f t="shared" ca="1" si="9"/>
        <v>110</v>
      </c>
      <c r="AV28" s="4">
        <f t="shared" ca="1" si="10"/>
        <v>349</v>
      </c>
    </row>
    <row r="29" spans="1:48" ht="15" customHeight="1">
      <c r="A29" s="234">
        <f t="shared" si="17"/>
        <v>45</v>
      </c>
      <c r="B29" s="257" t="str">
        <f t="shared" ca="1" si="11"/>
        <v xml:space="preserve">Ministero delle infrastrutture e dei trasporti                                            </v>
      </c>
      <c r="C29" s="11">
        <f t="shared" ca="1" si="26"/>
        <v>6</v>
      </c>
      <c r="D29" s="18">
        <f t="shared" ca="1" si="20"/>
        <v>10</v>
      </c>
      <c r="E29" s="18">
        <f t="shared" ca="1" si="20"/>
        <v>10</v>
      </c>
      <c r="F29" s="239">
        <f ca="1">MIN(10, SUMIF(Dati!K45:Q45, "&gt;0"))</f>
        <v>8</v>
      </c>
      <c r="G29" s="18">
        <f ca="1">MIN( 10, SUMIF(Dati!$S45:$Y45, "&gt;0"))</f>
        <v>10</v>
      </c>
      <c r="H29" s="18">
        <f t="shared" ca="1" si="20"/>
        <v>6</v>
      </c>
      <c r="I29" s="18">
        <f t="shared" ca="1" si="20"/>
        <v>10</v>
      </c>
      <c r="J29" s="18">
        <f t="shared" ca="1" si="20"/>
        <v>0</v>
      </c>
      <c r="K29" s="239">
        <f ca="1">SUMIF(Dati!AG45:AI45, "&gt;0")</f>
        <v>10</v>
      </c>
      <c r="L29" s="19">
        <f t="shared" ca="1" si="20"/>
        <v>10</v>
      </c>
      <c r="M29" s="251">
        <f t="shared" ca="1" si="13"/>
        <v>80</v>
      </c>
      <c r="N29" s="11">
        <f t="shared" ca="1" si="21"/>
        <v>10</v>
      </c>
      <c r="O29" s="18">
        <f t="shared" ca="1" si="29"/>
        <v>10</v>
      </c>
      <c r="P29" s="18">
        <f t="shared" ca="1" si="29"/>
        <v>0</v>
      </c>
      <c r="Q29" s="18">
        <f ca="1">SUMIF(Dati!AT45:AX45, "&gt;0")</f>
        <v>10</v>
      </c>
      <c r="R29" s="18">
        <f ca="1">SUMIF(Dati!AZ45:BB45, "&gt;0")</f>
        <v>10</v>
      </c>
      <c r="S29" s="18">
        <f ca="1">SUMIF(Dati!BD45:BF45, "&gt;0")</f>
        <v>10</v>
      </c>
      <c r="T29" s="18">
        <f ca="1">SUMIF(Dati!BH45:BJ45, "&gt;0")</f>
        <v>10</v>
      </c>
      <c r="U29" s="18">
        <f t="shared" ca="1" si="22"/>
        <v>10</v>
      </c>
      <c r="V29" s="19">
        <f t="shared" ca="1" si="23"/>
        <v>10</v>
      </c>
      <c r="W29" s="250">
        <f t="shared" ca="1" si="5"/>
        <v>80</v>
      </c>
      <c r="X29" s="11">
        <f t="shared" ca="1" si="24"/>
        <v>10</v>
      </c>
      <c r="Y29" s="18">
        <f t="shared" ca="1" si="24"/>
        <v>6</v>
      </c>
      <c r="Z29" s="18">
        <f t="shared" ca="1" si="24"/>
        <v>10</v>
      </c>
      <c r="AA29" s="18">
        <f t="shared" ca="1" si="24"/>
        <v>10</v>
      </c>
      <c r="AB29" s="18">
        <f t="shared" ca="1" si="24"/>
        <v>10</v>
      </c>
      <c r="AC29" s="18">
        <f t="shared" ca="1" si="24"/>
        <v>10</v>
      </c>
      <c r="AD29" s="18">
        <f t="shared" ca="1" si="24"/>
        <v>10</v>
      </c>
      <c r="AE29" s="18">
        <f t="shared" ca="1" si="24"/>
        <v>10</v>
      </c>
      <c r="AF29" s="19">
        <f ca="1">MIN(10, SUMIF(Dati!CG45:CQ45, "&gt;0"))</f>
        <v>10</v>
      </c>
      <c r="AG29" s="248">
        <f t="shared" ca="1" si="7"/>
        <v>86</v>
      </c>
      <c r="AH29" s="11">
        <f t="shared" ca="1" si="27"/>
        <v>10</v>
      </c>
      <c r="AI29" s="18">
        <f t="shared" ca="1" si="28"/>
        <v>10</v>
      </c>
      <c r="AJ29" s="18">
        <f t="shared" ca="1" si="28"/>
        <v>6</v>
      </c>
      <c r="AK29" s="18">
        <f t="shared" ca="1" si="28"/>
        <v>10</v>
      </c>
      <c r="AL29" s="18">
        <f t="shared" ca="1" si="28"/>
        <v>0</v>
      </c>
      <c r="AM29" s="18">
        <f t="shared" ca="1" si="28"/>
        <v>10</v>
      </c>
      <c r="AN29" s="18">
        <f t="shared" ca="1" si="28"/>
        <v>10</v>
      </c>
      <c r="AO29" s="18">
        <f ca="1">SUMIF(Dati!DH45:DJ45, "&gt;0")</f>
        <v>10</v>
      </c>
      <c r="AP29" s="18">
        <f ca="1">MIN(10, SUMIF(Dati!DL45:DP45, "&gt;0"))</f>
        <v>10</v>
      </c>
      <c r="AQ29" s="18">
        <f ca="1">SUMIF(Dati!DR45:DT45, "&gt;0")</f>
        <v>0</v>
      </c>
      <c r="AR29" s="18">
        <f t="shared" ca="1" si="28"/>
        <v>8</v>
      </c>
      <c r="AS29" s="18">
        <f t="shared" ca="1" si="28"/>
        <v>10</v>
      </c>
      <c r="AT29" s="19">
        <f ca="1">MIN(10,SUMIF(Dati!DZ45:EB45, "&gt;0"))</f>
        <v>2</v>
      </c>
      <c r="AU29" s="240">
        <f t="shared" ca="1" si="9"/>
        <v>96</v>
      </c>
      <c r="AV29" s="4">
        <f t="shared" ca="1" si="10"/>
        <v>342</v>
      </c>
    </row>
    <row r="30" spans="1:48" ht="15" customHeight="1">
      <c r="A30" s="234">
        <f t="shared" si="17"/>
        <v>46</v>
      </c>
      <c r="B30" s="257" t="str">
        <f t="shared" ca="1" si="11"/>
        <v xml:space="preserve">Ministero dell'istruzione, università e ricerca                                               </v>
      </c>
      <c r="C30" s="11">
        <f t="shared" ca="1" si="26"/>
        <v>8</v>
      </c>
      <c r="D30" s="18">
        <f t="shared" ca="1" si="20"/>
        <v>10</v>
      </c>
      <c r="E30" s="18">
        <f t="shared" ca="1" si="20"/>
        <v>10</v>
      </c>
      <c r="F30" s="239">
        <f ca="1">MIN(10, SUMIF(Dati!K46:Q46, "&gt;0"))</f>
        <v>5</v>
      </c>
      <c r="G30" s="18">
        <f ca="1">MIN( 10, SUMIF(Dati!$S46:$Y46, "&gt;0"))</f>
        <v>10</v>
      </c>
      <c r="H30" s="18">
        <f t="shared" ca="1" si="20"/>
        <v>8</v>
      </c>
      <c r="I30" s="18">
        <f t="shared" ca="1" si="20"/>
        <v>10</v>
      </c>
      <c r="J30" s="18">
        <f t="shared" ca="1" si="20"/>
        <v>10</v>
      </c>
      <c r="K30" s="239">
        <f ca="1">SUMIF(Dati!AG46:AI46, "&gt;0")</f>
        <v>10</v>
      </c>
      <c r="L30" s="19">
        <f t="shared" ca="1" si="20"/>
        <v>10</v>
      </c>
      <c r="M30" s="251">
        <f t="shared" ca="1" si="13"/>
        <v>91</v>
      </c>
      <c r="N30" s="11">
        <f t="shared" ca="1" si="21"/>
        <v>10</v>
      </c>
      <c r="O30" s="18">
        <f t="shared" ca="1" si="29"/>
        <v>10</v>
      </c>
      <c r="P30" s="18">
        <f t="shared" ca="1" si="29"/>
        <v>10</v>
      </c>
      <c r="Q30" s="18">
        <f ca="1">SUMIF(Dati!AT46:AX46, "&gt;0")</f>
        <v>10</v>
      </c>
      <c r="R30" s="18">
        <f ca="1">SUMIF(Dati!AZ46:BB46, "&gt;0")</f>
        <v>6</v>
      </c>
      <c r="S30" s="18">
        <f ca="1">SUMIF(Dati!BD46:BF46, "&gt;0")</f>
        <v>10</v>
      </c>
      <c r="T30" s="18">
        <f ca="1">SUMIF(Dati!BH46:BJ46, "&gt;0")</f>
        <v>10</v>
      </c>
      <c r="U30" s="18">
        <f t="shared" ca="1" si="22"/>
        <v>10</v>
      </c>
      <c r="V30" s="19">
        <f t="shared" ca="1" si="23"/>
        <v>6</v>
      </c>
      <c r="W30" s="250">
        <f t="shared" ca="1" si="5"/>
        <v>82</v>
      </c>
      <c r="X30" s="11">
        <f t="shared" ca="1" si="24"/>
        <v>10</v>
      </c>
      <c r="Y30" s="18">
        <f t="shared" ca="1" si="24"/>
        <v>6</v>
      </c>
      <c r="Z30" s="18">
        <f t="shared" ca="1" si="24"/>
        <v>6</v>
      </c>
      <c r="AA30" s="18">
        <f t="shared" ca="1" si="24"/>
        <v>10</v>
      </c>
      <c r="AB30" s="18">
        <f t="shared" ca="1" si="24"/>
        <v>10</v>
      </c>
      <c r="AC30" s="18">
        <f t="shared" ca="1" si="24"/>
        <v>10</v>
      </c>
      <c r="AD30" s="18">
        <f t="shared" ca="1" si="24"/>
        <v>10</v>
      </c>
      <c r="AE30" s="18">
        <f t="shared" ca="1" si="24"/>
        <v>10</v>
      </c>
      <c r="AF30" s="19">
        <f ca="1">MIN(10, SUMIF(Dati!CG46:CQ46, "&gt;0"))</f>
        <v>10</v>
      </c>
      <c r="AG30" s="248">
        <f t="shared" ca="1" si="7"/>
        <v>82</v>
      </c>
      <c r="AH30" s="11">
        <f t="shared" ca="1" si="27"/>
        <v>0</v>
      </c>
      <c r="AI30" s="18">
        <f t="shared" ca="1" si="28"/>
        <v>0</v>
      </c>
      <c r="AJ30" s="18">
        <f t="shared" ca="1" si="28"/>
        <v>0</v>
      </c>
      <c r="AK30" s="18">
        <f t="shared" ca="1" si="28"/>
        <v>0</v>
      </c>
      <c r="AL30" s="18">
        <f t="shared" ca="1" si="28"/>
        <v>0</v>
      </c>
      <c r="AM30" s="18">
        <f t="shared" ca="1" si="28"/>
        <v>0</v>
      </c>
      <c r="AN30" s="18">
        <f t="shared" ca="1" si="28"/>
        <v>0</v>
      </c>
      <c r="AO30" s="18">
        <f ca="1">SUMIF(Dati!DH46:DJ46, "&gt;0")</f>
        <v>0</v>
      </c>
      <c r="AP30" s="18">
        <f ca="1">MIN(10, SUMIF(Dati!DL46:DP46, "&gt;0"))</f>
        <v>0</v>
      </c>
      <c r="AQ30" s="18">
        <f ca="1">SUMIF(Dati!DR46:DT46, "&gt;0")</f>
        <v>0</v>
      </c>
      <c r="AR30" s="18">
        <f t="shared" ca="1" si="28"/>
        <v>0</v>
      </c>
      <c r="AS30" s="18">
        <f t="shared" ca="1" si="28"/>
        <v>0</v>
      </c>
      <c r="AT30" s="19">
        <f ca="1">MIN(10,SUMIF(Dati!DZ46:EB46, "&gt;0"))</f>
        <v>2</v>
      </c>
      <c r="AU30" s="240">
        <f t="shared" ca="1" si="9"/>
        <v>2</v>
      </c>
      <c r="AV30" s="4">
        <f t="shared" ca="1" si="10"/>
        <v>257</v>
      </c>
    </row>
    <row r="31" spans="1:48" ht="15" customHeight="1">
      <c r="A31" s="234">
        <f t="shared" si="17"/>
        <v>47</v>
      </c>
      <c r="B31" s="257" t="str">
        <f t="shared" ca="1" si="11"/>
        <v xml:space="preserve">Ministero delle politiche agricole e forestali                                        </v>
      </c>
      <c r="C31" s="11">
        <f t="shared" ca="1" si="26"/>
        <v>6</v>
      </c>
      <c r="D31" s="18">
        <f t="shared" ca="1" si="20"/>
        <v>10</v>
      </c>
      <c r="E31" s="18">
        <f t="shared" ca="1" si="20"/>
        <v>0</v>
      </c>
      <c r="F31" s="239">
        <f ca="1">MIN(10, SUMIF(Dati!K47:Q47, "&gt;0"))</f>
        <v>0</v>
      </c>
      <c r="G31" s="18">
        <f ca="1">MIN( 10, SUMIF(Dati!$S47:$Y47, "&gt;0"))</f>
        <v>10</v>
      </c>
      <c r="H31" s="18">
        <f t="shared" ca="1" si="20"/>
        <v>10</v>
      </c>
      <c r="I31" s="18">
        <f t="shared" ca="1" si="20"/>
        <v>0</v>
      </c>
      <c r="J31" s="18">
        <f t="shared" ca="1" si="20"/>
        <v>6</v>
      </c>
      <c r="K31" s="239">
        <f ca="1">SUMIF(Dati!AG47:AI47, "&gt;0")</f>
        <v>10</v>
      </c>
      <c r="L31" s="19">
        <f t="shared" ca="1" si="20"/>
        <v>10</v>
      </c>
      <c r="M31" s="251">
        <f t="shared" ca="1" si="13"/>
        <v>62</v>
      </c>
      <c r="N31" s="11">
        <f t="shared" ca="1" si="21"/>
        <v>10</v>
      </c>
      <c r="O31" s="18">
        <f t="shared" ca="1" si="29"/>
        <v>10</v>
      </c>
      <c r="P31" s="18">
        <f t="shared" ca="1" si="29"/>
        <v>10</v>
      </c>
      <c r="Q31" s="18">
        <f ca="1">SUMIF(Dati!AT47:AX47, "&gt;0")</f>
        <v>10</v>
      </c>
      <c r="R31" s="18">
        <f ca="1">SUMIF(Dati!AZ47:BB47, "&gt;0")</f>
        <v>6</v>
      </c>
      <c r="S31" s="18">
        <f ca="1">SUMIF(Dati!BD47:BF47, "&gt;0")</f>
        <v>10</v>
      </c>
      <c r="T31" s="18">
        <f ca="1">SUMIF(Dati!BH47:BJ47, "&gt;0")</f>
        <v>10</v>
      </c>
      <c r="U31" s="18">
        <f t="shared" ca="1" si="22"/>
        <v>10</v>
      </c>
      <c r="V31" s="19">
        <f t="shared" ca="1" si="23"/>
        <v>10</v>
      </c>
      <c r="W31" s="250">
        <f t="shared" ca="1" si="5"/>
        <v>86</v>
      </c>
      <c r="X31" s="11">
        <f t="shared" ca="1" si="24"/>
        <v>10</v>
      </c>
      <c r="Y31" s="18">
        <f t="shared" ca="1" si="24"/>
        <v>10</v>
      </c>
      <c r="Z31" s="18">
        <f t="shared" ca="1" si="24"/>
        <v>10</v>
      </c>
      <c r="AA31" s="18">
        <f t="shared" ca="1" si="24"/>
        <v>10</v>
      </c>
      <c r="AB31" s="18">
        <f t="shared" ca="1" si="24"/>
        <v>10</v>
      </c>
      <c r="AC31" s="18">
        <f t="shared" ca="1" si="24"/>
        <v>0</v>
      </c>
      <c r="AD31" s="18">
        <f t="shared" ca="1" si="24"/>
        <v>10</v>
      </c>
      <c r="AE31" s="18">
        <f t="shared" ca="1" si="24"/>
        <v>0</v>
      </c>
      <c r="AF31" s="19">
        <f ca="1">MIN(10, SUMIF(Dati!CG47:CQ47, "&gt;0"))</f>
        <v>10</v>
      </c>
      <c r="AG31" s="248">
        <f t="shared" ca="1" si="7"/>
        <v>70</v>
      </c>
      <c r="AH31" s="11">
        <f t="shared" ca="1" si="27"/>
        <v>0</v>
      </c>
      <c r="AI31" s="18">
        <f t="shared" ca="1" si="28"/>
        <v>10</v>
      </c>
      <c r="AJ31" s="18">
        <f t="shared" ca="1" si="28"/>
        <v>0</v>
      </c>
      <c r="AK31" s="18">
        <f t="shared" ca="1" si="28"/>
        <v>10</v>
      </c>
      <c r="AL31" s="18">
        <f t="shared" ca="1" si="28"/>
        <v>10</v>
      </c>
      <c r="AM31" s="18">
        <f t="shared" ca="1" si="28"/>
        <v>10</v>
      </c>
      <c r="AN31" s="18">
        <f t="shared" ca="1" si="28"/>
        <v>10</v>
      </c>
      <c r="AO31" s="18">
        <f ca="1">SUMIF(Dati!DH47:DJ47, "&gt;0")</f>
        <v>10</v>
      </c>
      <c r="AP31" s="18">
        <f ca="1">MIN(10, SUMIF(Dati!DL47:DP47, "&gt;0"))</f>
        <v>10</v>
      </c>
      <c r="AQ31" s="18">
        <f ca="1">SUMIF(Dati!DR47:DT47, "&gt;0")</f>
        <v>6</v>
      </c>
      <c r="AR31" s="18">
        <f t="shared" ca="1" si="28"/>
        <v>8</v>
      </c>
      <c r="AS31" s="18">
        <f t="shared" ca="1" si="28"/>
        <v>10</v>
      </c>
      <c r="AT31" s="19">
        <f ca="1">MIN(10,SUMIF(Dati!DZ47:EB47, "&gt;0"))</f>
        <v>2</v>
      </c>
      <c r="AU31" s="240">
        <f t="shared" ca="1" si="9"/>
        <v>96</v>
      </c>
      <c r="AV31" s="4">
        <f t="shared" ca="1" si="10"/>
        <v>314</v>
      </c>
    </row>
    <row r="32" spans="1:48" ht="15" customHeight="1">
      <c r="A32" s="234">
        <f t="shared" si="17"/>
        <v>48</v>
      </c>
      <c r="B32" s="257" t="str">
        <f t="shared" ca="1" si="11"/>
        <v xml:space="preserve">Ministero del lavoro e delle politiche sociali           </v>
      </c>
      <c r="C32" s="11">
        <f t="shared" ca="1" si="26"/>
        <v>8</v>
      </c>
      <c r="D32" s="18">
        <f t="shared" ca="1" si="20"/>
        <v>10</v>
      </c>
      <c r="E32" s="18">
        <f t="shared" ca="1" si="20"/>
        <v>10</v>
      </c>
      <c r="F32" s="239">
        <f ca="1">MIN(10, SUMIF(Dati!K48:Q48, "&gt;0"))</f>
        <v>5</v>
      </c>
      <c r="G32" s="18">
        <f ca="1">MIN( 10, SUMIF(Dati!$S48:$Y48, "&gt;0"))</f>
        <v>10</v>
      </c>
      <c r="H32" s="18">
        <f t="shared" ca="1" si="20"/>
        <v>8</v>
      </c>
      <c r="I32" s="18">
        <f t="shared" ca="1" si="20"/>
        <v>10</v>
      </c>
      <c r="J32" s="18">
        <f t="shared" ca="1" si="20"/>
        <v>10</v>
      </c>
      <c r="K32" s="239">
        <f ca="1">SUMIF(Dati!AG48:AI48, "&gt;0")</f>
        <v>10</v>
      </c>
      <c r="L32" s="19">
        <f t="shared" ca="1" si="20"/>
        <v>10</v>
      </c>
      <c r="M32" s="251">
        <f t="shared" ca="1" si="13"/>
        <v>91</v>
      </c>
      <c r="N32" s="11">
        <f t="shared" ca="1" si="21"/>
        <v>10</v>
      </c>
      <c r="O32" s="18">
        <f t="shared" ca="1" si="29"/>
        <v>10</v>
      </c>
      <c r="P32" s="18">
        <f t="shared" ca="1" si="29"/>
        <v>10</v>
      </c>
      <c r="Q32" s="18">
        <f ca="1">SUMIF(Dati!AT48:AX48, "&gt;0")</f>
        <v>5</v>
      </c>
      <c r="R32" s="18">
        <f ca="1">SUMIF(Dati!AZ48:BB48, "&gt;0")</f>
        <v>6</v>
      </c>
      <c r="S32" s="18">
        <f ca="1">SUMIF(Dati!BD48:BF48, "&gt;0")</f>
        <v>6</v>
      </c>
      <c r="T32" s="18">
        <f ca="1">SUMIF(Dati!BH48:BJ48, "&gt;0")</f>
        <v>10</v>
      </c>
      <c r="U32" s="18">
        <f t="shared" ca="1" si="22"/>
        <v>0</v>
      </c>
      <c r="V32" s="19">
        <f t="shared" ca="1" si="23"/>
        <v>10</v>
      </c>
      <c r="W32" s="250">
        <f t="shared" ca="1" si="5"/>
        <v>67</v>
      </c>
      <c r="X32" s="11">
        <f t="shared" ca="1" si="24"/>
        <v>10</v>
      </c>
      <c r="Y32" s="18">
        <f t="shared" ca="1" si="24"/>
        <v>6</v>
      </c>
      <c r="Z32" s="18">
        <f t="shared" ca="1" si="24"/>
        <v>6</v>
      </c>
      <c r="AA32" s="18">
        <f t="shared" ca="1" si="24"/>
        <v>10</v>
      </c>
      <c r="AB32" s="18">
        <f t="shared" ca="1" si="24"/>
        <v>10</v>
      </c>
      <c r="AC32" s="18">
        <f t="shared" ca="1" si="24"/>
        <v>10</v>
      </c>
      <c r="AD32" s="18">
        <f t="shared" ca="1" si="24"/>
        <v>0</v>
      </c>
      <c r="AE32" s="18">
        <f t="shared" ca="1" si="24"/>
        <v>10</v>
      </c>
      <c r="AF32" s="19">
        <f ca="1">MIN(10, SUMIF(Dati!CG48:CQ48, "&gt;0"))</f>
        <v>10</v>
      </c>
      <c r="AG32" s="248">
        <f t="shared" ca="1" si="7"/>
        <v>72</v>
      </c>
      <c r="AH32" s="11">
        <f t="shared" ca="1" si="27"/>
        <v>0</v>
      </c>
      <c r="AI32" s="18">
        <f t="shared" ca="1" si="28"/>
        <v>0</v>
      </c>
      <c r="AJ32" s="18">
        <f t="shared" ca="1" si="28"/>
        <v>0</v>
      </c>
      <c r="AK32" s="18">
        <f t="shared" ca="1" si="28"/>
        <v>0</v>
      </c>
      <c r="AL32" s="18">
        <f t="shared" ca="1" si="28"/>
        <v>0</v>
      </c>
      <c r="AM32" s="18">
        <f t="shared" ca="1" si="28"/>
        <v>0</v>
      </c>
      <c r="AN32" s="18">
        <f t="shared" ca="1" si="28"/>
        <v>0</v>
      </c>
      <c r="AO32" s="18">
        <f ca="1">SUMIF(Dati!DH48:DJ48, "&gt;0")</f>
        <v>0</v>
      </c>
      <c r="AP32" s="18">
        <f ca="1">MIN(10, SUMIF(Dati!DL48:DP48, "&gt;0"))</f>
        <v>0</v>
      </c>
      <c r="AQ32" s="18">
        <f ca="1">SUMIF(Dati!DR48:DT48, "&gt;0")</f>
        <v>0</v>
      </c>
      <c r="AR32" s="18">
        <f t="shared" ca="1" si="28"/>
        <v>0</v>
      </c>
      <c r="AS32" s="18">
        <f t="shared" ca="1" si="28"/>
        <v>0</v>
      </c>
      <c r="AT32" s="19">
        <f ca="1">MIN(10,SUMIF(Dati!DZ48:EB48, "&gt;0"))</f>
        <v>0</v>
      </c>
      <c r="AU32" s="240">
        <f t="shared" ca="1" si="9"/>
        <v>0</v>
      </c>
      <c r="AV32" s="4">
        <f t="shared" ca="1" si="10"/>
        <v>230</v>
      </c>
    </row>
    <row r="33" spans="1:48" ht="15" customHeight="1">
      <c r="A33" s="234">
        <f t="shared" si="17"/>
        <v>49</v>
      </c>
      <c r="B33" s="257" t="str">
        <f t="shared" ca="1" si="11"/>
        <v xml:space="preserve">Ministero della salute                        </v>
      </c>
      <c r="C33" s="11">
        <f t="shared" ca="1" si="26"/>
        <v>6</v>
      </c>
      <c r="D33" s="18">
        <f t="shared" ca="1" si="20"/>
        <v>10</v>
      </c>
      <c r="E33" s="18">
        <f t="shared" ca="1" si="20"/>
        <v>10</v>
      </c>
      <c r="F33" s="239">
        <f ca="1">MIN(10, SUMIF(Dati!K49:Q49, "&gt;0"))</f>
        <v>10</v>
      </c>
      <c r="G33" s="18">
        <f ca="1">MIN( 10, SUMIF(Dati!$S49:$Y49, "&gt;0"))</f>
        <v>10</v>
      </c>
      <c r="H33" s="18">
        <f t="shared" ca="1" si="20"/>
        <v>10</v>
      </c>
      <c r="I33" s="18">
        <f t="shared" ca="1" si="20"/>
        <v>10</v>
      </c>
      <c r="J33" s="18">
        <f t="shared" ca="1" si="20"/>
        <v>10</v>
      </c>
      <c r="K33" s="239">
        <f ca="1">SUMIF(Dati!AG49:AI49, "&gt;0")</f>
        <v>10</v>
      </c>
      <c r="L33" s="19">
        <f t="shared" ca="1" si="20"/>
        <v>10</v>
      </c>
      <c r="M33" s="251">
        <f t="shared" ca="1" si="13"/>
        <v>96</v>
      </c>
      <c r="N33" s="11">
        <f t="shared" ca="1" si="21"/>
        <v>10</v>
      </c>
      <c r="O33" s="18">
        <f t="shared" ca="1" si="29"/>
        <v>10</v>
      </c>
      <c r="P33" s="18">
        <f t="shared" ca="1" si="29"/>
        <v>10</v>
      </c>
      <c r="Q33" s="18">
        <f ca="1">SUMIF(Dati!AT49:AX49, "&gt;0")</f>
        <v>10</v>
      </c>
      <c r="R33" s="18">
        <f ca="1">SUMIF(Dati!AZ49:BB49, "&gt;0")</f>
        <v>0</v>
      </c>
      <c r="S33" s="18">
        <f ca="1">SUMIF(Dati!BD49:BF49, "&gt;0")</f>
        <v>10</v>
      </c>
      <c r="T33" s="18">
        <f ca="1">SUMIF(Dati!BH49:BJ49, "&gt;0")</f>
        <v>10</v>
      </c>
      <c r="U33" s="18">
        <f t="shared" ca="1" si="22"/>
        <v>10</v>
      </c>
      <c r="V33" s="19">
        <f t="shared" ca="1" si="23"/>
        <v>10</v>
      </c>
      <c r="W33" s="250">
        <f t="shared" ca="1" si="5"/>
        <v>80</v>
      </c>
      <c r="X33" s="11">
        <f t="shared" ca="1" si="24"/>
        <v>0</v>
      </c>
      <c r="Y33" s="18">
        <f t="shared" ca="1" si="24"/>
        <v>10</v>
      </c>
      <c r="Z33" s="18">
        <f t="shared" ca="1" si="24"/>
        <v>10</v>
      </c>
      <c r="AA33" s="18">
        <f t="shared" ca="1" si="24"/>
        <v>10</v>
      </c>
      <c r="AB33" s="18">
        <f t="shared" ca="1" si="24"/>
        <v>10</v>
      </c>
      <c r="AC33" s="18">
        <f t="shared" ca="1" si="24"/>
        <v>10</v>
      </c>
      <c r="AD33" s="18">
        <f t="shared" ca="1" si="24"/>
        <v>10</v>
      </c>
      <c r="AE33" s="18">
        <f t="shared" ca="1" si="24"/>
        <v>10</v>
      </c>
      <c r="AF33" s="19">
        <f ca="1">MIN(10, SUMIF(Dati!CG49:CQ49, "&gt;0"))</f>
        <v>10</v>
      </c>
      <c r="AG33" s="248">
        <f t="shared" ca="1" si="7"/>
        <v>80</v>
      </c>
      <c r="AH33" s="11">
        <f t="shared" ca="1" si="27"/>
        <v>10</v>
      </c>
      <c r="AI33" s="18">
        <f t="shared" ca="1" si="28"/>
        <v>10</v>
      </c>
      <c r="AJ33" s="18">
        <f t="shared" ca="1" si="28"/>
        <v>10</v>
      </c>
      <c r="AK33" s="18">
        <f t="shared" ca="1" si="28"/>
        <v>0</v>
      </c>
      <c r="AL33" s="18">
        <f t="shared" ca="1" si="28"/>
        <v>0</v>
      </c>
      <c r="AM33" s="18">
        <f t="shared" ca="1" si="28"/>
        <v>10</v>
      </c>
      <c r="AN33" s="18">
        <f t="shared" ca="1" si="28"/>
        <v>10</v>
      </c>
      <c r="AO33" s="18">
        <f ca="1">SUMIF(Dati!DH49:DJ49, "&gt;0")</f>
        <v>10</v>
      </c>
      <c r="AP33" s="18">
        <f ca="1">MIN(10, SUMIF(Dati!DL49:DP49, "&gt;0"))</f>
        <v>10</v>
      </c>
      <c r="AQ33" s="18">
        <f ca="1">SUMIF(Dati!DR49:DT49, "&gt;0")</f>
        <v>0</v>
      </c>
      <c r="AR33" s="18">
        <f t="shared" ca="1" si="28"/>
        <v>8</v>
      </c>
      <c r="AS33" s="18">
        <f t="shared" ca="1" si="28"/>
        <v>10</v>
      </c>
      <c r="AT33" s="19">
        <f ca="1">MIN(10,SUMIF(Dati!DZ49:EB49, "&gt;0"))</f>
        <v>6</v>
      </c>
      <c r="AU33" s="240">
        <f t="shared" ca="1" si="9"/>
        <v>94</v>
      </c>
      <c r="AV33" s="4">
        <f t="shared" ca="1" si="10"/>
        <v>350</v>
      </c>
    </row>
    <row r="34" spans="1:48" ht="15" customHeight="1">
      <c r="A34" s="234">
        <f t="shared" si="17"/>
        <v>50</v>
      </c>
      <c r="B34" s="257" t="str">
        <f t="shared" ca="1" si="11"/>
        <v xml:space="preserve">Automobile club d'Italia                                                                            </v>
      </c>
      <c r="C34" s="11">
        <f t="shared" ca="1" si="26"/>
        <v>6</v>
      </c>
      <c r="D34" s="18">
        <f t="shared" ca="1" si="20"/>
        <v>10</v>
      </c>
      <c r="E34" s="18">
        <f t="shared" ca="1" si="20"/>
        <v>0</v>
      </c>
      <c r="F34" s="239">
        <f ca="1">MIN(10, SUMIF(Dati!K50:Q50, "&gt;0"))</f>
        <v>0</v>
      </c>
      <c r="G34" s="18">
        <f ca="1">MIN( 10, SUMIF(Dati!$S50:$Y50, "&gt;0"))</f>
        <v>10</v>
      </c>
      <c r="H34" s="18">
        <f t="shared" ca="1" si="20"/>
        <v>6</v>
      </c>
      <c r="I34" s="18">
        <f t="shared" ca="1" si="20"/>
        <v>0</v>
      </c>
      <c r="J34" s="18">
        <f t="shared" ca="1" si="20"/>
        <v>10</v>
      </c>
      <c r="K34" s="239">
        <f ca="1">SUMIF(Dati!AG50:AI50, "&gt;0")</f>
        <v>10</v>
      </c>
      <c r="L34" s="19">
        <f t="shared" ca="1" si="20"/>
        <v>10</v>
      </c>
      <c r="M34" s="251">
        <f t="shared" ca="1" si="13"/>
        <v>62</v>
      </c>
      <c r="N34" s="11">
        <f t="shared" ca="1" si="21"/>
        <v>10</v>
      </c>
      <c r="O34" s="18">
        <f t="shared" ca="1" si="29"/>
        <v>10</v>
      </c>
      <c r="P34" s="18">
        <f t="shared" ca="1" si="29"/>
        <v>10</v>
      </c>
      <c r="Q34" s="18">
        <f ca="1">SUMIF(Dati!AT50:AX50, "&gt;0")</f>
        <v>10</v>
      </c>
      <c r="R34" s="18">
        <f ca="1">SUMIF(Dati!AZ50:BB50, "&gt;0")</f>
        <v>6</v>
      </c>
      <c r="S34" s="18">
        <f ca="1">SUMIF(Dati!BD50:BF50, "&gt;0")</f>
        <v>10</v>
      </c>
      <c r="T34" s="18">
        <f ca="1">SUMIF(Dati!BH50:BJ50, "&gt;0")</f>
        <v>10</v>
      </c>
      <c r="U34" s="18">
        <f t="shared" ca="1" si="22"/>
        <v>10</v>
      </c>
      <c r="V34" s="19">
        <f t="shared" ca="1" si="23"/>
        <v>6</v>
      </c>
      <c r="W34" s="250">
        <f t="shared" ca="1" si="5"/>
        <v>82</v>
      </c>
      <c r="X34" s="11">
        <f t="shared" ca="1" si="24"/>
        <v>10</v>
      </c>
      <c r="Y34" s="18">
        <f t="shared" ca="1" si="24"/>
        <v>0</v>
      </c>
      <c r="Z34" s="18">
        <f t="shared" ca="1" si="24"/>
        <v>6</v>
      </c>
      <c r="AA34" s="18">
        <f t="shared" ca="1" si="24"/>
        <v>10</v>
      </c>
      <c r="AB34" s="18">
        <f t="shared" ca="1" si="24"/>
        <v>10</v>
      </c>
      <c r="AC34" s="18">
        <f t="shared" ca="1" si="24"/>
        <v>10</v>
      </c>
      <c r="AD34" s="18">
        <f t="shared" ca="1" si="24"/>
        <v>10</v>
      </c>
      <c r="AE34" s="18">
        <f t="shared" ca="1" si="24"/>
        <v>10</v>
      </c>
      <c r="AF34" s="19">
        <f ca="1">MIN(10, SUMIF(Dati!CG50:CQ50, "&gt;0"))</f>
        <v>10</v>
      </c>
      <c r="AG34" s="248">
        <f t="shared" ca="1" si="7"/>
        <v>76</v>
      </c>
      <c r="AH34" s="11">
        <f t="shared" ca="1" si="27"/>
        <v>10</v>
      </c>
      <c r="AI34" s="18">
        <f t="shared" ca="1" si="28"/>
        <v>10</v>
      </c>
      <c r="AJ34" s="18">
        <f t="shared" ca="1" si="28"/>
        <v>10</v>
      </c>
      <c r="AK34" s="18">
        <f t="shared" ca="1" si="28"/>
        <v>10</v>
      </c>
      <c r="AL34" s="18">
        <f t="shared" ca="1" si="28"/>
        <v>10</v>
      </c>
      <c r="AM34" s="18">
        <f t="shared" ca="1" si="28"/>
        <v>10</v>
      </c>
      <c r="AN34" s="18">
        <f t="shared" ca="1" si="28"/>
        <v>10</v>
      </c>
      <c r="AO34" s="18">
        <f ca="1">SUMIF(Dati!DH50:DJ50, "&gt;0")</f>
        <v>10</v>
      </c>
      <c r="AP34" s="18">
        <f ca="1">MIN(10, SUMIF(Dati!DL50:DP50, "&gt;0"))</f>
        <v>10</v>
      </c>
      <c r="AQ34" s="18">
        <f ca="1">SUMIF(Dati!DR50:DT50, "&gt;0")</f>
        <v>6</v>
      </c>
      <c r="AR34" s="18">
        <f t="shared" ca="1" si="28"/>
        <v>10</v>
      </c>
      <c r="AS34" s="18">
        <f t="shared" ca="1" si="28"/>
        <v>10</v>
      </c>
      <c r="AT34" s="19">
        <f ca="1">MIN(10,SUMIF(Dati!DZ50:EB50, "&gt;0"))</f>
        <v>10</v>
      </c>
      <c r="AU34" s="240">
        <f t="shared" ca="1" si="9"/>
        <v>126</v>
      </c>
      <c r="AV34" s="4">
        <f t="shared" ca="1" si="10"/>
        <v>346</v>
      </c>
    </row>
    <row r="35" spans="1:48" ht="15" customHeight="1">
      <c r="A35" s="234">
        <f t="shared" si="17"/>
        <v>51</v>
      </c>
      <c r="B35" s="257" t="str">
        <f t="shared" ca="1" si="11"/>
        <v xml:space="preserve">Agenzia per le erogazioni in agricoltura                                                            </v>
      </c>
      <c r="C35" s="11">
        <f t="shared" ca="1" si="26"/>
        <v>6</v>
      </c>
      <c r="D35" s="18">
        <f t="shared" ca="1" si="20"/>
        <v>10</v>
      </c>
      <c r="E35" s="18">
        <f t="shared" ca="1" si="20"/>
        <v>0</v>
      </c>
      <c r="F35" s="239">
        <f ca="1">MIN(10, SUMIF(Dati!K51:Q51, "&gt;0"))</f>
        <v>0</v>
      </c>
      <c r="G35" s="18">
        <f ca="1">MIN( 10, SUMIF(Dati!$S51:$Y51, "&gt;0"))</f>
        <v>10</v>
      </c>
      <c r="H35" s="18">
        <f t="shared" ca="1" si="20"/>
        <v>10</v>
      </c>
      <c r="I35" s="18">
        <f t="shared" ca="1" si="20"/>
        <v>0</v>
      </c>
      <c r="J35" s="18">
        <f t="shared" ca="1" si="20"/>
        <v>0</v>
      </c>
      <c r="K35" s="239">
        <f ca="1">SUMIF(Dati!AG51:AI51, "&gt;0")</f>
        <v>10</v>
      </c>
      <c r="L35" s="19">
        <f t="shared" ca="1" si="20"/>
        <v>10</v>
      </c>
      <c r="M35" s="251">
        <f t="shared" ca="1" si="13"/>
        <v>56</v>
      </c>
      <c r="N35" s="11">
        <f t="shared" ca="1" si="21"/>
        <v>10</v>
      </c>
      <c r="O35" s="18">
        <f t="shared" ca="1" si="29"/>
        <v>10</v>
      </c>
      <c r="P35" s="18">
        <f t="shared" ca="1" si="29"/>
        <v>10</v>
      </c>
      <c r="Q35" s="18">
        <f ca="1">SUMIF(Dati!AT51:AX51, "&gt;0")</f>
        <v>10</v>
      </c>
      <c r="R35" s="18">
        <f ca="1">SUMIF(Dati!AZ51:BB51, "&gt;0")</f>
        <v>6</v>
      </c>
      <c r="S35" s="18">
        <f ca="1">SUMIF(Dati!BD51:BF51, "&gt;0")</f>
        <v>10</v>
      </c>
      <c r="T35" s="18">
        <f ca="1">SUMIF(Dati!BH51:BJ51, "&gt;0")</f>
        <v>10</v>
      </c>
      <c r="U35" s="18">
        <f t="shared" ca="1" si="22"/>
        <v>10</v>
      </c>
      <c r="V35" s="19">
        <f t="shared" ca="1" si="23"/>
        <v>10</v>
      </c>
      <c r="W35" s="250">
        <f t="shared" ca="1" si="5"/>
        <v>86</v>
      </c>
      <c r="X35" s="11">
        <f t="shared" ca="1" si="24"/>
        <v>0</v>
      </c>
      <c r="Y35" s="18">
        <f t="shared" ca="1" si="24"/>
        <v>10</v>
      </c>
      <c r="Z35" s="18">
        <f t="shared" ca="1" si="24"/>
        <v>10</v>
      </c>
      <c r="AA35" s="18">
        <f t="shared" ca="1" si="24"/>
        <v>10</v>
      </c>
      <c r="AB35" s="18">
        <f t="shared" ca="1" si="24"/>
        <v>10</v>
      </c>
      <c r="AC35" s="18">
        <f t="shared" ca="1" si="24"/>
        <v>0</v>
      </c>
      <c r="AD35" s="18">
        <f t="shared" ca="1" si="24"/>
        <v>10</v>
      </c>
      <c r="AE35" s="18">
        <f t="shared" ca="1" si="24"/>
        <v>0</v>
      </c>
      <c r="AF35" s="19">
        <f ca="1">MIN(10, SUMIF(Dati!CG51:CQ51, "&gt;0"))</f>
        <v>10</v>
      </c>
      <c r="AG35" s="248">
        <f t="shared" ca="1" si="7"/>
        <v>60</v>
      </c>
      <c r="AH35" s="11">
        <f t="shared" ca="1" si="27"/>
        <v>0</v>
      </c>
      <c r="AI35" s="18">
        <f t="shared" ca="1" si="28"/>
        <v>10</v>
      </c>
      <c r="AJ35" s="18">
        <f t="shared" ca="1" si="28"/>
        <v>0</v>
      </c>
      <c r="AK35" s="18">
        <f t="shared" ca="1" si="28"/>
        <v>10</v>
      </c>
      <c r="AL35" s="18">
        <f t="shared" ca="1" si="28"/>
        <v>10</v>
      </c>
      <c r="AM35" s="18">
        <f t="shared" ca="1" si="28"/>
        <v>10</v>
      </c>
      <c r="AN35" s="18">
        <f t="shared" ca="1" si="28"/>
        <v>10</v>
      </c>
      <c r="AO35" s="18">
        <f ca="1">SUMIF(Dati!DH51:DJ51, "&gt;0")</f>
        <v>10</v>
      </c>
      <c r="AP35" s="18">
        <f ca="1">MIN(10, SUMIF(Dati!DL51:DP51, "&gt;0"))</f>
        <v>10</v>
      </c>
      <c r="AQ35" s="18">
        <f ca="1">SUMIF(Dati!DR51:DT51, "&gt;0")</f>
        <v>6</v>
      </c>
      <c r="AR35" s="18">
        <f t="shared" ca="1" si="28"/>
        <v>8</v>
      </c>
      <c r="AS35" s="18">
        <f t="shared" ca="1" si="28"/>
        <v>10</v>
      </c>
      <c r="AT35" s="19">
        <f ca="1">MIN(10,SUMIF(Dati!DZ51:EB51, "&gt;0"))</f>
        <v>2</v>
      </c>
      <c r="AU35" s="240">
        <f t="shared" ca="1" si="9"/>
        <v>96</v>
      </c>
      <c r="AV35" s="4">
        <f t="shared" ca="1" si="10"/>
        <v>298</v>
      </c>
    </row>
    <row r="36" spans="1:48" ht="15" customHeight="1">
      <c r="A36" s="234">
        <f t="shared" si="17"/>
        <v>52</v>
      </c>
      <c r="B36" s="257" t="str">
        <f t="shared" ca="1" si="11"/>
        <v xml:space="preserve">Consiglio nazionale delle ricerche                                                                  </v>
      </c>
      <c r="C36" s="11">
        <f t="shared" ca="1" si="26"/>
        <v>8</v>
      </c>
      <c r="D36" s="18">
        <f t="shared" ca="1" si="20"/>
        <v>10</v>
      </c>
      <c r="E36" s="18">
        <f t="shared" ca="1" si="20"/>
        <v>0</v>
      </c>
      <c r="F36" s="239">
        <f ca="1">MIN(10, SUMIF(Dati!K52:Q52, "&gt;0"))</f>
        <v>0</v>
      </c>
      <c r="G36" s="18">
        <f ca="1">MIN( 10, SUMIF(Dati!$S52:$Y52, "&gt;0"))</f>
        <v>10</v>
      </c>
      <c r="H36" s="18">
        <f t="shared" ca="1" si="20"/>
        <v>8</v>
      </c>
      <c r="I36" s="18">
        <f t="shared" ca="1" si="20"/>
        <v>0</v>
      </c>
      <c r="J36" s="18">
        <f t="shared" ca="1" si="20"/>
        <v>0</v>
      </c>
      <c r="K36" s="239">
        <f ca="1">SUMIF(Dati!AG52:AI52, "&gt;0")</f>
        <v>10</v>
      </c>
      <c r="L36" s="19">
        <f t="shared" ca="1" si="20"/>
        <v>10</v>
      </c>
      <c r="M36" s="251">
        <f t="shared" ca="1" si="13"/>
        <v>56</v>
      </c>
      <c r="N36" s="11">
        <f t="shared" ca="1" si="21"/>
        <v>10</v>
      </c>
      <c r="O36" s="18">
        <f t="shared" ca="1" si="29"/>
        <v>10</v>
      </c>
      <c r="P36" s="18">
        <f t="shared" ca="1" si="29"/>
        <v>10</v>
      </c>
      <c r="Q36" s="18">
        <f ca="1">SUMIF(Dati!AT52:AX52, "&gt;0")</f>
        <v>10</v>
      </c>
      <c r="R36" s="18">
        <f ca="1">SUMIF(Dati!AZ52:BB52, "&gt;0")</f>
        <v>10</v>
      </c>
      <c r="S36" s="18">
        <f ca="1">SUMIF(Dati!BD52:BF52, "&gt;0")</f>
        <v>10</v>
      </c>
      <c r="T36" s="18">
        <f ca="1">SUMIF(Dati!BH52:BJ52, "&gt;0")</f>
        <v>10</v>
      </c>
      <c r="U36" s="18">
        <f t="shared" ca="1" si="22"/>
        <v>10</v>
      </c>
      <c r="V36" s="19">
        <f t="shared" ca="1" si="23"/>
        <v>6</v>
      </c>
      <c r="W36" s="250">
        <f t="shared" ca="1" si="5"/>
        <v>86</v>
      </c>
      <c r="X36" s="11">
        <f t="shared" ca="1" si="24"/>
        <v>0</v>
      </c>
      <c r="Y36" s="18">
        <f t="shared" ca="1" si="24"/>
        <v>6</v>
      </c>
      <c r="Z36" s="18">
        <f t="shared" ca="1" si="24"/>
        <v>0</v>
      </c>
      <c r="AA36" s="18">
        <f t="shared" ca="1" si="24"/>
        <v>0</v>
      </c>
      <c r="AB36" s="18">
        <f t="shared" ca="1" si="24"/>
        <v>10</v>
      </c>
      <c r="AC36" s="18">
        <f t="shared" ca="1" si="24"/>
        <v>10</v>
      </c>
      <c r="AD36" s="18">
        <f t="shared" ca="1" si="24"/>
        <v>10</v>
      </c>
      <c r="AE36" s="18">
        <f t="shared" ca="1" si="24"/>
        <v>10</v>
      </c>
      <c r="AF36" s="19">
        <f ca="1">MIN(10, SUMIF(Dati!CG52:CQ52, "&gt;0"))</f>
        <v>3</v>
      </c>
      <c r="AG36" s="248">
        <f t="shared" ca="1" si="7"/>
        <v>49</v>
      </c>
      <c r="AH36" s="11">
        <f t="shared" ca="1" si="27"/>
        <v>10</v>
      </c>
      <c r="AI36" s="18">
        <f t="shared" ca="1" si="28"/>
        <v>10</v>
      </c>
      <c r="AJ36" s="18">
        <f t="shared" ca="1" si="28"/>
        <v>0</v>
      </c>
      <c r="AK36" s="18">
        <f t="shared" ca="1" si="28"/>
        <v>10</v>
      </c>
      <c r="AL36" s="18">
        <f t="shared" ca="1" si="28"/>
        <v>0</v>
      </c>
      <c r="AM36" s="18">
        <f t="shared" ca="1" si="28"/>
        <v>0</v>
      </c>
      <c r="AN36" s="18">
        <f t="shared" ca="1" si="28"/>
        <v>0</v>
      </c>
      <c r="AO36" s="18">
        <f ca="1">SUMIF(Dati!DH52:DJ52, "&gt;0")</f>
        <v>6</v>
      </c>
      <c r="AP36" s="18">
        <f ca="1">MIN(10, SUMIF(Dati!DL52:DP52, "&gt;0"))</f>
        <v>0</v>
      </c>
      <c r="AQ36" s="18">
        <f ca="1">SUMIF(Dati!DR52:DT52, "&gt;0")</f>
        <v>0</v>
      </c>
      <c r="AR36" s="18">
        <f t="shared" ca="1" si="28"/>
        <v>0</v>
      </c>
      <c r="AS36" s="18">
        <f t="shared" ca="1" si="28"/>
        <v>0</v>
      </c>
      <c r="AT36" s="19">
        <f ca="1">MIN(10,SUMIF(Dati!DZ52:EB52, "&gt;0"))</f>
        <v>2</v>
      </c>
      <c r="AU36" s="240">
        <f t="shared" ca="1" si="9"/>
        <v>38</v>
      </c>
      <c r="AV36" s="4">
        <f t="shared" ca="1" si="10"/>
        <v>229</v>
      </c>
    </row>
    <row r="37" spans="1:48" ht="15" customHeight="1">
      <c r="A37" s="234">
        <f t="shared" si="17"/>
        <v>53</v>
      </c>
      <c r="B37" s="257" t="str">
        <f t="shared" ca="1" si="11"/>
        <v>Ente Nazionale per l'Aviazione Civile</v>
      </c>
      <c r="C37" s="11">
        <f t="shared" ca="1" si="26"/>
        <v>6</v>
      </c>
      <c r="D37" s="18">
        <f t="shared" ref="D37:L50" ca="1" si="30">INDIRECT(ADDRESS($A37,D$3,1,FALSE, "Dati"), FALSE)</f>
        <v>10</v>
      </c>
      <c r="E37" s="18">
        <f t="shared" ca="1" si="30"/>
        <v>10</v>
      </c>
      <c r="F37" s="239">
        <f ca="1">MIN(10, SUMIF(Dati!K53:Q53, "&gt;0"))</f>
        <v>3</v>
      </c>
      <c r="G37" s="18">
        <f ca="1">MIN( 10, SUMIF(Dati!$S53:$Y53, "&gt;0"))</f>
        <v>10</v>
      </c>
      <c r="H37" s="18">
        <f t="shared" ca="1" si="30"/>
        <v>8</v>
      </c>
      <c r="I37" s="18">
        <f t="shared" ca="1" si="30"/>
        <v>10</v>
      </c>
      <c r="J37" s="18">
        <f t="shared" ca="1" si="30"/>
        <v>0</v>
      </c>
      <c r="K37" s="239">
        <f ca="1">SUMIF(Dati!AG53:AI53, "&gt;0")</f>
        <v>10</v>
      </c>
      <c r="L37" s="19">
        <f t="shared" ca="1" si="30"/>
        <v>10</v>
      </c>
      <c r="M37" s="251">
        <f t="shared" ca="1" si="13"/>
        <v>77</v>
      </c>
      <c r="N37" s="11">
        <f t="shared" ca="1" si="21"/>
        <v>10</v>
      </c>
      <c r="O37" s="18">
        <f t="shared" ca="1" si="29"/>
        <v>10</v>
      </c>
      <c r="P37" s="18">
        <f t="shared" ca="1" si="29"/>
        <v>10</v>
      </c>
      <c r="Q37" s="18">
        <f ca="1">SUMIF(Dati!AT53:AX53, "&gt;0")</f>
        <v>5</v>
      </c>
      <c r="R37" s="18">
        <f ca="1">SUMIF(Dati!AZ53:BB53, "&gt;0")</f>
        <v>10</v>
      </c>
      <c r="S37" s="18">
        <f ca="1">SUMIF(Dati!BD53:BF53, "&gt;0")</f>
        <v>10</v>
      </c>
      <c r="T37" s="18">
        <f ca="1">SUMIF(Dati!BH53:BJ53, "&gt;0")</f>
        <v>10</v>
      </c>
      <c r="U37" s="18">
        <f t="shared" ca="1" si="22"/>
        <v>10</v>
      </c>
      <c r="V37" s="19">
        <f t="shared" ca="1" si="23"/>
        <v>10</v>
      </c>
      <c r="W37" s="250">
        <f t="shared" ref="W37:W50" ca="1" si="31">SUM(N37:V37)</f>
        <v>85</v>
      </c>
      <c r="X37" s="11">
        <f t="shared" ca="1" si="24"/>
        <v>10</v>
      </c>
      <c r="Y37" s="18">
        <f t="shared" ca="1" si="24"/>
        <v>6</v>
      </c>
      <c r="Z37" s="18">
        <f t="shared" ca="1" si="24"/>
        <v>0</v>
      </c>
      <c r="AA37" s="18">
        <f t="shared" ca="1" si="24"/>
        <v>0</v>
      </c>
      <c r="AB37" s="18">
        <f t="shared" ca="1" si="24"/>
        <v>0</v>
      </c>
      <c r="AC37" s="18">
        <f t="shared" ca="1" si="24"/>
        <v>0</v>
      </c>
      <c r="AD37" s="18">
        <f t="shared" ca="1" si="24"/>
        <v>10</v>
      </c>
      <c r="AE37" s="18">
        <f t="shared" ca="1" si="24"/>
        <v>10</v>
      </c>
      <c r="AF37" s="19">
        <f ca="1">MIN(10, SUMIF(Dati!CG53:CQ53, "&gt;0"))</f>
        <v>10</v>
      </c>
      <c r="AG37" s="248">
        <f t="shared" ref="AG37:AG50" ca="1" si="32">SUM(X37:AF37)</f>
        <v>46</v>
      </c>
      <c r="AH37" s="11">
        <f t="shared" ca="1" si="27"/>
        <v>10</v>
      </c>
      <c r="AI37" s="18">
        <f t="shared" ref="AI37:AS50" ca="1" si="33">INDIRECT(ADDRESS($A37,AI$3,1,FALSE, "Dati"), FALSE)</f>
        <v>10</v>
      </c>
      <c r="AJ37" s="18">
        <f t="shared" ca="1" si="33"/>
        <v>10</v>
      </c>
      <c r="AK37" s="18">
        <f t="shared" ca="1" si="33"/>
        <v>10</v>
      </c>
      <c r="AL37" s="18">
        <f t="shared" ca="1" si="33"/>
        <v>0</v>
      </c>
      <c r="AM37" s="18">
        <f t="shared" ca="1" si="33"/>
        <v>10</v>
      </c>
      <c r="AN37" s="18">
        <f t="shared" ca="1" si="33"/>
        <v>0</v>
      </c>
      <c r="AO37" s="18">
        <f ca="1">SUMIF(Dati!DH53:DJ53, "&gt;0")</f>
        <v>10</v>
      </c>
      <c r="AP37" s="18">
        <f ca="1">MIN(10, SUMIF(Dati!DL53:DP53, "&gt;0"))</f>
        <v>10</v>
      </c>
      <c r="AQ37" s="18">
        <f ca="1">SUMIF(Dati!DR53:DT53, "&gt;0")</f>
        <v>8</v>
      </c>
      <c r="AR37" s="18">
        <f t="shared" ca="1" si="33"/>
        <v>6</v>
      </c>
      <c r="AS37" s="18">
        <f t="shared" ca="1" si="33"/>
        <v>0</v>
      </c>
      <c r="AT37" s="19">
        <f ca="1">MIN(10,SUMIF(Dati!DZ53:EB53, "&gt;0"))</f>
        <v>2</v>
      </c>
      <c r="AU37" s="240">
        <f t="shared" ref="AU37:AU50" ca="1" si="34">SUM(AH37:AT37)</f>
        <v>86</v>
      </c>
      <c r="AV37" s="4">
        <f t="shared" ref="AV37:AV50" ca="1" si="35">SUM(M37,W37,AG37,AU37)</f>
        <v>294</v>
      </c>
    </row>
    <row r="38" spans="1:48" ht="15" customHeight="1">
      <c r="A38" s="234">
        <f t="shared" si="17"/>
        <v>54</v>
      </c>
      <c r="B38" s="257" t="str">
        <f t="shared" ref="B38:B50" ca="1" si="36">INDIRECT(ADDRESS($A38,B$3,1,FALSE, "Dati"), FALSE)</f>
        <v>Agenzia nazionale per le nuove tecnologie, l'energia e lo sviluppo economico sostenibile</v>
      </c>
      <c r="C38" s="11">
        <f t="shared" ca="1" si="26"/>
        <v>8</v>
      </c>
      <c r="D38" s="18">
        <f t="shared" ca="1" si="30"/>
        <v>10</v>
      </c>
      <c r="E38" s="18">
        <f t="shared" ca="1" si="30"/>
        <v>0</v>
      </c>
      <c r="F38" s="239">
        <f ca="1">MIN(10, SUMIF(Dati!K54:Q54, "&gt;0"))</f>
        <v>0</v>
      </c>
      <c r="G38" s="18">
        <f ca="1">MIN( 10, SUMIF(Dati!$S54:$Y54, "&gt;0"))</f>
        <v>10</v>
      </c>
      <c r="H38" s="18">
        <f t="shared" ca="1" si="30"/>
        <v>8</v>
      </c>
      <c r="I38" s="18">
        <f t="shared" ca="1" si="30"/>
        <v>0</v>
      </c>
      <c r="J38" s="18">
        <f t="shared" ca="1" si="30"/>
        <v>0</v>
      </c>
      <c r="K38" s="239">
        <f ca="1">SUMIF(Dati!AG54:AI54, "&gt;0")</f>
        <v>10</v>
      </c>
      <c r="L38" s="19">
        <f t="shared" ca="1" si="30"/>
        <v>10</v>
      </c>
      <c r="M38" s="251">
        <f t="shared" ca="1" si="13"/>
        <v>56</v>
      </c>
      <c r="N38" s="11">
        <f t="shared" ca="1" si="21"/>
        <v>10</v>
      </c>
      <c r="O38" s="18">
        <f t="shared" ca="1" si="29"/>
        <v>10</v>
      </c>
      <c r="P38" s="18">
        <f t="shared" ca="1" si="29"/>
        <v>10</v>
      </c>
      <c r="Q38" s="18">
        <f ca="1">SUMIF(Dati!AT54:AX54, "&gt;0")</f>
        <v>10</v>
      </c>
      <c r="R38" s="18">
        <f ca="1">SUMIF(Dati!AZ54:BB54, "&gt;0")</f>
        <v>4</v>
      </c>
      <c r="S38" s="18">
        <f ca="1">SUMIF(Dati!BD54:BF54, "&gt;0")</f>
        <v>10</v>
      </c>
      <c r="T38" s="18">
        <f ca="1">SUMIF(Dati!BH54:BJ54, "&gt;0")</f>
        <v>10</v>
      </c>
      <c r="U38" s="18">
        <f t="shared" ca="1" si="22"/>
        <v>10</v>
      </c>
      <c r="V38" s="19">
        <f t="shared" ca="1" si="23"/>
        <v>6</v>
      </c>
      <c r="W38" s="250">
        <f t="shared" ca="1" si="31"/>
        <v>80</v>
      </c>
      <c r="X38" s="11">
        <f t="shared" ca="1" si="24"/>
        <v>0</v>
      </c>
      <c r="Y38" s="18">
        <f t="shared" ca="1" si="24"/>
        <v>6</v>
      </c>
      <c r="Z38" s="18">
        <f t="shared" ca="1" si="24"/>
        <v>6</v>
      </c>
      <c r="AA38" s="18">
        <f t="shared" ca="1" si="24"/>
        <v>0</v>
      </c>
      <c r="AB38" s="18">
        <f t="shared" ca="1" si="24"/>
        <v>10</v>
      </c>
      <c r="AC38" s="18">
        <f t="shared" ca="1" si="24"/>
        <v>10</v>
      </c>
      <c r="AD38" s="18">
        <f t="shared" ca="1" si="24"/>
        <v>10</v>
      </c>
      <c r="AE38" s="18">
        <f t="shared" ca="1" si="24"/>
        <v>10</v>
      </c>
      <c r="AF38" s="19">
        <f ca="1">MIN(10, SUMIF(Dati!CG54:CQ54, "&gt;0"))</f>
        <v>10</v>
      </c>
      <c r="AG38" s="248">
        <f t="shared" ca="1" si="32"/>
        <v>62</v>
      </c>
      <c r="AH38" s="11">
        <f t="shared" ca="1" si="27"/>
        <v>0</v>
      </c>
      <c r="AI38" s="18">
        <f t="shared" ca="1" si="33"/>
        <v>0</v>
      </c>
      <c r="AJ38" s="18">
        <f t="shared" ca="1" si="33"/>
        <v>0</v>
      </c>
      <c r="AK38" s="18">
        <f t="shared" ca="1" si="33"/>
        <v>10</v>
      </c>
      <c r="AL38" s="18">
        <f t="shared" ca="1" si="33"/>
        <v>10</v>
      </c>
      <c r="AM38" s="18">
        <f t="shared" ca="1" si="33"/>
        <v>10</v>
      </c>
      <c r="AN38" s="18">
        <f t="shared" ca="1" si="33"/>
        <v>10</v>
      </c>
      <c r="AO38" s="18">
        <f ca="1">SUMIF(Dati!DH54:DJ54, "&gt;0")</f>
        <v>4</v>
      </c>
      <c r="AP38" s="18">
        <f ca="1">MIN(10, SUMIF(Dati!DL54:DP54, "&gt;0"))</f>
        <v>10</v>
      </c>
      <c r="AQ38" s="18">
        <f ca="1">SUMIF(Dati!DR54:DT54, "&gt;0")</f>
        <v>0</v>
      </c>
      <c r="AR38" s="18">
        <f t="shared" ca="1" si="33"/>
        <v>0</v>
      </c>
      <c r="AS38" s="18">
        <f t="shared" ca="1" si="33"/>
        <v>10</v>
      </c>
      <c r="AT38" s="19">
        <f ca="1">MIN(10,SUMIF(Dati!DZ54:EB54, "&gt;0"))</f>
        <v>2</v>
      </c>
      <c r="AU38" s="240">
        <f t="shared" ca="1" si="34"/>
        <v>66</v>
      </c>
      <c r="AV38" s="4">
        <f t="shared" ca="1" si="35"/>
        <v>264</v>
      </c>
    </row>
    <row r="39" spans="1:48" ht="15" customHeight="1">
      <c r="A39" s="234">
        <f t="shared" si="17"/>
        <v>55</v>
      </c>
      <c r="B39" s="257" t="str">
        <f t="shared" ca="1" si="36"/>
        <v>Ente nazionale previdenza assistenza lavoratori dello spettacolo</v>
      </c>
      <c r="C39" s="11">
        <f t="shared" ca="1" si="26"/>
        <v>8</v>
      </c>
      <c r="D39" s="18">
        <f t="shared" ca="1" si="30"/>
        <v>10</v>
      </c>
      <c r="E39" s="18">
        <f t="shared" ca="1" si="30"/>
        <v>10</v>
      </c>
      <c r="F39" s="239">
        <f ca="1">MIN(10, SUMIF(Dati!K55:Q55, "&gt;0"))</f>
        <v>8</v>
      </c>
      <c r="G39" s="18">
        <f ca="1">MIN( 10, SUMIF(Dati!$S55:$Y55, "&gt;0"))</f>
        <v>10</v>
      </c>
      <c r="H39" s="18">
        <f t="shared" ca="1" si="30"/>
        <v>6</v>
      </c>
      <c r="I39" s="18">
        <f t="shared" ca="1" si="30"/>
        <v>10</v>
      </c>
      <c r="J39" s="18">
        <f t="shared" ca="1" si="30"/>
        <v>6</v>
      </c>
      <c r="K39" s="239">
        <f ca="1">SUMIF(Dati!AG55:AI55, "&gt;0")</f>
        <v>10</v>
      </c>
      <c r="L39" s="19">
        <f t="shared" ca="1" si="30"/>
        <v>10</v>
      </c>
      <c r="M39" s="251">
        <f t="shared" ca="1" si="13"/>
        <v>88</v>
      </c>
      <c r="N39" s="11">
        <f t="shared" ca="1" si="21"/>
        <v>10</v>
      </c>
      <c r="O39" s="18">
        <f t="shared" ca="1" si="29"/>
        <v>10</v>
      </c>
      <c r="P39" s="18">
        <f t="shared" ca="1" si="29"/>
        <v>10</v>
      </c>
      <c r="Q39" s="18">
        <f ca="1">SUMIF(Dati!AT55:AX55, "&gt;0")</f>
        <v>5</v>
      </c>
      <c r="R39" s="18">
        <f ca="1">SUMIF(Dati!AZ55:BB55, "&gt;0")</f>
        <v>0</v>
      </c>
      <c r="S39" s="18">
        <f ca="1">SUMIF(Dati!BD55:BF55, "&gt;0")</f>
        <v>10</v>
      </c>
      <c r="T39" s="18">
        <f ca="1">SUMIF(Dati!BH55:BJ55, "&gt;0")</f>
        <v>10</v>
      </c>
      <c r="U39" s="18">
        <f t="shared" ca="1" si="22"/>
        <v>10</v>
      </c>
      <c r="V39" s="19">
        <f t="shared" ca="1" si="23"/>
        <v>10</v>
      </c>
      <c r="W39" s="250">
        <f t="shared" ca="1" si="31"/>
        <v>75</v>
      </c>
      <c r="X39" s="11">
        <f t="shared" ca="1" si="24"/>
        <v>10</v>
      </c>
      <c r="Y39" s="18">
        <f t="shared" ca="1" si="24"/>
        <v>6</v>
      </c>
      <c r="Z39" s="18">
        <f t="shared" ca="1" si="24"/>
        <v>6</v>
      </c>
      <c r="AA39" s="18">
        <f t="shared" ca="1" si="24"/>
        <v>10</v>
      </c>
      <c r="AB39" s="18">
        <f t="shared" ca="1" si="24"/>
        <v>0</v>
      </c>
      <c r="AC39" s="18">
        <f t="shared" ca="1" si="24"/>
        <v>0</v>
      </c>
      <c r="AD39" s="18">
        <f t="shared" ca="1" si="24"/>
        <v>10</v>
      </c>
      <c r="AE39" s="18">
        <f t="shared" ca="1" si="24"/>
        <v>10</v>
      </c>
      <c r="AF39" s="19">
        <f ca="1">MIN(10, SUMIF(Dati!CG55:CQ55, "&gt;0"))</f>
        <v>10</v>
      </c>
      <c r="AG39" s="248">
        <f t="shared" ca="1" si="32"/>
        <v>62</v>
      </c>
      <c r="AH39" s="11">
        <f t="shared" ca="1" si="27"/>
        <v>10</v>
      </c>
      <c r="AI39" s="18">
        <f t="shared" ca="1" si="33"/>
        <v>10</v>
      </c>
      <c r="AJ39" s="18">
        <f t="shared" ca="1" si="33"/>
        <v>6</v>
      </c>
      <c r="AK39" s="18">
        <f t="shared" ca="1" si="33"/>
        <v>0</v>
      </c>
      <c r="AL39" s="18">
        <f t="shared" ca="1" si="33"/>
        <v>10</v>
      </c>
      <c r="AM39" s="18">
        <f t="shared" ca="1" si="33"/>
        <v>10</v>
      </c>
      <c r="AN39" s="18">
        <f t="shared" ca="1" si="33"/>
        <v>10</v>
      </c>
      <c r="AO39" s="18">
        <f ca="1">SUMIF(Dati!DH55:DJ55, "&gt;0")</f>
        <v>4</v>
      </c>
      <c r="AP39" s="18">
        <f ca="1">MIN(10, SUMIF(Dati!DL55:DP55, "&gt;0"))</f>
        <v>10</v>
      </c>
      <c r="AQ39" s="18">
        <f ca="1">SUMIF(Dati!DR55:DT55, "&gt;0")</f>
        <v>0</v>
      </c>
      <c r="AR39" s="18">
        <f t="shared" ca="1" si="33"/>
        <v>8</v>
      </c>
      <c r="AS39" s="18">
        <f t="shared" ca="1" si="33"/>
        <v>10</v>
      </c>
      <c r="AT39" s="19">
        <f ca="1">MIN(10,SUMIF(Dati!DZ55:EB55, "&gt;0"))</f>
        <v>2</v>
      </c>
      <c r="AU39" s="240">
        <f t="shared" ca="1" si="34"/>
        <v>90</v>
      </c>
      <c r="AV39" s="4">
        <f t="shared" ca="1" si="35"/>
        <v>315</v>
      </c>
    </row>
    <row r="40" spans="1:48" ht="15" customHeight="1">
      <c r="A40" s="234">
        <f t="shared" si="17"/>
        <v>56</v>
      </c>
      <c r="B40" s="257" t="str">
        <f t="shared" ca="1" si="36"/>
        <v xml:space="preserve">Istituto nazionale per il commercio estero                                              </v>
      </c>
      <c r="C40" s="11">
        <f t="shared" ca="1" si="26"/>
        <v>8</v>
      </c>
      <c r="D40" s="18">
        <f t="shared" ca="1" si="30"/>
        <v>0</v>
      </c>
      <c r="E40" s="18">
        <f t="shared" ca="1" si="30"/>
        <v>10</v>
      </c>
      <c r="F40" s="239">
        <f ca="1">MIN(10, SUMIF(Dati!K56:Q56, "&gt;0"))</f>
        <v>8</v>
      </c>
      <c r="G40" s="18">
        <f ca="1">MIN( 10, SUMIF(Dati!$S56:$Y56, "&gt;0"))</f>
        <v>10</v>
      </c>
      <c r="H40" s="18">
        <f t="shared" ca="1" si="30"/>
        <v>10</v>
      </c>
      <c r="I40" s="18">
        <f t="shared" ca="1" si="30"/>
        <v>0</v>
      </c>
      <c r="J40" s="18">
        <f t="shared" ca="1" si="30"/>
        <v>0</v>
      </c>
      <c r="K40" s="239">
        <f ca="1">SUMIF(Dati!AG56:AI56, "&gt;0")</f>
        <v>10</v>
      </c>
      <c r="L40" s="19">
        <f t="shared" ca="1" si="30"/>
        <v>0</v>
      </c>
      <c r="M40" s="251">
        <f t="shared" ca="1" si="13"/>
        <v>56</v>
      </c>
      <c r="N40" s="11">
        <f t="shared" ca="1" si="21"/>
        <v>10</v>
      </c>
      <c r="O40" s="18">
        <f t="shared" ca="1" si="29"/>
        <v>0</v>
      </c>
      <c r="P40" s="18">
        <f t="shared" ca="1" si="29"/>
        <v>0</v>
      </c>
      <c r="Q40" s="18">
        <f ca="1">SUMIF(Dati!AT56:AX56, "&gt;0")</f>
        <v>10</v>
      </c>
      <c r="R40" s="18">
        <f ca="1">SUMIF(Dati!AZ56:BB56, "&gt;0")</f>
        <v>10</v>
      </c>
      <c r="S40" s="18">
        <f ca="1">SUMIF(Dati!BD56:BF56, "&gt;0")</f>
        <v>10</v>
      </c>
      <c r="T40" s="18">
        <f ca="1">SUMIF(Dati!BH56:BJ56, "&gt;0")</f>
        <v>10</v>
      </c>
      <c r="U40" s="18">
        <f t="shared" ca="1" si="22"/>
        <v>10</v>
      </c>
      <c r="V40" s="19">
        <f t="shared" ca="1" si="23"/>
        <v>6</v>
      </c>
      <c r="W40" s="250">
        <f t="shared" ca="1" si="31"/>
        <v>66</v>
      </c>
      <c r="X40" s="11">
        <f t="shared" ca="1" si="24"/>
        <v>0</v>
      </c>
      <c r="Y40" s="18">
        <f t="shared" ca="1" si="24"/>
        <v>6</v>
      </c>
      <c r="Z40" s="18">
        <f t="shared" ca="1" si="24"/>
        <v>0</v>
      </c>
      <c r="AA40" s="18">
        <f t="shared" ca="1" si="24"/>
        <v>0</v>
      </c>
      <c r="AB40" s="18">
        <f t="shared" ca="1" si="24"/>
        <v>10</v>
      </c>
      <c r="AC40" s="18">
        <f t="shared" ca="1" si="24"/>
        <v>10</v>
      </c>
      <c r="AD40" s="18">
        <f t="shared" ca="1" si="24"/>
        <v>10</v>
      </c>
      <c r="AE40" s="18">
        <f t="shared" ca="1" si="24"/>
        <v>10</v>
      </c>
      <c r="AF40" s="19">
        <f ca="1">MIN(10, SUMIF(Dati!CG56:CQ56, "&gt;0"))</f>
        <v>3</v>
      </c>
      <c r="AG40" s="248">
        <f t="shared" ca="1" si="32"/>
        <v>49</v>
      </c>
      <c r="AH40" s="11">
        <f t="shared" ca="1" si="27"/>
        <v>0</v>
      </c>
      <c r="AI40" s="18">
        <f t="shared" ca="1" si="33"/>
        <v>0</v>
      </c>
      <c r="AJ40" s="18">
        <f t="shared" ca="1" si="33"/>
        <v>0</v>
      </c>
      <c r="AK40" s="18">
        <f t="shared" ca="1" si="33"/>
        <v>0</v>
      </c>
      <c r="AL40" s="18">
        <f t="shared" ca="1" si="33"/>
        <v>0</v>
      </c>
      <c r="AM40" s="18">
        <f t="shared" ca="1" si="33"/>
        <v>10</v>
      </c>
      <c r="AN40" s="18">
        <f t="shared" ca="1" si="33"/>
        <v>0</v>
      </c>
      <c r="AO40" s="18">
        <f ca="1">SUMIF(Dati!DH56:DJ56, "&gt;0")</f>
        <v>10</v>
      </c>
      <c r="AP40" s="18">
        <f ca="1">MIN(10, SUMIF(Dati!DL56:DP56, "&gt;0"))</f>
        <v>10</v>
      </c>
      <c r="AQ40" s="18">
        <f ca="1">SUMIF(Dati!DR56:DT56, "&gt;0")</f>
        <v>0</v>
      </c>
      <c r="AR40" s="18">
        <f t="shared" ca="1" si="33"/>
        <v>6</v>
      </c>
      <c r="AS40" s="18">
        <f t="shared" ca="1" si="33"/>
        <v>0</v>
      </c>
      <c r="AT40" s="19">
        <f ca="1">MIN(10,SUMIF(Dati!DZ56:EB56, "&gt;0"))</f>
        <v>2</v>
      </c>
      <c r="AU40" s="240">
        <f t="shared" ca="1" si="34"/>
        <v>38</v>
      </c>
      <c r="AV40" s="4">
        <f t="shared" ca="1" si="35"/>
        <v>209</v>
      </c>
    </row>
    <row r="41" spans="1:48" ht="15" customHeight="1">
      <c r="A41" s="234">
        <f t="shared" si="17"/>
        <v>57</v>
      </c>
      <c r="B41" s="257" t="str">
        <f t="shared" ca="1" si="36"/>
        <v>Istituto per lo sviluppo della formazione professionale dei lavoratori</v>
      </c>
      <c r="C41" s="11">
        <f t="shared" ca="1" si="26"/>
        <v>8</v>
      </c>
      <c r="D41" s="18">
        <f t="shared" ca="1" si="30"/>
        <v>0</v>
      </c>
      <c r="E41" s="18">
        <f t="shared" ca="1" si="30"/>
        <v>10</v>
      </c>
      <c r="F41" s="239">
        <f ca="1">MIN(10, SUMIF(Dati!K57:Q57, "&gt;0"))</f>
        <v>0</v>
      </c>
      <c r="G41" s="18">
        <f ca="1">MIN( 10, SUMIF(Dati!$S57:$Y57, "&gt;0"))</f>
        <v>10</v>
      </c>
      <c r="H41" s="18">
        <f t="shared" ca="1" si="30"/>
        <v>6</v>
      </c>
      <c r="I41" s="18">
        <f t="shared" ca="1" si="30"/>
        <v>0</v>
      </c>
      <c r="J41" s="18">
        <f t="shared" ca="1" si="30"/>
        <v>6</v>
      </c>
      <c r="K41" s="239">
        <f ca="1">SUMIF(Dati!AG57:AI57, "&gt;0")</f>
        <v>6</v>
      </c>
      <c r="L41" s="19">
        <f t="shared" ca="1" si="30"/>
        <v>10</v>
      </c>
      <c r="M41" s="251">
        <f t="shared" ca="1" si="13"/>
        <v>56</v>
      </c>
      <c r="N41" s="11">
        <f t="shared" ca="1" si="21"/>
        <v>0</v>
      </c>
      <c r="O41" s="18">
        <f t="shared" ca="1" si="29"/>
        <v>0</v>
      </c>
      <c r="P41" s="18">
        <f t="shared" ca="1" si="29"/>
        <v>0</v>
      </c>
      <c r="Q41" s="18">
        <f ca="1">SUMIF(Dati!AT57:AX57, "&gt;0")</f>
        <v>5</v>
      </c>
      <c r="R41" s="18">
        <f ca="1">SUMIF(Dati!AZ57:BB57, "&gt;0")</f>
        <v>6</v>
      </c>
      <c r="S41" s="18">
        <f ca="1">SUMIF(Dati!BD57:BF57, "&gt;0")</f>
        <v>6</v>
      </c>
      <c r="T41" s="18">
        <f ca="1">SUMIF(Dati!BH57:BJ57, "&gt;0")</f>
        <v>6</v>
      </c>
      <c r="U41" s="18">
        <f t="shared" ca="1" si="22"/>
        <v>0</v>
      </c>
      <c r="V41" s="19">
        <f t="shared" ca="1" si="23"/>
        <v>10</v>
      </c>
      <c r="W41" s="250">
        <f t="shared" ca="1" si="31"/>
        <v>33</v>
      </c>
      <c r="X41" s="11">
        <f t="shared" ca="1" si="24"/>
        <v>0</v>
      </c>
      <c r="Y41" s="18">
        <f t="shared" ca="1" si="24"/>
        <v>10</v>
      </c>
      <c r="Z41" s="18">
        <f t="shared" ca="1" si="24"/>
        <v>6</v>
      </c>
      <c r="AA41" s="18">
        <f t="shared" ca="1" si="24"/>
        <v>10</v>
      </c>
      <c r="AB41" s="18">
        <f t="shared" ca="1" si="24"/>
        <v>10</v>
      </c>
      <c r="AC41" s="18">
        <f t="shared" ca="1" si="24"/>
        <v>10</v>
      </c>
      <c r="AD41" s="18">
        <f t="shared" ca="1" si="24"/>
        <v>10</v>
      </c>
      <c r="AE41" s="18">
        <f t="shared" ca="1" si="24"/>
        <v>10</v>
      </c>
      <c r="AF41" s="19">
        <f ca="1">MIN(10, SUMIF(Dati!CG57:CQ57, "&gt;0"))</f>
        <v>10</v>
      </c>
      <c r="AG41" s="248">
        <f t="shared" ca="1" si="32"/>
        <v>76</v>
      </c>
      <c r="AH41" s="11">
        <f t="shared" ca="1" si="27"/>
        <v>0</v>
      </c>
      <c r="AI41" s="18">
        <f t="shared" ca="1" si="33"/>
        <v>10</v>
      </c>
      <c r="AJ41" s="18">
        <f t="shared" ca="1" si="33"/>
        <v>10</v>
      </c>
      <c r="AK41" s="18">
        <f t="shared" ca="1" si="33"/>
        <v>10</v>
      </c>
      <c r="AL41" s="18">
        <f t="shared" ca="1" si="33"/>
        <v>10</v>
      </c>
      <c r="AM41" s="18">
        <f t="shared" ca="1" si="33"/>
        <v>10</v>
      </c>
      <c r="AN41" s="18">
        <f t="shared" ca="1" si="33"/>
        <v>0</v>
      </c>
      <c r="AO41" s="18">
        <f ca="1">SUMIF(Dati!DH57:DJ57, "&gt;0")</f>
        <v>6</v>
      </c>
      <c r="AP41" s="18">
        <f ca="1">MIN(10, SUMIF(Dati!DL57:DP57, "&gt;0"))</f>
        <v>6</v>
      </c>
      <c r="AQ41" s="18">
        <f ca="1">SUMIF(Dati!DR57:DT57, "&gt;0")</f>
        <v>0</v>
      </c>
      <c r="AR41" s="18">
        <f t="shared" ca="1" si="33"/>
        <v>8</v>
      </c>
      <c r="AS41" s="18">
        <f t="shared" ca="1" si="33"/>
        <v>0</v>
      </c>
      <c r="AT41" s="19">
        <f ca="1">MIN(10,SUMIF(Dati!DZ57:EB57, "&gt;0"))</f>
        <v>2</v>
      </c>
      <c r="AU41" s="240">
        <f t="shared" ca="1" si="34"/>
        <v>72</v>
      </c>
      <c r="AV41" s="4">
        <f t="shared" ca="1" si="35"/>
        <v>237</v>
      </c>
    </row>
    <row r="42" spans="1:48" ht="15" customHeight="1">
      <c r="A42" s="234">
        <f t="shared" si="17"/>
        <v>58</v>
      </c>
      <c r="B42" s="257" t="str">
        <f t="shared" ca="1" si="36"/>
        <v xml:space="preserve">Istituto nazionale per l'assicurazione infortuni sul lavoro                </v>
      </c>
      <c r="C42" s="11">
        <f t="shared" ca="1" si="26"/>
        <v>8</v>
      </c>
      <c r="D42" s="18">
        <f t="shared" ca="1" si="30"/>
        <v>10</v>
      </c>
      <c r="E42" s="18">
        <f t="shared" ca="1" si="30"/>
        <v>10</v>
      </c>
      <c r="F42" s="239">
        <f ca="1">MIN(10, SUMIF(Dati!K58:Q58, "&gt;0"))</f>
        <v>10</v>
      </c>
      <c r="G42" s="18">
        <f ca="1">MIN( 10, SUMIF(Dati!$S58:$Y58, "&gt;0"))</f>
        <v>10</v>
      </c>
      <c r="H42" s="18">
        <f t="shared" ca="1" si="30"/>
        <v>8</v>
      </c>
      <c r="I42" s="18">
        <f t="shared" ca="1" si="30"/>
        <v>10</v>
      </c>
      <c r="J42" s="18">
        <f t="shared" ca="1" si="30"/>
        <v>0</v>
      </c>
      <c r="K42" s="239">
        <f ca="1">SUMIF(Dati!AG58:AI58, "&gt;0")</f>
        <v>10</v>
      </c>
      <c r="L42" s="19">
        <f t="shared" ca="1" si="30"/>
        <v>10</v>
      </c>
      <c r="M42" s="251">
        <f t="shared" ca="1" si="13"/>
        <v>86</v>
      </c>
      <c r="N42" s="11">
        <f t="shared" ca="1" si="21"/>
        <v>10</v>
      </c>
      <c r="O42" s="18">
        <f t="shared" ca="1" si="29"/>
        <v>10</v>
      </c>
      <c r="P42" s="18">
        <f t="shared" ca="1" si="29"/>
        <v>0</v>
      </c>
      <c r="Q42" s="18">
        <f ca="1">SUMIF(Dati!AT58:AX58, "&gt;0")</f>
        <v>10</v>
      </c>
      <c r="R42" s="18">
        <f ca="1">SUMIF(Dati!AZ58:BB58, "&gt;0")</f>
        <v>10</v>
      </c>
      <c r="S42" s="18">
        <f ca="1">SUMIF(Dati!BD58:BF58, "&gt;0")</f>
        <v>10</v>
      </c>
      <c r="T42" s="18">
        <f ca="1">SUMIF(Dati!BH58:BJ58, "&gt;0")</f>
        <v>10</v>
      </c>
      <c r="U42" s="18">
        <f t="shared" ca="1" si="22"/>
        <v>10</v>
      </c>
      <c r="V42" s="19">
        <f t="shared" ca="1" si="23"/>
        <v>6</v>
      </c>
      <c r="W42" s="250">
        <f t="shared" ca="1" si="31"/>
        <v>76</v>
      </c>
      <c r="X42" s="11">
        <f t="shared" ca="1" si="24"/>
        <v>10</v>
      </c>
      <c r="Y42" s="18">
        <f t="shared" ca="1" si="24"/>
        <v>10</v>
      </c>
      <c r="Z42" s="18">
        <f t="shared" ca="1" si="24"/>
        <v>10</v>
      </c>
      <c r="AA42" s="18">
        <f t="shared" ca="1" si="24"/>
        <v>10</v>
      </c>
      <c r="AB42" s="18">
        <f t="shared" ca="1" si="24"/>
        <v>10</v>
      </c>
      <c r="AC42" s="18">
        <f t="shared" ca="1" si="24"/>
        <v>10</v>
      </c>
      <c r="AD42" s="18">
        <f t="shared" ca="1" si="24"/>
        <v>10</v>
      </c>
      <c r="AE42" s="18">
        <f t="shared" ca="1" si="24"/>
        <v>10</v>
      </c>
      <c r="AF42" s="19">
        <f ca="1">MIN(10, SUMIF(Dati!CG58:CQ58, "&gt;0"))</f>
        <v>3</v>
      </c>
      <c r="AG42" s="248">
        <f t="shared" ca="1" si="32"/>
        <v>83</v>
      </c>
      <c r="AH42" s="11">
        <f t="shared" ca="1" si="27"/>
        <v>10</v>
      </c>
      <c r="AI42" s="18">
        <f t="shared" ca="1" si="33"/>
        <v>10</v>
      </c>
      <c r="AJ42" s="18">
        <f t="shared" ca="1" si="33"/>
        <v>0</v>
      </c>
      <c r="AK42" s="18">
        <f t="shared" ca="1" si="33"/>
        <v>10</v>
      </c>
      <c r="AL42" s="18">
        <f t="shared" ca="1" si="33"/>
        <v>10</v>
      </c>
      <c r="AM42" s="18">
        <f t="shared" ca="1" si="33"/>
        <v>10</v>
      </c>
      <c r="AN42" s="18">
        <f t="shared" ca="1" si="33"/>
        <v>10</v>
      </c>
      <c r="AO42" s="18">
        <f ca="1">SUMIF(Dati!DH58:DJ58, "&gt;0")</f>
        <v>10</v>
      </c>
      <c r="AP42" s="18">
        <f ca="1">MIN(10, SUMIF(Dati!DL58:DP58, "&gt;0"))</f>
        <v>10</v>
      </c>
      <c r="AQ42" s="18">
        <f ca="1">SUMIF(Dati!DR58:DT58, "&gt;0")</f>
        <v>8</v>
      </c>
      <c r="AR42" s="18">
        <f t="shared" ca="1" si="33"/>
        <v>8</v>
      </c>
      <c r="AS42" s="18">
        <f t="shared" ca="1" si="33"/>
        <v>0</v>
      </c>
      <c r="AT42" s="19">
        <f ca="1">MIN(10,SUMIF(Dati!DZ58:EB58, "&gt;0"))</f>
        <v>2</v>
      </c>
      <c r="AU42" s="240">
        <f t="shared" ca="1" si="34"/>
        <v>98</v>
      </c>
      <c r="AV42" s="4">
        <f t="shared" ca="1" si="35"/>
        <v>343</v>
      </c>
    </row>
    <row r="43" spans="1:48" ht="15" customHeight="1">
      <c r="A43" s="234">
        <f t="shared" si="17"/>
        <v>59</v>
      </c>
      <c r="B43" s="257" t="str">
        <f t="shared" ca="1" si="36"/>
        <v xml:space="preserve">Istituto nazionale di economia agraria                 </v>
      </c>
      <c r="C43" s="11">
        <f t="shared" ca="1" si="26"/>
        <v>8</v>
      </c>
      <c r="D43" s="18">
        <f t="shared" ca="1" si="30"/>
        <v>0</v>
      </c>
      <c r="E43" s="18">
        <f t="shared" ca="1" si="30"/>
        <v>10</v>
      </c>
      <c r="F43" s="239">
        <f ca="1">MIN(10, SUMIF(Dati!K59:Q59, "&gt;0"))</f>
        <v>5</v>
      </c>
      <c r="G43" s="18">
        <f ca="1">MIN( 10, SUMIF(Dati!$S59:$Y59, "&gt;0"))</f>
        <v>10</v>
      </c>
      <c r="H43" s="18">
        <f t="shared" ca="1" si="30"/>
        <v>10</v>
      </c>
      <c r="I43" s="18">
        <f t="shared" ca="1" si="30"/>
        <v>0</v>
      </c>
      <c r="J43" s="18">
        <f t="shared" ca="1" si="30"/>
        <v>6</v>
      </c>
      <c r="K43" s="239">
        <f ca="1">SUMIF(Dati!AG59:AI59, "&gt;0")</f>
        <v>6</v>
      </c>
      <c r="L43" s="19">
        <f t="shared" ca="1" si="30"/>
        <v>0</v>
      </c>
      <c r="M43" s="251">
        <f t="shared" ca="1" si="13"/>
        <v>55</v>
      </c>
      <c r="N43" s="11">
        <f t="shared" ca="1" si="21"/>
        <v>0</v>
      </c>
      <c r="O43" s="18">
        <f t="shared" ca="1" si="29"/>
        <v>10</v>
      </c>
      <c r="P43" s="18">
        <f t="shared" ca="1" si="29"/>
        <v>0</v>
      </c>
      <c r="Q43" s="18">
        <f ca="1">SUMIF(Dati!AT59:AX59, "&gt;0")</f>
        <v>10</v>
      </c>
      <c r="R43" s="18">
        <f ca="1">SUMIF(Dati!AZ59:BB59, "&gt;0")</f>
        <v>10</v>
      </c>
      <c r="S43" s="18">
        <f ca="1">SUMIF(Dati!BD59:BF59, "&gt;0")</f>
        <v>6</v>
      </c>
      <c r="T43" s="18">
        <f ca="1">SUMIF(Dati!BH59:BJ59, "&gt;0")</f>
        <v>10</v>
      </c>
      <c r="U43" s="18">
        <f t="shared" ca="1" si="22"/>
        <v>10</v>
      </c>
      <c r="V43" s="19">
        <f t="shared" ca="1" si="23"/>
        <v>0</v>
      </c>
      <c r="W43" s="250">
        <f t="shared" ca="1" si="31"/>
        <v>56</v>
      </c>
      <c r="X43" s="11">
        <f t="shared" ca="1" si="24"/>
        <v>0</v>
      </c>
      <c r="Y43" s="18">
        <f t="shared" ca="1" si="24"/>
        <v>6</v>
      </c>
      <c r="Z43" s="18">
        <f t="shared" ca="1" si="24"/>
        <v>0</v>
      </c>
      <c r="AA43" s="18">
        <f t="shared" ca="1" si="24"/>
        <v>0</v>
      </c>
      <c r="AB43" s="18">
        <f t="shared" ca="1" si="24"/>
        <v>10</v>
      </c>
      <c r="AC43" s="18">
        <f t="shared" ca="1" si="24"/>
        <v>10</v>
      </c>
      <c r="AD43" s="18">
        <f t="shared" ca="1" si="24"/>
        <v>10</v>
      </c>
      <c r="AE43" s="18">
        <f t="shared" ca="1" si="24"/>
        <v>10</v>
      </c>
      <c r="AF43" s="19">
        <f ca="1">MIN(10, SUMIF(Dati!CG59:CQ59, "&gt;0"))</f>
        <v>10</v>
      </c>
      <c r="AG43" s="248">
        <f t="shared" ca="1" si="32"/>
        <v>56</v>
      </c>
      <c r="AH43" s="11">
        <f t="shared" ca="1" si="27"/>
        <v>0</v>
      </c>
      <c r="AI43" s="18">
        <f t="shared" ca="1" si="33"/>
        <v>0</v>
      </c>
      <c r="AJ43" s="18">
        <f t="shared" ca="1" si="33"/>
        <v>10</v>
      </c>
      <c r="AK43" s="18">
        <f t="shared" ca="1" si="33"/>
        <v>10</v>
      </c>
      <c r="AL43" s="18">
        <f t="shared" ca="1" si="33"/>
        <v>10</v>
      </c>
      <c r="AM43" s="18">
        <f t="shared" ca="1" si="33"/>
        <v>10</v>
      </c>
      <c r="AN43" s="18">
        <f t="shared" ca="1" si="33"/>
        <v>10</v>
      </c>
      <c r="AO43" s="18">
        <f ca="1">SUMIF(Dati!DH59:DJ59, "&gt;0")</f>
        <v>6</v>
      </c>
      <c r="AP43" s="18">
        <f ca="1">MIN(10, SUMIF(Dati!DL59:DP59, "&gt;0"))</f>
        <v>6</v>
      </c>
      <c r="AQ43" s="18">
        <f ca="1">SUMIF(Dati!DR59:DT59, "&gt;0")</f>
        <v>0</v>
      </c>
      <c r="AR43" s="18">
        <f t="shared" ca="1" si="33"/>
        <v>0</v>
      </c>
      <c r="AS43" s="18">
        <f t="shared" ca="1" si="33"/>
        <v>10</v>
      </c>
      <c r="AT43" s="19">
        <f ca="1">MIN(10,SUMIF(Dati!DZ59:EB59, "&gt;0"))</f>
        <v>2</v>
      </c>
      <c r="AU43" s="240">
        <f t="shared" ca="1" si="34"/>
        <v>74</v>
      </c>
      <c r="AV43" s="4">
        <f t="shared" ca="1" si="35"/>
        <v>241</v>
      </c>
    </row>
    <row r="44" spans="1:48" ht="15" customHeight="1">
      <c r="A44" s="234">
        <f t="shared" si="17"/>
        <v>60</v>
      </c>
      <c r="B44" s="257" t="str">
        <f t="shared" ca="1" si="36"/>
        <v>Istituto nazionale di previdenza dei dipendenti dell'amministrazione pubblica</v>
      </c>
      <c r="C44" s="11">
        <f t="shared" ca="1" si="26"/>
        <v>10</v>
      </c>
      <c r="D44" s="18">
        <f t="shared" ca="1" si="30"/>
        <v>10</v>
      </c>
      <c r="E44" s="18">
        <f t="shared" ca="1" si="30"/>
        <v>10</v>
      </c>
      <c r="F44" s="239">
        <f ca="1">MIN(10, SUMIF(Dati!K60:Q60, "&gt;0"))</f>
        <v>8</v>
      </c>
      <c r="G44" s="18">
        <f ca="1">MIN( 10, SUMIF(Dati!$S60:$Y60, "&gt;0"))</f>
        <v>10</v>
      </c>
      <c r="H44" s="18">
        <f t="shared" ca="1" si="30"/>
        <v>6</v>
      </c>
      <c r="I44" s="18">
        <f t="shared" ca="1" si="30"/>
        <v>10</v>
      </c>
      <c r="J44" s="18">
        <f t="shared" ca="1" si="30"/>
        <v>0</v>
      </c>
      <c r="K44" s="239">
        <f ca="1">SUMIF(Dati!AG60:AI60, "&gt;0")</f>
        <v>10</v>
      </c>
      <c r="L44" s="19">
        <f t="shared" ca="1" si="30"/>
        <v>10</v>
      </c>
      <c r="M44" s="251">
        <f t="shared" ca="1" si="13"/>
        <v>84</v>
      </c>
      <c r="N44" s="11">
        <f t="shared" ca="1" si="21"/>
        <v>10</v>
      </c>
      <c r="O44" s="18">
        <f t="shared" ca="1" si="29"/>
        <v>10</v>
      </c>
      <c r="P44" s="18">
        <f t="shared" ca="1" si="29"/>
        <v>10</v>
      </c>
      <c r="Q44" s="18">
        <f ca="1">SUMIF(Dati!AT60:AX60, "&gt;0")</f>
        <v>5</v>
      </c>
      <c r="R44" s="18">
        <f ca="1">SUMIF(Dati!AZ60:BB60, "&gt;0")</f>
        <v>10</v>
      </c>
      <c r="S44" s="18">
        <f ca="1">SUMIF(Dati!BD60:BF60, "&gt;0")</f>
        <v>10</v>
      </c>
      <c r="T44" s="18">
        <f ca="1">SUMIF(Dati!BH60:BJ60, "&gt;0")</f>
        <v>10</v>
      </c>
      <c r="U44" s="18">
        <f t="shared" ca="1" si="22"/>
        <v>10</v>
      </c>
      <c r="V44" s="19">
        <f t="shared" ca="1" si="23"/>
        <v>10</v>
      </c>
      <c r="W44" s="250">
        <f t="shared" ca="1" si="31"/>
        <v>85</v>
      </c>
      <c r="X44" s="11">
        <f t="shared" ca="1" si="24"/>
        <v>10</v>
      </c>
      <c r="Y44" s="18">
        <f t="shared" ca="1" si="24"/>
        <v>6</v>
      </c>
      <c r="Z44" s="18">
        <f t="shared" ca="1" si="24"/>
        <v>6</v>
      </c>
      <c r="AA44" s="18">
        <f t="shared" ca="1" si="24"/>
        <v>10</v>
      </c>
      <c r="AB44" s="18">
        <f t="shared" ca="1" si="24"/>
        <v>10</v>
      </c>
      <c r="AC44" s="18">
        <f t="shared" ca="1" si="24"/>
        <v>10</v>
      </c>
      <c r="AD44" s="18">
        <f t="shared" ca="1" si="24"/>
        <v>10</v>
      </c>
      <c r="AE44" s="18">
        <f t="shared" ca="1" si="24"/>
        <v>10</v>
      </c>
      <c r="AF44" s="19">
        <f ca="1">MIN(10, SUMIF(Dati!CG60:CQ60, "&gt;0"))</f>
        <v>3</v>
      </c>
      <c r="AG44" s="248">
        <f t="shared" ca="1" si="32"/>
        <v>75</v>
      </c>
      <c r="AH44" s="11">
        <f t="shared" ca="1" si="27"/>
        <v>10</v>
      </c>
      <c r="AI44" s="18">
        <f t="shared" ca="1" si="33"/>
        <v>10</v>
      </c>
      <c r="AJ44" s="18">
        <f t="shared" ca="1" si="33"/>
        <v>0</v>
      </c>
      <c r="AK44" s="18">
        <f t="shared" ca="1" si="33"/>
        <v>10</v>
      </c>
      <c r="AL44" s="18">
        <f t="shared" ca="1" si="33"/>
        <v>10</v>
      </c>
      <c r="AM44" s="18">
        <f t="shared" ca="1" si="33"/>
        <v>10</v>
      </c>
      <c r="AN44" s="18">
        <f t="shared" ca="1" si="33"/>
        <v>10</v>
      </c>
      <c r="AO44" s="18">
        <f ca="1">SUMIF(Dati!DH60:DJ60, "&gt;0")</f>
        <v>10</v>
      </c>
      <c r="AP44" s="18">
        <f ca="1">MIN(10, SUMIF(Dati!DL60:DP60, "&gt;0"))</f>
        <v>10</v>
      </c>
      <c r="AQ44" s="18">
        <f ca="1">SUMIF(Dati!DR60:DT60, "&gt;0")</f>
        <v>8</v>
      </c>
      <c r="AR44" s="18">
        <f t="shared" ca="1" si="33"/>
        <v>8</v>
      </c>
      <c r="AS44" s="18">
        <f t="shared" ca="1" si="33"/>
        <v>0</v>
      </c>
      <c r="AT44" s="19">
        <f ca="1">MIN(10,SUMIF(Dati!DZ60:EB60, "&gt;0"))</f>
        <v>2</v>
      </c>
      <c r="AU44" s="240">
        <f t="shared" ca="1" si="34"/>
        <v>98</v>
      </c>
      <c r="AV44" s="4">
        <f t="shared" ca="1" si="35"/>
        <v>342</v>
      </c>
    </row>
    <row r="45" spans="1:48" ht="15" customHeight="1">
      <c r="A45" s="234">
        <f t="shared" si="17"/>
        <v>61</v>
      </c>
      <c r="B45" s="257" t="str">
        <f t="shared" ca="1" si="36"/>
        <v xml:space="preserve">Istituto nazionale per la previdenza sociale                                  </v>
      </c>
      <c r="C45" s="11">
        <f t="shared" ca="1" si="26"/>
        <v>6</v>
      </c>
      <c r="D45" s="18">
        <f t="shared" ca="1" si="30"/>
        <v>10</v>
      </c>
      <c r="E45" s="18">
        <f t="shared" ca="1" si="30"/>
        <v>10</v>
      </c>
      <c r="F45" s="239">
        <f ca="1">MIN(10, SUMIF(Dati!K61:Q61, "&gt;0"))</f>
        <v>5</v>
      </c>
      <c r="G45" s="18">
        <f ca="1">MIN( 10, SUMIF(Dati!$S61:$Y61, "&gt;0"))</f>
        <v>10</v>
      </c>
      <c r="H45" s="18">
        <f t="shared" ca="1" si="30"/>
        <v>10</v>
      </c>
      <c r="I45" s="18">
        <f t="shared" ca="1" si="30"/>
        <v>10</v>
      </c>
      <c r="J45" s="18">
        <f t="shared" ca="1" si="30"/>
        <v>10</v>
      </c>
      <c r="K45" s="239">
        <f ca="1">SUMIF(Dati!AG61:AI61, "&gt;0")</f>
        <v>10</v>
      </c>
      <c r="L45" s="19">
        <f t="shared" ca="1" si="30"/>
        <v>10</v>
      </c>
      <c r="M45" s="251">
        <f t="shared" ca="1" si="13"/>
        <v>91</v>
      </c>
      <c r="N45" s="11">
        <f t="shared" ca="1" si="21"/>
        <v>10</v>
      </c>
      <c r="O45" s="18">
        <f t="shared" ca="1" si="29"/>
        <v>10</v>
      </c>
      <c r="P45" s="18">
        <f t="shared" ca="1" si="29"/>
        <v>10</v>
      </c>
      <c r="Q45" s="18">
        <f ca="1">SUMIF(Dati!AT61:AX61, "&gt;0")</f>
        <v>10</v>
      </c>
      <c r="R45" s="18">
        <f ca="1">SUMIF(Dati!AZ61:BB61, "&gt;0")</f>
        <v>10</v>
      </c>
      <c r="S45" s="18">
        <f ca="1">SUMIF(Dati!BD61:BF61, "&gt;0")</f>
        <v>10</v>
      </c>
      <c r="T45" s="18">
        <f ca="1">SUMIF(Dati!BH61:BJ61, "&gt;0")</f>
        <v>10</v>
      </c>
      <c r="U45" s="18">
        <f t="shared" ca="1" si="22"/>
        <v>10</v>
      </c>
      <c r="V45" s="19">
        <f t="shared" ca="1" si="23"/>
        <v>10</v>
      </c>
      <c r="W45" s="250">
        <f t="shared" ca="1" si="31"/>
        <v>90</v>
      </c>
      <c r="X45" s="11">
        <f t="shared" ca="1" si="24"/>
        <v>10</v>
      </c>
      <c r="Y45" s="18">
        <f t="shared" ca="1" si="24"/>
        <v>10</v>
      </c>
      <c r="Z45" s="18">
        <f t="shared" ca="1" si="24"/>
        <v>10</v>
      </c>
      <c r="AA45" s="18">
        <f t="shared" ca="1" si="24"/>
        <v>10</v>
      </c>
      <c r="AB45" s="18">
        <f t="shared" ca="1" si="24"/>
        <v>10</v>
      </c>
      <c r="AC45" s="18">
        <f t="shared" ca="1" si="24"/>
        <v>10</v>
      </c>
      <c r="AD45" s="18">
        <f t="shared" ca="1" si="24"/>
        <v>10</v>
      </c>
      <c r="AE45" s="18">
        <f t="shared" ca="1" si="24"/>
        <v>10</v>
      </c>
      <c r="AF45" s="19">
        <f ca="1">MIN(10, SUMIF(Dati!CG61:CQ61, "&gt;0"))</f>
        <v>10</v>
      </c>
      <c r="AG45" s="248">
        <f t="shared" ca="1" si="32"/>
        <v>90</v>
      </c>
      <c r="AH45" s="11">
        <f t="shared" ca="1" si="27"/>
        <v>10</v>
      </c>
      <c r="AI45" s="18">
        <f t="shared" ca="1" si="33"/>
        <v>10</v>
      </c>
      <c r="AJ45" s="18">
        <f t="shared" ca="1" si="33"/>
        <v>10</v>
      </c>
      <c r="AK45" s="18">
        <f t="shared" ca="1" si="33"/>
        <v>10</v>
      </c>
      <c r="AL45" s="18">
        <f t="shared" ca="1" si="33"/>
        <v>10</v>
      </c>
      <c r="AM45" s="18">
        <f t="shared" ca="1" si="33"/>
        <v>10</v>
      </c>
      <c r="AN45" s="18">
        <f t="shared" ca="1" si="33"/>
        <v>10</v>
      </c>
      <c r="AO45" s="18">
        <f ca="1">SUMIF(Dati!DH61:DJ61, "&gt;0")</f>
        <v>10</v>
      </c>
      <c r="AP45" s="18">
        <f ca="1">MIN(10, SUMIF(Dati!DL61:DP61, "&gt;0"))</f>
        <v>10</v>
      </c>
      <c r="AQ45" s="18">
        <f ca="1">SUMIF(Dati!DR61:DT61, "&gt;0")</f>
        <v>8</v>
      </c>
      <c r="AR45" s="18">
        <f t="shared" ca="1" si="33"/>
        <v>8</v>
      </c>
      <c r="AS45" s="18">
        <f t="shared" ca="1" si="33"/>
        <v>10</v>
      </c>
      <c r="AT45" s="19">
        <f ca="1">MIN(10,SUMIF(Dati!DZ61:EB61, "&gt;0"))</f>
        <v>2</v>
      </c>
      <c r="AU45" s="240">
        <f t="shared" ca="1" si="34"/>
        <v>118</v>
      </c>
      <c r="AV45" s="4">
        <f t="shared" ca="1" si="35"/>
        <v>389</v>
      </c>
    </row>
    <row r="46" spans="1:48" ht="15" customHeight="1">
      <c r="A46" s="234">
        <f t="shared" si="17"/>
        <v>62</v>
      </c>
      <c r="B46" s="257" t="str">
        <f t="shared" ca="1" si="36"/>
        <v xml:space="preserve">Istituto dei postelegrafonici                                                                       </v>
      </c>
      <c r="C46" s="11">
        <f t="shared" ca="1" si="26"/>
        <v>6</v>
      </c>
      <c r="D46" s="18">
        <f t="shared" ca="1" si="30"/>
        <v>10</v>
      </c>
      <c r="E46" s="18">
        <f t="shared" ca="1" si="30"/>
        <v>0</v>
      </c>
      <c r="F46" s="239">
        <f ca="1">MIN(10, SUMIF(Dati!K62:Q62, "&gt;0"))</f>
        <v>0</v>
      </c>
      <c r="G46" s="18">
        <f ca="1">MIN( 10, SUMIF(Dati!$S62:$Y62, "&gt;0"))</f>
        <v>6</v>
      </c>
      <c r="H46" s="18">
        <f t="shared" ca="1" si="30"/>
        <v>10</v>
      </c>
      <c r="I46" s="18">
        <f t="shared" ca="1" si="30"/>
        <v>10</v>
      </c>
      <c r="J46" s="18">
        <f t="shared" ca="1" si="30"/>
        <v>10</v>
      </c>
      <c r="K46" s="239">
        <f ca="1">SUMIF(Dati!AG62:AI62, "&gt;0")</f>
        <v>10</v>
      </c>
      <c r="L46" s="19">
        <f t="shared" ca="1" si="30"/>
        <v>10</v>
      </c>
      <c r="M46" s="251">
        <f t="shared" ca="1" si="13"/>
        <v>72</v>
      </c>
      <c r="N46" s="11">
        <f t="shared" ca="1" si="21"/>
        <v>10</v>
      </c>
      <c r="O46" s="18">
        <f t="shared" ref="O46:P50" ca="1" si="37">INDIRECT(ADDRESS($A46,O$3,1,FALSE, "Dati"), FALSE)</f>
        <v>10</v>
      </c>
      <c r="P46" s="18">
        <f t="shared" ca="1" si="37"/>
        <v>0</v>
      </c>
      <c r="Q46" s="18">
        <f ca="1">SUMIF(Dati!AT62:AX62, "&gt;0")</f>
        <v>10</v>
      </c>
      <c r="R46" s="18">
        <f ca="1">SUMIF(Dati!AZ62:BB62, "&gt;0")</f>
        <v>6</v>
      </c>
      <c r="S46" s="18">
        <f ca="1">SUMIF(Dati!BD62:BF62, "&gt;0")</f>
        <v>10</v>
      </c>
      <c r="T46" s="18">
        <f ca="1">SUMIF(Dati!BH62:BJ62, "&gt;0")</f>
        <v>10</v>
      </c>
      <c r="U46" s="18">
        <f t="shared" ca="1" si="22"/>
        <v>10</v>
      </c>
      <c r="V46" s="19">
        <f t="shared" ca="1" si="23"/>
        <v>10</v>
      </c>
      <c r="W46" s="250">
        <f t="shared" ca="1" si="31"/>
        <v>76</v>
      </c>
      <c r="X46" s="11">
        <f t="shared" ca="1" si="24"/>
        <v>10</v>
      </c>
      <c r="Y46" s="18">
        <f t="shared" ca="1" si="24"/>
        <v>6</v>
      </c>
      <c r="Z46" s="18">
        <f t="shared" ca="1" si="24"/>
        <v>6</v>
      </c>
      <c r="AA46" s="18">
        <f t="shared" ca="1" si="24"/>
        <v>0</v>
      </c>
      <c r="AB46" s="18">
        <f t="shared" ca="1" si="24"/>
        <v>10</v>
      </c>
      <c r="AC46" s="18">
        <f t="shared" ca="1" si="24"/>
        <v>10</v>
      </c>
      <c r="AD46" s="18">
        <f t="shared" ca="1" si="24"/>
        <v>10</v>
      </c>
      <c r="AE46" s="18">
        <f t="shared" ca="1" si="24"/>
        <v>10</v>
      </c>
      <c r="AF46" s="19">
        <f ca="1">MIN(10, SUMIF(Dati!CG62:CQ62, "&gt;0"))</f>
        <v>10</v>
      </c>
      <c r="AG46" s="248">
        <f t="shared" ca="1" si="32"/>
        <v>72</v>
      </c>
      <c r="AH46" s="11">
        <f t="shared" ca="1" si="27"/>
        <v>10</v>
      </c>
      <c r="AI46" s="18">
        <f t="shared" ca="1" si="33"/>
        <v>10</v>
      </c>
      <c r="AJ46" s="18">
        <f t="shared" ca="1" si="33"/>
        <v>10</v>
      </c>
      <c r="AK46" s="18">
        <f t="shared" ca="1" si="33"/>
        <v>10</v>
      </c>
      <c r="AL46" s="18">
        <f t="shared" ca="1" si="33"/>
        <v>10</v>
      </c>
      <c r="AM46" s="18">
        <f t="shared" ca="1" si="33"/>
        <v>10</v>
      </c>
      <c r="AN46" s="18">
        <f t="shared" ca="1" si="33"/>
        <v>10</v>
      </c>
      <c r="AO46" s="18">
        <f ca="1">SUMIF(Dati!DH62:DJ62, "&gt;0")</f>
        <v>10</v>
      </c>
      <c r="AP46" s="18">
        <f ca="1">MIN(10, SUMIF(Dati!DL62:DP62, "&gt;0"))</f>
        <v>10</v>
      </c>
      <c r="AQ46" s="18">
        <f ca="1">SUMIF(Dati!DR62:DT62, "&gt;0")</f>
        <v>0</v>
      </c>
      <c r="AR46" s="18">
        <f t="shared" ca="1" si="33"/>
        <v>10</v>
      </c>
      <c r="AS46" s="18">
        <f t="shared" ca="1" si="33"/>
        <v>10</v>
      </c>
      <c r="AT46" s="19">
        <f ca="1">MIN(10,SUMIF(Dati!DZ62:EB62, "&gt;0"))</f>
        <v>2</v>
      </c>
      <c r="AU46" s="240">
        <f t="shared" ca="1" si="34"/>
        <v>112</v>
      </c>
      <c r="AV46" s="4">
        <f t="shared" ca="1" si="35"/>
        <v>332</v>
      </c>
    </row>
    <row r="47" spans="1:48" ht="15" customHeight="1">
      <c r="A47" s="234">
        <f t="shared" si="17"/>
        <v>63</v>
      </c>
      <c r="B47" s="257" t="str">
        <f t="shared" ca="1" si="36"/>
        <v xml:space="preserve">Istituto per lo sviluppo della formazione professionale dei lavoratori                              </v>
      </c>
      <c r="C47" s="11">
        <f t="shared" ca="1" si="26"/>
        <v>6</v>
      </c>
      <c r="D47" s="18">
        <f t="shared" ca="1" si="30"/>
        <v>10</v>
      </c>
      <c r="E47" s="18">
        <f t="shared" ca="1" si="30"/>
        <v>10</v>
      </c>
      <c r="F47" s="239">
        <f ca="1">MIN(10, SUMIF(Dati!K63:Q63, "&gt;0"))</f>
        <v>6</v>
      </c>
      <c r="G47" s="18">
        <f ca="1">MIN( 10, SUMIF(Dati!$S63:$Y63, "&gt;0"))</f>
        <v>10</v>
      </c>
      <c r="H47" s="18">
        <f t="shared" ca="1" si="30"/>
        <v>10</v>
      </c>
      <c r="I47" s="18">
        <f t="shared" ca="1" si="30"/>
        <v>10</v>
      </c>
      <c r="J47" s="18">
        <f t="shared" ca="1" si="30"/>
        <v>0</v>
      </c>
      <c r="K47" s="239">
        <f ca="1">SUMIF(Dati!AG63:AI63, "&gt;0")</f>
        <v>10</v>
      </c>
      <c r="L47" s="19">
        <f t="shared" ca="1" si="30"/>
        <v>10</v>
      </c>
      <c r="M47" s="251">
        <f t="shared" ca="1" si="13"/>
        <v>82</v>
      </c>
      <c r="N47" s="11">
        <f t="shared" ca="1" si="21"/>
        <v>10</v>
      </c>
      <c r="O47" s="18">
        <f t="shared" ca="1" si="37"/>
        <v>10</v>
      </c>
      <c r="P47" s="18">
        <f t="shared" ca="1" si="37"/>
        <v>0</v>
      </c>
      <c r="Q47" s="18">
        <f ca="1">SUMIF(Dati!AT63:AX63, "&gt;0")</f>
        <v>5</v>
      </c>
      <c r="R47" s="18">
        <f ca="1">SUMIF(Dati!AZ63:BB63, "&gt;0")</f>
        <v>0</v>
      </c>
      <c r="S47" s="18">
        <f ca="1">SUMIF(Dati!BD63:BF63, "&gt;0")</f>
        <v>0</v>
      </c>
      <c r="T47" s="18">
        <f ca="1">SUMIF(Dati!BH63:BJ63, "&gt;0")</f>
        <v>0</v>
      </c>
      <c r="U47" s="18">
        <f t="shared" ca="1" si="22"/>
        <v>0</v>
      </c>
      <c r="V47" s="19">
        <f t="shared" ca="1" si="23"/>
        <v>10</v>
      </c>
      <c r="W47" s="250">
        <f t="shared" ca="1" si="31"/>
        <v>35</v>
      </c>
      <c r="X47" s="11">
        <f t="shared" ca="1" si="24"/>
        <v>0</v>
      </c>
      <c r="Y47" s="18">
        <f t="shared" ca="1" si="24"/>
        <v>10</v>
      </c>
      <c r="Z47" s="18">
        <f t="shared" ca="1" si="24"/>
        <v>0</v>
      </c>
      <c r="AA47" s="18">
        <f t="shared" ca="1" si="24"/>
        <v>0</v>
      </c>
      <c r="AB47" s="18">
        <f t="shared" ca="1" si="24"/>
        <v>10</v>
      </c>
      <c r="AC47" s="18">
        <f t="shared" ca="1" si="24"/>
        <v>10</v>
      </c>
      <c r="AD47" s="18">
        <f t="shared" ca="1" si="24"/>
        <v>10</v>
      </c>
      <c r="AE47" s="18">
        <f t="shared" ca="1" si="24"/>
        <v>10</v>
      </c>
      <c r="AF47" s="19">
        <f ca="1">MIN(10, SUMIF(Dati!CG63:CQ63, "&gt;0"))</f>
        <v>10</v>
      </c>
      <c r="AG47" s="248">
        <f t="shared" ca="1" si="32"/>
        <v>60</v>
      </c>
      <c r="AH47" s="11">
        <f t="shared" ca="1" si="27"/>
        <v>0</v>
      </c>
      <c r="AI47" s="18">
        <f t="shared" ca="1" si="33"/>
        <v>0</v>
      </c>
      <c r="AJ47" s="18">
        <f t="shared" ca="1" si="33"/>
        <v>6</v>
      </c>
      <c r="AK47" s="18">
        <f t="shared" ca="1" si="33"/>
        <v>0</v>
      </c>
      <c r="AL47" s="18">
        <f t="shared" ca="1" si="33"/>
        <v>10</v>
      </c>
      <c r="AM47" s="18">
        <f t="shared" ca="1" si="33"/>
        <v>10</v>
      </c>
      <c r="AN47" s="18">
        <f t="shared" ca="1" si="33"/>
        <v>10</v>
      </c>
      <c r="AO47" s="18">
        <f ca="1">SUMIF(Dati!DH63:DJ63, "&gt;0")</f>
        <v>6</v>
      </c>
      <c r="AP47" s="18">
        <f ca="1">MIN(10, SUMIF(Dati!DL63:DP63, "&gt;0"))</f>
        <v>6</v>
      </c>
      <c r="AQ47" s="18">
        <f ca="1">SUMIF(Dati!DR63:DT63, "&gt;0")</f>
        <v>6</v>
      </c>
      <c r="AR47" s="18">
        <f t="shared" ca="1" si="33"/>
        <v>0</v>
      </c>
      <c r="AS47" s="18">
        <f t="shared" ca="1" si="33"/>
        <v>10</v>
      </c>
      <c r="AT47" s="19">
        <f ca="1">MIN(10,SUMIF(Dati!DZ63:EB63, "&gt;0"))</f>
        <v>2</v>
      </c>
      <c r="AU47" s="240">
        <f t="shared" ca="1" si="34"/>
        <v>66</v>
      </c>
      <c r="AV47" s="4">
        <f t="shared" ca="1" si="35"/>
        <v>243</v>
      </c>
    </row>
    <row r="48" spans="1:48" ht="15" customHeight="1">
      <c r="A48" s="234">
        <f t="shared" si="17"/>
        <v>64</v>
      </c>
      <c r="B48" s="257" t="str">
        <f t="shared" ca="1" si="36"/>
        <v xml:space="preserve">Istituto superiore di sanità                                                                        </v>
      </c>
      <c r="C48" s="11">
        <f t="shared" ca="1" si="26"/>
        <v>6</v>
      </c>
      <c r="D48" s="18">
        <f t="shared" ca="1" si="30"/>
        <v>10</v>
      </c>
      <c r="E48" s="18">
        <f t="shared" ca="1" si="30"/>
        <v>0</v>
      </c>
      <c r="F48" s="239">
        <f ca="1">MIN(10, SUMIF(Dati!K64:Q64, "&gt;0"))</f>
        <v>0</v>
      </c>
      <c r="G48" s="18">
        <f ca="1">MIN( 10, SUMIF(Dati!$S64:$Y64, "&gt;0"))</f>
        <v>10</v>
      </c>
      <c r="H48" s="18">
        <f t="shared" ca="1" si="30"/>
        <v>4</v>
      </c>
      <c r="I48" s="18">
        <f t="shared" ca="1" si="30"/>
        <v>10</v>
      </c>
      <c r="J48" s="18">
        <f t="shared" ca="1" si="30"/>
        <v>10</v>
      </c>
      <c r="K48" s="239">
        <f ca="1">SUMIF(Dati!AG64:AI64, "&gt;0")</f>
        <v>10</v>
      </c>
      <c r="L48" s="19">
        <f t="shared" ca="1" si="30"/>
        <v>10</v>
      </c>
      <c r="M48" s="251">
        <f t="shared" ca="1" si="13"/>
        <v>70</v>
      </c>
      <c r="N48" s="11">
        <f t="shared" ca="1" si="21"/>
        <v>10</v>
      </c>
      <c r="O48" s="18">
        <f t="shared" ca="1" si="37"/>
        <v>10</v>
      </c>
      <c r="P48" s="18">
        <f t="shared" ca="1" si="37"/>
        <v>10</v>
      </c>
      <c r="Q48" s="18">
        <f ca="1">SUMIF(Dati!AT64:AX64, "&gt;0")</f>
        <v>10</v>
      </c>
      <c r="R48" s="18">
        <f ca="1">SUMIF(Dati!AZ64:BB64, "&gt;0")</f>
        <v>4</v>
      </c>
      <c r="S48" s="18">
        <f ca="1">SUMIF(Dati!BD64:BF64, "&gt;0")</f>
        <v>10</v>
      </c>
      <c r="T48" s="18">
        <f ca="1">SUMIF(Dati!BH64:BJ64, "&gt;0")</f>
        <v>10</v>
      </c>
      <c r="U48" s="18">
        <f t="shared" ca="1" si="22"/>
        <v>10</v>
      </c>
      <c r="V48" s="19">
        <f t="shared" ca="1" si="23"/>
        <v>10</v>
      </c>
      <c r="W48" s="250">
        <f t="shared" ca="1" si="31"/>
        <v>84</v>
      </c>
      <c r="X48" s="11">
        <f t="shared" ca="1" si="24"/>
        <v>10</v>
      </c>
      <c r="Y48" s="18">
        <f t="shared" ca="1" si="24"/>
        <v>6</v>
      </c>
      <c r="Z48" s="18">
        <f t="shared" ca="1" si="24"/>
        <v>6</v>
      </c>
      <c r="AA48" s="18">
        <f t="shared" ca="1" si="24"/>
        <v>10</v>
      </c>
      <c r="AB48" s="18">
        <f t="shared" ca="1" si="24"/>
        <v>10</v>
      </c>
      <c r="AC48" s="18">
        <f t="shared" ca="1" si="24"/>
        <v>10</v>
      </c>
      <c r="AD48" s="18">
        <f t="shared" ca="1" si="24"/>
        <v>10</v>
      </c>
      <c r="AE48" s="18">
        <f t="shared" ref="Y48:AL50" ca="1" si="38">INDIRECT(ADDRESS($A48,AE$3,1,FALSE, "Dati"), FALSE)</f>
        <v>10</v>
      </c>
      <c r="AF48" s="19">
        <f ca="1">MIN(10, SUMIF(Dati!CG64:CQ64, "&gt;0"))</f>
        <v>6</v>
      </c>
      <c r="AG48" s="248">
        <f t="shared" ca="1" si="32"/>
        <v>78</v>
      </c>
      <c r="AH48" s="11">
        <f t="shared" ca="1" si="38"/>
        <v>0</v>
      </c>
      <c r="AI48" s="18">
        <f t="shared" ca="1" si="38"/>
        <v>0</v>
      </c>
      <c r="AJ48" s="18">
        <f t="shared" ca="1" si="38"/>
        <v>0</v>
      </c>
      <c r="AK48" s="18">
        <f t="shared" ca="1" si="38"/>
        <v>0</v>
      </c>
      <c r="AL48" s="18">
        <f t="shared" ca="1" si="38"/>
        <v>0</v>
      </c>
      <c r="AM48" s="18">
        <f t="shared" ca="1" si="33"/>
        <v>10</v>
      </c>
      <c r="AN48" s="18">
        <f t="shared" ca="1" si="33"/>
        <v>10</v>
      </c>
      <c r="AO48" s="18">
        <f ca="1">SUMIF(Dati!DH64:DJ64, "&gt;0")</f>
        <v>4</v>
      </c>
      <c r="AP48" s="18">
        <f ca="1">MIN(10, SUMIF(Dati!DL64:DP64, "&gt;0"))</f>
        <v>10</v>
      </c>
      <c r="AQ48" s="18">
        <f ca="1">SUMIF(Dati!DR64:DT64, "&gt;0")</f>
        <v>0</v>
      </c>
      <c r="AR48" s="18">
        <f t="shared" ca="1" si="33"/>
        <v>6</v>
      </c>
      <c r="AS48" s="18">
        <f t="shared" ca="1" si="33"/>
        <v>10</v>
      </c>
      <c r="AT48" s="19">
        <f ca="1">MIN(10,SUMIF(Dati!DZ64:EB64, "&gt;0"))</f>
        <v>2</v>
      </c>
      <c r="AU48" s="240">
        <f t="shared" ca="1" si="34"/>
        <v>52</v>
      </c>
      <c r="AV48" s="4">
        <f t="shared" ca="1" si="35"/>
        <v>284</v>
      </c>
    </row>
    <row r="49" spans="1:48" ht="15" customHeight="1">
      <c r="A49" s="234">
        <f t="shared" si="17"/>
        <v>65</v>
      </c>
      <c r="B49" s="257" t="str">
        <f t="shared" ca="1" si="36"/>
        <v xml:space="preserve">Istituto nazionale di statistica                                   </v>
      </c>
      <c r="C49" s="11">
        <f t="shared" ca="1" si="26"/>
        <v>8</v>
      </c>
      <c r="D49" s="18">
        <f t="shared" ca="1" si="30"/>
        <v>10</v>
      </c>
      <c r="E49" s="18">
        <f t="shared" ca="1" si="30"/>
        <v>0</v>
      </c>
      <c r="F49" s="239">
        <f ca="1">MIN(10, SUMIF(Dati!K65:Q65, "&gt;0"))</f>
        <v>0</v>
      </c>
      <c r="G49" s="18">
        <f ca="1">MIN( 10, SUMIF(Dati!$S65:$Y65, "&gt;0"))</f>
        <v>10</v>
      </c>
      <c r="H49" s="18">
        <f t="shared" ca="1" si="30"/>
        <v>10</v>
      </c>
      <c r="I49" s="18">
        <f t="shared" ca="1" si="30"/>
        <v>10</v>
      </c>
      <c r="J49" s="18">
        <f t="shared" ca="1" si="30"/>
        <v>10</v>
      </c>
      <c r="K49" s="239">
        <f ca="1">SUMIF(Dati!AG65:AI65, "&gt;0")</f>
        <v>10</v>
      </c>
      <c r="L49" s="19">
        <f t="shared" ca="1" si="30"/>
        <v>10</v>
      </c>
      <c r="M49" s="251">
        <f t="shared" ca="1" si="13"/>
        <v>78</v>
      </c>
      <c r="N49" s="11">
        <f t="shared" ca="1" si="21"/>
        <v>10</v>
      </c>
      <c r="O49" s="18">
        <f t="shared" ca="1" si="37"/>
        <v>10</v>
      </c>
      <c r="P49" s="18">
        <f t="shared" ca="1" si="37"/>
        <v>0</v>
      </c>
      <c r="Q49" s="18">
        <f ca="1">SUMIF(Dati!AT65:AX65, "&gt;0")</f>
        <v>10</v>
      </c>
      <c r="R49" s="18">
        <f ca="1">SUMIF(Dati!AZ65:BB65, "&gt;0")</f>
        <v>10</v>
      </c>
      <c r="S49" s="18">
        <f ca="1">SUMIF(Dati!BD65:BF65, "&gt;0")</f>
        <v>10</v>
      </c>
      <c r="T49" s="18">
        <f ca="1">SUMIF(Dati!BH65:BJ65, "&gt;0")</f>
        <v>10</v>
      </c>
      <c r="U49" s="18">
        <f t="shared" ca="1" si="22"/>
        <v>10</v>
      </c>
      <c r="V49" s="19">
        <f t="shared" ca="1" si="23"/>
        <v>10</v>
      </c>
      <c r="W49" s="250">
        <f t="shared" ca="1" si="31"/>
        <v>80</v>
      </c>
      <c r="X49" s="11">
        <f t="shared" ca="1" si="24"/>
        <v>0</v>
      </c>
      <c r="Y49" s="18">
        <f t="shared" ca="1" si="38"/>
        <v>0</v>
      </c>
      <c r="Z49" s="18">
        <f t="shared" ca="1" si="38"/>
        <v>0</v>
      </c>
      <c r="AA49" s="18">
        <f t="shared" ca="1" si="38"/>
        <v>0</v>
      </c>
      <c r="AB49" s="18">
        <f t="shared" ca="1" si="38"/>
        <v>10</v>
      </c>
      <c r="AC49" s="18">
        <f t="shared" ca="1" si="38"/>
        <v>10</v>
      </c>
      <c r="AD49" s="18">
        <f t="shared" ca="1" si="38"/>
        <v>10</v>
      </c>
      <c r="AE49" s="18">
        <f t="shared" ca="1" si="38"/>
        <v>10</v>
      </c>
      <c r="AF49" s="19">
        <f ca="1">MIN(10, SUMIF(Dati!CG65:CQ65, "&gt;0"))</f>
        <v>10</v>
      </c>
      <c r="AG49" s="248">
        <f t="shared" ca="1" si="32"/>
        <v>50</v>
      </c>
      <c r="AH49" s="11">
        <f t="shared" ca="1" si="38"/>
        <v>0</v>
      </c>
      <c r="AI49" s="18">
        <f t="shared" ca="1" si="33"/>
        <v>0</v>
      </c>
      <c r="AJ49" s="18">
        <f t="shared" ca="1" si="33"/>
        <v>6</v>
      </c>
      <c r="AK49" s="18">
        <f t="shared" ca="1" si="33"/>
        <v>10</v>
      </c>
      <c r="AL49" s="18">
        <f t="shared" ca="1" si="33"/>
        <v>0</v>
      </c>
      <c r="AM49" s="18">
        <f t="shared" ca="1" si="33"/>
        <v>0</v>
      </c>
      <c r="AN49" s="18">
        <f t="shared" ca="1" si="33"/>
        <v>10</v>
      </c>
      <c r="AO49" s="18">
        <f ca="1">SUMIF(Dati!DH65:DJ65, "&gt;0")</f>
        <v>10</v>
      </c>
      <c r="AP49" s="18">
        <f ca="1">MIN(10, SUMIF(Dati!DL65:DP65, "&gt;0"))</f>
        <v>10</v>
      </c>
      <c r="AQ49" s="18">
        <f ca="1">SUMIF(Dati!DR65:DT65, "&gt;0")</f>
        <v>10</v>
      </c>
      <c r="AR49" s="18">
        <f t="shared" ca="1" si="33"/>
        <v>6</v>
      </c>
      <c r="AS49" s="18">
        <f t="shared" ca="1" si="33"/>
        <v>0</v>
      </c>
      <c r="AT49" s="19">
        <f ca="1">MIN(10,SUMIF(Dati!DZ65:EB65, "&gt;0"))</f>
        <v>2</v>
      </c>
      <c r="AU49" s="240">
        <f t="shared" ca="1" si="34"/>
        <v>64</v>
      </c>
      <c r="AV49" s="4">
        <f t="shared" ca="1" si="35"/>
        <v>272</v>
      </c>
    </row>
    <row r="50" spans="1:48" ht="15" customHeight="1">
      <c r="A50" s="234">
        <f t="shared" si="17"/>
        <v>66</v>
      </c>
      <c r="B50" s="257" t="str">
        <f t="shared" ca="1" si="36"/>
        <v>Unione nazionale incremento razze equine</v>
      </c>
      <c r="C50" s="11">
        <f t="shared" ca="1" si="26"/>
        <v>6</v>
      </c>
      <c r="D50" s="18">
        <f t="shared" ca="1" si="30"/>
        <v>10</v>
      </c>
      <c r="E50" s="18">
        <f t="shared" ca="1" si="30"/>
        <v>10</v>
      </c>
      <c r="F50" s="239">
        <f ca="1">MIN(10, SUMIF(Dati!K66:Q66, "&gt;0"))</f>
        <v>8</v>
      </c>
      <c r="G50" s="18">
        <f ca="1">MIN( 10, SUMIF(Dati!$S66:$Y66, "&gt;0"))</f>
        <v>10</v>
      </c>
      <c r="H50" s="18">
        <f t="shared" ca="1" si="30"/>
        <v>4</v>
      </c>
      <c r="I50" s="18">
        <f t="shared" ca="1" si="30"/>
        <v>0</v>
      </c>
      <c r="J50" s="18">
        <f t="shared" ca="1" si="30"/>
        <v>10</v>
      </c>
      <c r="K50" s="239">
        <f ca="1">SUMIF(Dati!AG66:AI66, "&gt;0")</f>
        <v>10</v>
      </c>
      <c r="L50" s="19">
        <f t="shared" ca="1" si="30"/>
        <v>0</v>
      </c>
      <c r="M50" s="251">
        <f t="shared" ca="1" si="13"/>
        <v>68</v>
      </c>
      <c r="N50" s="11">
        <f t="shared" ca="1" si="21"/>
        <v>10</v>
      </c>
      <c r="O50" s="18">
        <f t="shared" ca="1" si="37"/>
        <v>0</v>
      </c>
      <c r="P50" s="18">
        <f t="shared" ca="1" si="37"/>
        <v>0</v>
      </c>
      <c r="Q50" s="18">
        <f ca="1">SUMIF(Dati!AT66:AX66, "&gt;0")</f>
        <v>5</v>
      </c>
      <c r="R50" s="18">
        <f ca="1">SUMIF(Dati!AZ66:BB66, "&gt;0")</f>
        <v>6</v>
      </c>
      <c r="S50" s="18">
        <f ca="1">SUMIF(Dati!BD66:BF66, "&gt;0")</f>
        <v>0</v>
      </c>
      <c r="T50" s="18">
        <f ca="1">SUMIF(Dati!BH66:BJ66, "&gt;0")</f>
        <v>6</v>
      </c>
      <c r="U50" s="18">
        <f t="shared" ca="1" si="22"/>
        <v>0</v>
      </c>
      <c r="V50" s="19">
        <f t="shared" ca="1" si="23"/>
        <v>6</v>
      </c>
      <c r="W50" s="250">
        <f t="shared" ca="1" si="31"/>
        <v>33</v>
      </c>
      <c r="X50" s="11">
        <f t="shared" ca="1" si="24"/>
        <v>0</v>
      </c>
      <c r="Y50" s="18">
        <f t="shared" ca="1" si="38"/>
        <v>0</v>
      </c>
      <c r="Z50" s="18">
        <f t="shared" ca="1" si="38"/>
        <v>0</v>
      </c>
      <c r="AA50" s="18">
        <f t="shared" ca="1" si="38"/>
        <v>10</v>
      </c>
      <c r="AB50" s="18">
        <f t="shared" ca="1" si="38"/>
        <v>0</v>
      </c>
      <c r="AC50" s="18">
        <f t="shared" ca="1" si="38"/>
        <v>0</v>
      </c>
      <c r="AD50" s="18">
        <f t="shared" ca="1" si="38"/>
        <v>0</v>
      </c>
      <c r="AE50" s="18">
        <f t="shared" ca="1" si="38"/>
        <v>10</v>
      </c>
      <c r="AF50" s="19">
        <f ca="1">MIN(10, SUMIF(Dati!CG66:CQ66, "&gt;0"))</f>
        <v>10</v>
      </c>
      <c r="AG50" s="248">
        <f t="shared" ca="1" si="32"/>
        <v>30</v>
      </c>
      <c r="AH50" s="11">
        <f t="shared" ca="1" si="38"/>
        <v>0</v>
      </c>
      <c r="AI50" s="18">
        <f t="shared" ca="1" si="33"/>
        <v>10</v>
      </c>
      <c r="AJ50" s="18">
        <f t="shared" ca="1" si="33"/>
        <v>0</v>
      </c>
      <c r="AK50" s="18">
        <f t="shared" ca="1" si="33"/>
        <v>0</v>
      </c>
      <c r="AL50" s="18">
        <f t="shared" ca="1" si="33"/>
        <v>0</v>
      </c>
      <c r="AM50" s="18">
        <f t="shared" ca="1" si="33"/>
        <v>10</v>
      </c>
      <c r="AN50" s="18">
        <f t="shared" ca="1" si="33"/>
        <v>10</v>
      </c>
      <c r="AO50" s="18">
        <f ca="1">SUMIF(Dati!DH66:DJ66, "&gt;0")</f>
        <v>6</v>
      </c>
      <c r="AP50" s="18">
        <f ca="1">MIN(10, SUMIF(Dati!DL66:DP66, "&gt;0"))</f>
        <v>6</v>
      </c>
      <c r="AQ50" s="18">
        <f ca="1">SUMIF(Dati!DR66:DT66, "&gt;0")</f>
        <v>0</v>
      </c>
      <c r="AR50" s="18">
        <f t="shared" ca="1" si="33"/>
        <v>8</v>
      </c>
      <c r="AS50" s="18">
        <f t="shared" ca="1" si="33"/>
        <v>10</v>
      </c>
      <c r="AT50" s="19">
        <f ca="1">MIN(10,SUMIF(Dati!DZ66:EB66, "&gt;0"))</f>
        <v>10</v>
      </c>
      <c r="AU50" s="240">
        <f t="shared" ca="1" si="34"/>
        <v>70</v>
      </c>
      <c r="AV50" s="4">
        <f t="shared" ca="1" si="35"/>
        <v>201</v>
      </c>
    </row>
    <row r="51" spans="1:48">
      <c r="A51" s="234"/>
      <c r="B51" s="245" t="s">
        <v>391</v>
      </c>
      <c r="C51" s="276">
        <f t="shared" ref="C51:AU51" ca="1" si="39">SUM(C5:C50)</f>
        <v>312</v>
      </c>
      <c r="D51" s="276">
        <f t="shared" ca="1" si="39"/>
        <v>420</v>
      </c>
      <c r="E51" s="276">
        <f t="shared" ca="1" si="39"/>
        <v>330</v>
      </c>
      <c r="F51" s="276">
        <f t="shared" ca="1" si="39"/>
        <v>216</v>
      </c>
      <c r="G51" s="276">
        <f t="shared" ca="1" si="39"/>
        <v>428</v>
      </c>
      <c r="H51" s="276">
        <f t="shared" ca="1" si="39"/>
        <v>362</v>
      </c>
      <c r="I51" s="276">
        <f t="shared" ca="1" si="39"/>
        <v>320</v>
      </c>
      <c r="J51" s="276">
        <f t="shared" ca="1" si="39"/>
        <v>228</v>
      </c>
      <c r="K51" s="276">
        <f t="shared" ca="1" si="39"/>
        <v>412</v>
      </c>
      <c r="L51" s="276">
        <f t="shared" ca="1" si="39"/>
        <v>390</v>
      </c>
      <c r="M51" s="276">
        <f t="shared" ca="1" si="39"/>
        <v>3418</v>
      </c>
      <c r="N51" s="276">
        <f t="shared" ca="1" si="39"/>
        <v>420</v>
      </c>
      <c r="O51" s="276">
        <f t="shared" ca="1" si="39"/>
        <v>410</v>
      </c>
      <c r="P51" s="276">
        <f t="shared" ca="1" si="39"/>
        <v>320</v>
      </c>
      <c r="Q51" s="276">
        <f t="shared" ca="1" si="39"/>
        <v>355</v>
      </c>
      <c r="R51" s="276">
        <f t="shared" ca="1" si="39"/>
        <v>256</v>
      </c>
      <c r="S51" s="276">
        <f t="shared" ca="1" si="39"/>
        <v>358</v>
      </c>
      <c r="T51" s="276">
        <f t="shared" ca="1" si="39"/>
        <v>424</v>
      </c>
      <c r="U51" s="276">
        <f t="shared" ca="1" si="39"/>
        <v>340</v>
      </c>
      <c r="V51" s="276">
        <f t="shared" ca="1" si="39"/>
        <v>412</v>
      </c>
      <c r="W51" s="276">
        <f t="shared" ca="1" si="39"/>
        <v>3295</v>
      </c>
      <c r="X51" s="276">
        <f t="shared" ca="1" si="39"/>
        <v>200</v>
      </c>
      <c r="Y51" s="276">
        <f t="shared" ca="1" si="39"/>
        <v>244</v>
      </c>
      <c r="Z51" s="276">
        <f t="shared" ca="1" si="39"/>
        <v>184</v>
      </c>
      <c r="AA51" s="276">
        <f t="shared" ca="1" si="39"/>
        <v>300</v>
      </c>
      <c r="AB51" s="276">
        <f t="shared" ca="1" si="39"/>
        <v>370</v>
      </c>
      <c r="AC51" s="276">
        <f t="shared" ca="1" si="39"/>
        <v>360</v>
      </c>
      <c r="AD51" s="276">
        <f t="shared" ca="1" si="39"/>
        <v>390</v>
      </c>
      <c r="AE51" s="276">
        <f t="shared" ca="1" si="39"/>
        <v>430</v>
      </c>
      <c r="AF51" s="276">
        <f t="shared" ca="1" si="39"/>
        <v>368</v>
      </c>
      <c r="AG51" s="276">
        <f t="shared" ca="1" si="39"/>
        <v>2846</v>
      </c>
      <c r="AH51" s="276">
        <f t="shared" ca="1" si="39"/>
        <v>250</v>
      </c>
      <c r="AI51" s="276">
        <f t="shared" ca="1" si="39"/>
        <v>290</v>
      </c>
      <c r="AJ51" s="276">
        <f t="shared" ca="1" si="39"/>
        <v>200</v>
      </c>
      <c r="AK51" s="276">
        <f t="shared" ca="1" si="39"/>
        <v>320</v>
      </c>
      <c r="AL51" s="276">
        <f t="shared" ca="1" si="39"/>
        <v>300</v>
      </c>
      <c r="AM51" s="276">
        <f t="shared" ca="1" si="39"/>
        <v>350</v>
      </c>
      <c r="AN51" s="276">
        <f t="shared" ca="1" si="39"/>
        <v>360</v>
      </c>
      <c r="AO51" s="276">
        <f t="shared" ca="1" si="39"/>
        <v>346</v>
      </c>
      <c r="AP51" s="276">
        <f t="shared" ca="1" si="39"/>
        <v>370</v>
      </c>
      <c r="AQ51" s="276">
        <f t="shared" ca="1" si="39"/>
        <v>128</v>
      </c>
      <c r="AR51" s="276">
        <f t="shared" ca="1" si="39"/>
        <v>264</v>
      </c>
      <c r="AS51" s="276">
        <f t="shared" ca="1" si="39"/>
        <v>310</v>
      </c>
      <c r="AT51" s="276">
        <f t="shared" ca="1" si="39"/>
        <v>180</v>
      </c>
      <c r="AU51" s="276">
        <f t="shared" ca="1" si="39"/>
        <v>3668</v>
      </c>
      <c r="AV51" s="4"/>
    </row>
    <row r="52" spans="1:48">
      <c r="A52" s="234"/>
      <c r="C52" s="422">
        <f t="shared" ref="C52:L52" ca="1" si="40">AVERAGE(C5:C50)</f>
        <v>6.7826086956521738</v>
      </c>
      <c r="D52" s="422">
        <f t="shared" ca="1" si="40"/>
        <v>9.1304347826086953</v>
      </c>
      <c r="E52" s="422">
        <f t="shared" ca="1" si="40"/>
        <v>7.1739130434782608</v>
      </c>
      <c r="F52" s="422">
        <f t="shared" ca="1" si="40"/>
        <v>4.6956521739130439</v>
      </c>
      <c r="G52" s="422">
        <f t="shared" ca="1" si="40"/>
        <v>9.304347826086957</v>
      </c>
      <c r="H52" s="422">
        <f t="shared" ca="1" si="40"/>
        <v>7.8695652173913047</v>
      </c>
      <c r="I52" s="422">
        <f t="shared" ca="1" si="40"/>
        <v>6.9565217391304346</v>
      </c>
      <c r="J52" s="422">
        <f t="shared" ca="1" si="40"/>
        <v>4.9565217391304346</v>
      </c>
      <c r="K52" s="422">
        <f t="shared" ca="1" si="40"/>
        <v>8.9565217391304355</v>
      </c>
      <c r="L52" s="422">
        <f t="shared" ca="1" si="40"/>
        <v>8.4782608695652169</v>
      </c>
      <c r="M52" s="423">
        <f ca="1">AVERAGE(C52:L52)</f>
        <v>7.4304347826086952</v>
      </c>
      <c r="N52" s="422">
        <f t="shared" ref="N52:V52" ca="1" si="41">AVERAGE(N5:N50)</f>
        <v>9.1304347826086953</v>
      </c>
      <c r="O52" s="422">
        <f t="shared" ca="1" si="41"/>
        <v>8.9130434782608692</v>
      </c>
      <c r="P52" s="422">
        <f t="shared" ca="1" si="41"/>
        <v>6.9565217391304346</v>
      </c>
      <c r="Q52" s="422">
        <f t="shared" ca="1" si="41"/>
        <v>7.7173913043478262</v>
      </c>
      <c r="R52" s="422">
        <f t="shared" ca="1" si="41"/>
        <v>5.5652173913043477</v>
      </c>
      <c r="S52" s="422">
        <f t="shared" ca="1" si="41"/>
        <v>7.7826086956521738</v>
      </c>
      <c r="T52" s="422">
        <f t="shared" ca="1" si="41"/>
        <v>9.2173913043478262</v>
      </c>
      <c r="U52" s="422">
        <f t="shared" ca="1" si="41"/>
        <v>7.3913043478260869</v>
      </c>
      <c r="V52" s="422">
        <f t="shared" ca="1" si="41"/>
        <v>8.9565217391304355</v>
      </c>
      <c r="W52" s="423">
        <f ca="1">COUNTIF(W5:W50, "&gt;30")</f>
        <v>45</v>
      </c>
      <c r="X52" s="422">
        <f t="shared" ref="X52:AF52" ca="1" si="42">AVERAGE(X5:X50)</f>
        <v>4.3478260869565215</v>
      </c>
      <c r="Y52" s="422">
        <f t="shared" ca="1" si="42"/>
        <v>5.3043478260869561</v>
      </c>
      <c r="Z52" s="422">
        <f t="shared" ca="1" si="42"/>
        <v>4</v>
      </c>
      <c r="AA52" s="422">
        <f t="shared" ca="1" si="42"/>
        <v>6.5217391304347823</v>
      </c>
      <c r="AB52" s="422">
        <f t="shared" ca="1" si="42"/>
        <v>8.0434782608695645</v>
      </c>
      <c r="AC52" s="422">
        <f t="shared" ca="1" si="42"/>
        <v>7.8260869565217392</v>
      </c>
      <c r="AD52" s="422">
        <f t="shared" ca="1" si="42"/>
        <v>8.4782608695652169</v>
      </c>
      <c r="AE52" s="422">
        <f t="shared" ca="1" si="42"/>
        <v>9.3478260869565215</v>
      </c>
      <c r="AF52" s="422">
        <f t="shared" ca="1" si="42"/>
        <v>8</v>
      </c>
      <c r="AG52" s="423">
        <f ca="1">COUNTIF(AG5:AG50, "&gt;30")</f>
        <v>44</v>
      </c>
      <c r="AH52" s="422">
        <f t="shared" ref="AH52:AT52" ca="1" si="43">AVERAGE(AH5:AH50)</f>
        <v>5.4347826086956523</v>
      </c>
      <c r="AI52" s="422">
        <f t="shared" ca="1" si="43"/>
        <v>6.3043478260869561</v>
      </c>
      <c r="AJ52" s="422">
        <f t="shared" ca="1" si="43"/>
        <v>4.3478260869565215</v>
      </c>
      <c r="AK52" s="422">
        <f t="shared" ca="1" si="43"/>
        <v>6.9565217391304346</v>
      </c>
      <c r="AL52" s="422">
        <f t="shared" ca="1" si="43"/>
        <v>6.5217391304347823</v>
      </c>
      <c r="AM52" s="422">
        <f t="shared" ca="1" si="43"/>
        <v>7.6086956521739131</v>
      </c>
      <c r="AN52" s="422">
        <f t="shared" ca="1" si="43"/>
        <v>7.8260869565217392</v>
      </c>
      <c r="AO52" s="422">
        <f t="shared" ca="1" si="43"/>
        <v>7.5217391304347823</v>
      </c>
      <c r="AP52" s="422">
        <f t="shared" ca="1" si="43"/>
        <v>8.0434782608695645</v>
      </c>
      <c r="AQ52" s="422">
        <f t="shared" ca="1" si="43"/>
        <v>2.7826086956521738</v>
      </c>
      <c r="AR52" s="422">
        <f t="shared" ca="1" si="43"/>
        <v>5.7391304347826084</v>
      </c>
      <c r="AS52" s="422">
        <f t="shared" ca="1" si="43"/>
        <v>6.7391304347826084</v>
      </c>
      <c r="AT52" s="422">
        <f t="shared" ca="1" si="43"/>
        <v>3.9130434782608696</v>
      </c>
      <c r="AU52" s="423">
        <f ca="1">COUNTIF(AU5:AU50, "&gt;30")</f>
        <v>42</v>
      </c>
    </row>
    <row r="53" spans="1:48">
      <c r="A53" s="234"/>
      <c r="B53" s="108">
        <v>56</v>
      </c>
      <c r="C53" s="62">
        <f ca="1">INDIRECT("Dati!R12C"&amp;C3-1,FALSE)</f>
        <v>1</v>
      </c>
      <c r="D53" s="260" t="str">
        <f ca="1">INDIRECT("Dati!R16C"&amp;C3-1,FALSE)</f>
        <v>Quale modello di gestione e amministrazione della sicurezza del sistema informativo viene impiegato?</v>
      </c>
      <c r="F53" s="34"/>
      <c r="M53" s="109"/>
      <c r="N53" s="62">
        <f ca="1">INDIRECT("Dati!R12C"&amp;N3-1,FALSE)</f>
        <v>18</v>
      </c>
      <c r="O53" s="260" t="str">
        <f ca="1">INDIRECT("Dati!R16C"&amp;N3-1,FALSE)</f>
        <v>Esistono barriere fisiche per limitare e perimetrare l'accesso alle risorse elaborative e alla rete interna ?</v>
      </c>
      <c r="P53" s="62"/>
      <c r="W53" s="109"/>
      <c r="X53" s="62">
        <f ca="1">INDIRECT("Dati!R12C"&amp;X3-1,FALSE)</f>
        <v>32</v>
      </c>
      <c r="Y53" s="260" t="str">
        <f ca="1">INDIRECT("Dati!R16C"&amp;X3-1,FALSE)</f>
        <v>Esiste un piano formalizzato per la continuità operativa ?</v>
      </c>
      <c r="Z53" s="62"/>
      <c r="AG53" s="109"/>
      <c r="AH53" s="62">
        <f ca="1">INDIRECT("Dati!R12C"&amp;AH3-1,FALSE)</f>
        <v>46</v>
      </c>
      <c r="AI53" s="260" t="str">
        <f ca="1">INDIRECT("Dati!R16C"&amp;AH3-1,FALSE)</f>
        <v>E' stato formalmente definito ed approvato il piano della sicurezza ICT ?</v>
      </c>
    </row>
    <row r="54" spans="1:48">
      <c r="A54" s="234"/>
      <c r="B54" s="108">
        <f ca="1">C51/B53</f>
        <v>5.5714285714285712</v>
      </c>
      <c r="C54" s="62">
        <f ca="1">INDIRECT("Dati!R12C"&amp;D3-1,FALSE)</f>
        <v>2</v>
      </c>
      <c r="D54" s="260" t="str">
        <f ca="1">INDIRECT("Dati!R16C"&amp;D3-1,FALSE)</f>
        <v xml:space="preserve">Sono state definite policy per l'uso delle risorse interne da parte degli utenti ? </v>
      </c>
      <c r="F54" s="34"/>
      <c r="M54" s="109"/>
      <c r="N54" s="62">
        <f ca="1">INDIRECT("Dati!R12C"&amp;O3-1,FALSE)</f>
        <v>19</v>
      </c>
      <c r="O54" s="260" t="str">
        <f ca="1">INDIRECT("Dati!R16C"&amp;O3-1,FALSE)</f>
        <v>Esiste un sistema di controllo dell'accesso fisico ai locali dove si trovano gli elaboratori e gli apparati di rete ?</v>
      </c>
      <c r="P54" s="62"/>
      <c r="W54" s="109"/>
      <c r="X54" s="62">
        <f ca="1">INDIRECT("Dati!R12C"&amp;Y3-1,FALSE)</f>
        <v>33</v>
      </c>
      <c r="Y54" s="260" t="str">
        <f ca="1">INDIRECT("Dati!R16C"&amp;Y3-1,FALSE)</f>
        <v>Esistono procedure operative da attivare in  caso di indisponibilità parziale dei servizi applicativi ?</v>
      </c>
      <c r="Z54" s="62"/>
      <c r="AG54" s="109"/>
      <c r="AH54" s="62">
        <f ca="1">INDIRECT("Dati!R12C"&amp;AI3-1,FALSE)</f>
        <v>47</v>
      </c>
      <c r="AI54" s="260" t="str">
        <f ca="1">INDIRECT("Dati!R16C"&amp;AI3-1,FALSE)</f>
        <v>Esiste la definizione formale di una policy di sicurezza ITC ?</v>
      </c>
    </row>
    <row r="55" spans="1:48">
      <c r="A55" s="234"/>
      <c r="B55" s="108"/>
      <c r="C55" s="62">
        <f ca="1">INDIRECT("Dati!R12C"&amp;E3-1,FALSE)</f>
        <v>3</v>
      </c>
      <c r="D55" s="260" t="str">
        <f ca="1">INDIRECT("Dati!R16C"&amp;E3-1,FALSE)</f>
        <v xml:space="preserve">Nel caso di acquisizione di prodotti o servizi, vengono considerate certificazioni di sicurezza ? </v>
      </c>
      <c r="F55" s="34"/>
      <c r="M55" s="109"/>
      <c r="N55" s="62">
        <f ca="1">INDIRECT("Dati!R12C"&amp;P3-1,FALSE)</f>
        <v>20</v>
      </c>
      <c r="O55" s="260" t="str">
        <f ca="1">INDIRECT("Dati!R16C"&amp;P3-1,FALSE)</f>
        <v>Se l'accesso ai locali critici è ristretto, esiste un sistema di videosorveglianza con registrazione delle riprese H24 ?</v>
      </c>
      <c r="P55" s="62"/>
      <c r="W55" s="109"/>
      <c r="X55" s="62">
        <f ca="1">INDIRECT("Dati!R12C"&amp;Z3-1,FALSE)</f>
        <v>34</v>
      </c>
      <c r="Y55" s="260" t="str">
        <f ca="1">INDIRECT("Dati!R16C"&amp;Z3-1,FALSE)</f>
        <v>E' stato definito in modo formale il piano di disaster recovery ?</v>
      </c>
      <c r="Z55" s="62"/>
      <c r="AG55" s="109"/>
      <c r="AH55" s="62">
        <f ca="1">INDIRECT("Dati!R12C"&amp;AJ3-1,FALSE)</f>
        <v>48</v>
      </c>
      <c r="AI55" s="260" t="str">
        <f ca="1">INDIRECT("Dati!R16C"&amp;AJ3-1,FALSE)</f>
        <v>Sono stati attribuiti i ruoli e le responsabilità secondo quanto previsto dal DM 16-2-02?</v>
      </c>
    </row>
    <row r="56" spans="1:48">
      <c r="A56" s="234"/>
      <c r="B56" s="108"/>
      <c r="C56" s="62">
        <f ca="1">INDIRECT("Dati!R12C"&amp;F3-1,FALSE)</f>
        <v>4</v>
      </c>
      <c r="D56" s="260" t="str">
        <f ca="1">INDIRECT("Dati!R16C"&amp;F3-1,FALSE)</f>
        <v xml:space="preserve">Nel caso vengano considerate certificazioni di sicurezza nell'acquisizione di prodotti o servizi, quali certificazioni sono considerate ?  </v>
      </c>
      <c r="F56" s="34"/>
      <c r="M56" s="109"/>
      <c r="N56" s="62">
        <f ca="1">INDIRECT("Dati!R12C"&amp;Q3-1,FALSE)</f>
        <v>21</v>
      </c>
      <c r="O56" s="260" t="str">
        <f ca="1">INDIRECT("Dati!R16C"&amp;Q3-1,FALSE)</f>
        <v>Quali di queste protezioni di rete vengono utilizzate?</v>
      </c>
      <c r="P56" s="62"/>
      <c r="W56" s="109"/>
      <c r="X56" s="62">
        <f ca="1">INDIRECT("Dati!R12C"&amp;AA3-1,FALSE)</f>
        <v>35</v>
      </c>
      <c r="Y56" s="260" t="str">
        <f ca="1">INDIRECT("Dati!R16C"&amp;AA3-1,FALSE)</f>
        <v>Nello sviluppo di applicazioni, vengono seguiti dei criteri per ridurre la vulnerabilità del software ?</v>
      </c>
      <c r="Z56" s="62"/>
      <c r="AG56" s="109"/>
      <c r="AH56" s="62">
        <f ca="1">INDIRECT("Dati!R12C"&amp;AK3-1,FALSE)</f>
        <v>49</v>
      </c>
      <c r="AI56" s="260" t="str">
        <f ca="1">INDIRECT("Dati!R16C"&amp;AK3-1,FALSE)</f>
        <v>Esiste ed è attivo un centro di gestione ed amministrazione della sicurezza ICT ?</v>
      </c>
    </row>
    <row r="57" spans="1:48">
      <c r="A57" s="234"/>
      <c r="B57" s="108"/>
      <c r="C57" s="62">
        <f ca="1">INDIRECT("Dati!R12C"&amp;G3-1,FALSE)</f>
        <v>8</v>
      </c>
      <c r="D57" s="260" t="str">
        <f ca="1">INDIRECT("Dati!R16C"&amp;G3-1,FALSE)</f>
        <v xml:space="preserve">Quali criteri/sistemi di autenticazione per l'accesso alla rete interna vengono utilizzati ? </v>
      </c>
      <c r="F57" s="34"/>
      <c r="M57" s="109"/>
      <c r="N57" s="62">
        <f ca="1">INDIRECT("Dati!R12C"&amp;R3-1,FALSE)</f>
        <v>24</v>
      </c>
      <c r="O57" s="260" t="str">
        <f ca="1">INDIRECT("Dati!R16C"&amp;R3-1,FALSE)</f>
        <v>Sono presenti sottoreti wireless?</v>
      </c>
      <c r="P57" s="62"/>
      <c r="W57" s="109"/>
      <c r="X57" s="62">
        <f ca="1">INDIRECT("Dati!R12C"&amp;AB3-1,FALSE)</f>
        <v>36</v>
      </c>
      <c r="Y57" s="260" t="str">
        <f ca="1">INDIRECT("Dati!R16C"&amp;AB3-1,FALSE)</f>
        <v>Se esiste un server di posta elettronica interno, esiste un filtro antivirus sul server di posta locale ?</v>
      </c>
      <c r="AG57" s="109"/>
      <c r="AH57" s="62">
        <f ca="1">INDIRECT("Dati!R12C"&amp;AL3-1,FALSE)</f>
        <v>50</v>
      </c>
      <c r="AI57" s="260" t="str">
        <f ca="1">INDIRECT("Dati!R16C"&amp;AL3-1,FALSE)</f>
        <v>Esiste ed è attivo un gruppo di gestione degli incidenti ?</v>
      </c>
    </row>
    <row r="58" spans="1:48">
      <c r="A58" s="234"/>
      <c r="B58" s="108"/>
      <c r="C58" s="62">
        <f ca="1">INDIRECT("Dati!R12C"&amp;H3-1,FALSE)</f>
        <v>12</v>
      </c>
      <c r="D58" s="260" t="str">
        <f ca="1">INDIRECT("Dati!R16C"&amp;H3-1,FALSE)</f>
        <v xml:space="preserve">Con quale frequenza viene verificata la presenza di aggionamenti dei sistemi operativi dei server ? </v>
      </c>
      <c r="M58" s="109"/>
      <c r="N58" s="62">
        <f ca="1">INDIRECT("Dati!R12C"&amp;S3-1,FALSE)</f>
        <v>26</v>
      </c>
      <c r="O58" s="260" t="str">
        <f ca="1">INDIRECT("Dati!R16C"&amp;S3-1,FALSE)</f>
        <v>Sono consentiti gli accessi alla rete interna da remoto ?</v>
      </c>
      <c r="P58" s="62"/>
      <c r="W58" s="109"/>
      <c r="X58" s="62">
        <f ca="1">INDIRECT("Dati!R12C"&amp;AC3-1,FALSE)</f>
        <v>37</v>
      </c>
      <c r="Y58" s="260" t="str">
        <f ca="1">INDIRECT("Dati!R16C"&amp;AC3-1,FALSE)</f>
        <v>Se esiste un server di posta elettronica interno, esiste un filtro anti-spam sul server locale ?</v>
      </c>
      <c r="AG58" s="109"/>
      <c r="AH58" s="62">
        <f ca="1">INDIRECT("Dati!R12C"&amp;AM3-1,FALSE)</f>
        <v>51</v>
      </c>
      <c r="AI58" s="260" t="str">
        <f ca="1">INDIRECT("Dati!R16C"&amp;AM3-1,FALSE)</f>
        <v>Esiste la figura di 'Responsabile protezione dati personali' ?</v>
      </c>
    </row>
    <row r="59" spans="1:48">
      <c r="A59" s="234"/>
      <c r="B59" s="108"/>
      <c r="C59" s="62">
        <f ca="1">INDIRECT("Dati!R12C"&amp;I3-1,FALSE)</f>
        <v>13</v>
      </c>
      <c r="D59" s="260" t="str">
        <f ca="1">INDIRECT("Dati!R16C"&amp;I3-1,FALSE)</f>
        <v xml:space="preserve">Esiste un sistema centralizzato di software distribution per l'aggiornamento automatico delle postazioni di lavoro ? </v>
      </c>
      <c r="M59" s="109"/>
      <c r="N59" s="62">
        <f ca="1">INDIRECT("Dati!R12C"&amp;T3-1,FALSE)</f>
        <v>28</v>
      </c>
      <c r="O59" s="260" t="str">
        <f ca="1">INDIRECT("Dati!R16C"&amp;T3-1,FALSE)</f>
        <v>Viene utilizzato un firewall per la protezione delle connessioni alla rete pubblica?</v>
      </c>
      <c r="P59" s="62"/>
      <c r="W59" s="109"/>
      <c r="X59" s="62">
        <f ca="1">INDIRECT("Dati!R12C"&amp;AD3-1,FALSE)</f>
        <v>38</v>
      </c>
      <c r="Y59" s="260" t="str">
        <f ca="1">INDIRECT("Dati!R16C"&amp;AD3-1,FALSE)</f>
        <v>Viene utilizzato il protocollo HTTPS per proteggere i contenuti sensibili ?</v>
      </c>
      <c r="AG59" s="109"/>
      <c r="AH59" s="62">
        <f ca="1">INDIRECT("Dati!R12C"&amp;AN3-1,FALSE)</f>
        <v>52</v>
      </c>
      <c r="AI59" s="260" t="str">
        <f ca="1">INDIRECT("Dati!R16C"&amp;AN3-1,FALSE)</f>
        <v xml:space="preserve">Esistono una o più procedure di gestione dei log ? </v>
      </c>
    </row>
    <row r="60" spans="1:48">
      <c r="A60" s="234"/>
      <c r="B60" s="108"/>
      <c r="C60" s="62">
        <f ca="1">INDIRECT("Dati!R12C"&amp;J3-1,FALSE)</f>
        <v>14</v>
      </c>
      <c r="D60" s="260" t="str">
        <f ca="1">INDIRECT("Dati!R16C"&amp;J3-1,FALSE)</f>
        <v>Se esistono postazioni mobili o supporti dati che vengono trasportati oltre i confini del luogo di lavoro dell'amministrazione, vengono adottati sistemi software per impedire l'accesso ai dati da parte di persone non autorizzate?</v>
      </c>
      <c r="M60" s="109"/>
      <c r="N60" s="62">
        <f ca="1">INDIRECT("Dati!R12C"&amp;U3-1,FALSE)</f>
        <v>30</v>
      </c>
      <c r="O60" s="260" t="str">
        <f ca="1">INDIRECT("Dati!R16C"&amp;U3-1,FALSE)</f>
        <v>Viene utilizzato un IDS/IPS per la protezione delle connessioni alla rete pubblica?</v>
      </c>
      <c r="W60" s="109"/>
      <c r="X60" s="62">
        <f ca="1">INDIRECT("Dati!R12C"&amp;AE3-1,FALSE)</f>
        <v>39</v>
      </c>
      <c r="Y60" s="260" t="str">
        <f ca="1">INDIRECT("Dati!R16C"&amp;AE3-1,FALSE)</f>
        <v>Esiste un sistema di protezione antivirus centralizzato  ?</v>
      </c>
      <c r="AG60" s="109"/>
      <c r="AH60" s="62">
        <f ca="1">INDIRECT("Dati!R12C"&amp;AO3-1,FALSE)</f>
        <v>53</v>
      </c>
      <c r="AI60" s="260" t="str">
        <f ca="1">INDIRECT("Dati!R16C"&amp;AO3-1,FALSE)</f>
        <v>Esiste un responsabile per la gestione ed attuazione delle policy di backup / restore ?</v>
      </c>
    </row>
    <row r="61" spans="1:48">
      <c r="A61" s="234"/>
      <c r="B61" s="108"/>
      <c r="C61" s="62">
        <f ca="1">INDIRECT("Dati!R12C"&amp;K3-1,FALSE)</f>
        <v>15</v>
      </c>
      <c r="D61" s="260" t="str">
        <f ca="1">INDIRECT("Dati!R16C"&amp;K3-1,FALSE)</f>
        <v xml:space="preserve">Sono state definite ed adottate tecnologie e procedure per il backup centralizzato ? </v>
      </c>
      <c r="M61" s="109"/>
      <c r="N61" s="62">
        <f ca="1">INDIRECT("Dati!R12C"&amp;V3-1,FALSE)</f>
        <v>31</v>
      </c>
      <c r="O61" s="260" t="str">
        <f ca="1">INDIRECT("Dati!R16C"&amp;V3-1,FALSE)</f>
        <v>Esiste un sistema centralizzato per la raccolta ed il salvataggio delle informazioni critiche (system log, accounting, autorizzazione, autenticazione, tracciamento,IDS) quali accesso ai sistemi, alla rete, alle procedure, ai dati, ecc?</v>
      </c>
      <c r="W61" s="109"/>
      <c r="X61" s="62">
        <f ca="1">INDIRECT("Dati!R12C"&amp;AF3-1,FALSE)</f>
        <v>40</v>
      </c>
      <c r="Y61" s="260" t="str">
        <f ca="1">INDIRECT("Dati!R16C"&amp;AF3-1,FALSE)</f>
        <v>Sono state rilevate intrusioni riuscite negli ultimi 24 mesi ?</v>
      </c>
      <c r="AG61" s="109"/>
      <c r="AH61" s="62">
        <f ca="1">INDIRECT("Dati!R12C"&amp;AP3-1,FALSE)</f>
        <v>55</v>
      </c>
      <c r="AI61" s="260" t="str">
        <f ca="1">INDIRECT("Dati!R16C"&amp;AP3-1,FALSE)</f>
        <v>Che tipo di personale viene impiegato per la gestione e l'amministrazione della sicurezza del sistema informativo ?</v>
      </c>
    </row>
    <row r="62" spans="1:48">
      <c r="A62" s="234"/>
      <c r="B62" s="108"/>
      <c r="C62" s="62">
        <f ca="1">INDIRECT("Dati!R12C"&amp;L3-1,FALSE)</f>
        <v>17</v>
      </c>
      <c r="D62" s="260" t="str">
        <f ca="1">INDIRECT("Dati!R16C"&amp;L3-1,FALSE)</f>
        <v>Viene utilizzato un sistema di controllo accessi per disciplinare l'accesso alle risorse elaborative ?</v>
      </c>
      <c r="M62" s="109"/>
      <c r="N62" s="62"/>
      <c r="O62" s="260"/>
      <c r="W62" s="109"/>
      <c r="X62" s="62"/>
      <c r="Y62" s="260"/>
      <c r="AG62" s="109"/>
      <c r="AH62" s="62">
        <f ca="1">INDIRECT("Dati!R12C"&amp;AQ3-1,FALSE)</f>
        <v>58</v>
      </c>
      <c r="AI62" s="260" t="str">
        <f ca="1">INDIRECT("Dati!R16C"&amp;AQ3-1,FALSE)</f>
        <v>Esiste una previsione di spesa dedicata specificatamente alla sicurezza ?</v>
      </c>
    </row>
    <row r="63" spans="1:48">
      <c r="A63" s="234"/>
      <c r="B63" s="108"/>
      <c r="C63" s="62"/>
      <c r="D63" s="51"/>
      <c r="M63" s="109"/>
      <c r="W63" s="109"/>
      <c r="X63" s="62"/>
      <c r="Y63" s="260"/>
      <c r="AG63" s="109"/>
      <c r="AH63" s="62">
        <f ca="1">INDIRECT("Dati!R12C"&amp;AR3-1,FALSE)</f>
        <v>60</v>
      </c>
      <c r="AI63" s="260" t="str">
        <f ca="1">INDIRECT("Dati!R16C"&amp;AR3-1,FALSE)</f>
        <v>E' stata effettuata un'analisi dei rischi connessi alla sicurezza ICT ?</v>
      </c>
    </row>
    <row r="64" spans="1:48">
      <c r="A64" s="234"/>
      <c r="B64" s="108"/>
      <c r="C64" s="62"/>
      <c r="D64" s="51"/>
      <c r="M64" s="109"/>
      <c r="W64" s="109"/>
      <c r="X64" s="62"/>
      <c r="Y64" s="260"/>
      <c r="AG64" s="109"/>
      <c r="AH64" s="62">
        <f ca="1">INDIRECT("Dati!R12C"&amp;AS3-1,FALSE)</f>
        <v>61</v>
      </c>
      <c r="AI64" s="260" t="str">
        <f ca="1">INDIRECT("Dati!R16C"&amp;AS3-1,FALSE)</f>
        <v>Sono state prese iniziative per la sensibilizzazione alla sicurezza informatica rivolte a tutto il personale dell'amministrazione ?</v>
      </c>
    </row>
    <row r="65" spans="1:35">
      <c r="A65" s="234"/>
      <c r="C65" s="63"/>
      <c r="D65" s="49"/>
      <c r="E65" s="64"/>
      <c r="W65" s="109"/>
      <c r="X65" s="62"/>
      <c r="Y65" s="260"/>
      <c r="AG65" s="109"/>
      <c r="AH65" s="62">
        <f ca="1">INDIRECT("Dati!R12C"&amp;AT3-1,FALSE)</f>
        <v>62</v>
      </c>
      <c r="AI65" s="260" t="str">
        <f ca="1">INDIRECT("Dati!R16C"&amp;AT3-1,FALSE)</f>
        <v>E' stato già redatto ed approvato un piano di formazione e sensibilizazzione per la sicurezza ICT ?</v>
      </c>
    </row>
    <row r="66" spans="1:35">
      <c r="A66" s="234"/>
      <c r="C66" s="49"/>
      <c r="D66" s="49"/>
      <c r="E66" s="49"/>
      <c r="W66" s="109"/>
      <c r="X66" s="62"/>
      <c r="Y66" s="260"/>
      <c r="AG66" s="109"/>
      <c r="AH66" s="62"/>
      <c r="AI66" s="260"/>
    </row>
    <row r="67" spans="1:35">
      <c r="A67" s="234"/>
      <c r="C67" s="49"/>
      <c r="D67" s="49"/>
      <c r="E67" s="49"/>
      <c r="X67" s="62"/>
      <c r="Y67" s="89"/>
      <c r="AG67" s="109"/>
      <c r="AH67" s="62"/>
      <c r="AI67" s="260"/>
    </row>
    <row r="68" spans="1:35">
      <c r="A68" s="234"/>
      <c r="C68" s="49"/>
      <c r="D68" s="49"/>
      <c r="E68" s="49"/>
      <c r="X68" s="62"/>
      <c r="Y68" s="89"/>
      <c r="AG68" s="109"/>
      <c r="AH68" s="62"/>
      <c r="AI68" s="260"/>
    </row>
    <row r="69" spans="1:35">
      <c r="A69" s="234"/>
      <c r="C69" s="49"/>
      <c r="D69" s="49"/>
      <c r="E69" s="49"/>
      <c r="X69" s="62"/>
      <c r="Y69" s="89"/>
      <c r="AG69" s="109"/>
      <c r="AH69" s="62"/>
      <c r="AI69" s="260"/>
    </row>
    <row r="70" spans="1:35">
      <c r="A70" s="234"/>
      <c r="C70" s="49"/>
      <c r="D70" s="49"/>
      <c r="E70" s="49"/>
      <c r="X70" s="62"/>
      <c r="Y70" s="89"/>
      <c r="AG70" s="109"/>
      <c r="AH70" s="62"/>
      <c r="AI70" s="260"/>
    </row>
    <row r="71" spans="1:35">
      <c r="A71" s="234"/>
      <c r="C71" s="49"/>
      <c r="D71" s="49"/>
      <c r="E71" s="49"/>
      <c r="AH71" s="62"/>
      <c r="AI71" s="260"/>
    </row>
    <row r="72" spans="1:35">
      <c r="A72" s="234"/>
      <c r="C72" s="49"/>
      <c r="D72" s="49"/>
      <c r="E72" s="49"/>
    </row>
    <row r="73" spans="1:35">
      <c r="A73" s="234"/>
      <c r="C73" s="63"/>
      <c r="D73" s="49"/>
      <c r="E73" s="64"/>
    </row>
    <row r="74" spans="1:35">
      <c r="A74" s="234"/>
      <c r="C74" s="49"/>
      <c r="D74" s="49"/>
      <c r="E74" s="49"/>
    </row>
    <row r="75" spans="1:35">
      <c r="A75" s="234"/>
      <c r="C75" s="49"/>
      <c r="D75" s="49"/>
      <c r="E75" s="49"/>
    </row>
    <row r="76" spans="1:35">
      <c r="A76" s="234"/>
      <c r="C76" s="49"/>
      <c r="D76" s="49"/>
      <c r="E76" s="49"/>
    </row>
    <row r="77" spans="1:35">
      <c r="A77" s="234"/>
      <c r="C77" s="49"/>
      <c r="D77" s="49"/>
      <c r="E77" s="49"/>
    </row>
    <row r="78" spans="1:35">
      <c r="A78" s="234"/>
      <c r="C78" s="63"/>
      <c r="D78" s="49"/>
      <c r="E78" s="64"/>
    </row>
    <row r="79" spans="1:35">
      <c r="A79" s="234"/>
      <c r="C79" s="49"/>
      <c r="D79" s="49"/>
      <c r="E79" s="49"/>
    </row>
    <row r="80" spans="1:35">
      <c r="C80" s="49"/>
      <c r="D80" s="49"/>
      <c r="E80" s="49"/>
    </row>
    <row r="81" spans="3:5">
      <c r="C81" s="49"/>
      <c r="D81" s="49"/>
      <c r="E81" s="49"/>
    </row>
  </sheetData>
  <mergeCells count="4">
    <mergeCell ref="AH2:AT2"/>
    <mergeCell ref="X2:AF2"/>
    <mergeCell ref="N2:V2"/>
    <mergeCell ref="C2:L2"/>
  </mergeCells>
  <phoneticPr fontId="3" type="noConversion"/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 enableFormatConditionsCalculation="0">
    <pageSetUpPr fitToPage="1"/>
  </sheetPr>
  <dimension ref="A1:AK314"/>
  <sheetViews>
    <sheetView tabSelected="1" topLeftCell="A218" zoomScale="125" workbookViewId="0">
      <selection activeCell="J239" sqref="J239"/>
    </sheetView>
  </sheetViews>
  <sheetFormatPr baseColWidth="10" defaultColWidth="8.83203125" defaultRowHeight="12" x14ac:dyDescent="0"/>
  <cols>
    <col min="1" max="1" width="4.83203125" style="34" customWidth="1"/>
    <col min="2" max="2" width="5.5" style="34" customWidth="1"/>
    <col min="3" max="3" width="5.1640625" style="94" customWidth="1"/>
    <col min="4" max="4" width="4.83203125" style="95" customWidth="1"/>
    <col min="5" max="5" width="10.5" style="95" customWidth="1"/>
    <col min="6" max="6" width="5.6640625" style="426" customWidth="1"/>
    <col min="7" max="7" width="5.6640625" style="450" customWidth="1"/>
    <col min="8" max="9" width="5.6640625" style="426" customWidth="1"/>
    <col min="10" max="10" width="46.5" style="98" customWidth="1"/>
    <col min="11" max="11" width="6.1640625" style="43" customWidth="1"/>
    <col min="12" max="12" width="6.1640625" style="37" customWidth="1"/>
    <col min="13" max="13" width="6.1640625" style="493" customWidth="1"/>
    <col min="14" max="14" width="6.1640625" style="37" customWidth="1"/>
    <col min="15" max="15" width="6.1640625" style="493" customWidth="1"/>
    <col min="16" max="16" width="6.1640625" style="37" customWidth="1"/>
    <col min="17" max="17" width="6.1640625" style="43" customWidth="1"/>
    <col min="18" max="19" width="6.1640625" style="446" customWidth="1"/>
    <col min="20" max="20" width="6.1640625" style="55" customWidth="1"/>
    <col min="21" max="21" width="45.33203125" style="39" customWidth="1"/>
    <col min="22" max="22" width="14.6640625" style="39" customWidth="1"/>
    <col min="23" max="31" width="14.6640625" style="29" customWidth="1"/>
  </cols>
  <sheetData>
    <row r="1" spans="1:37" ht="28" customHeight="1">
      <c r="A1" s="437"/>
      <c r="B1" s="437"/>
      <c r="C1" s="451"/>
      <c r="D1" s="452" t="s">
        <v>276</v>
      </c>
      <c r="E1" s="486" t="s">
        <v>276</v>
      </c>
      <c r="F1" s="487" t="s">
        <v>564</v>
      </c>
      <c r="G1" s="487" t="s">
        <v>465</v>
      </c>
      <c r="H1" s="487" t="s">
        <v>565</v>
      </c>
      <c r="I1" s="487" t="s">
        <v>4</v>
      </c>
      <c r="J1" s="487" t="s">
        <v>439</v>
      </c>
      <c r="K1" s="487" t="s">
        <v>440</v>
      </c>
      <c r="L1" s="488" t="s">
        <v>566</v>
      </c>
      <c r="M1" s="491" t="s">
        <v>567</v>
      </c>
      <c r="N1" s="712">
        <v>20.09</v>
      </c>
      <c r="O1" s="491" t="s">
        <v>469</v>
      </c>
      <c r="P1" s="489" t="s">
        <v>464</v>
      </c>
      <c r="Q1" s="490" t="s">
        <v>568</v>
      </c>
      <c r="R1" s="490" t="s">
        <v>466</v>
      </c>
      <c r="S1" s="487" t="s">
        <v>467</v>
      </c>
      <c r="T1" s="487" t="s">
        <v>468</v>
      </c>
      <c r="U1" s="486" t="s">
        <v>71</v>
      </c>
      <c r="V1" s="421"/>
      <c r="AF1" s="29"/>
      <c r="AG1" s="29"/>
      <c r="AH1" s="29"/>
      <c r="AI1" s="29"/>
      <c r="AJ1" s="29"/>
      <c r="AK1" s="29"/>
    </row>
    <row r="2" spans="1:37" ht="34" customHeight="1">
      <c r="A2" s="453"/>
      <c r="B2" s="453"/>
      <c r="C2" s="454"/>
      <c r="D2" s="485"/>
      <c r="E2" s="455"/>
      <c r="F2" s="456"/>
      <c r="G2" s="457"/>
      <c r="H2" s="456"/>
      <c r="I2" s="456"/>
      <c r="J2" s="458" t="str">
        <f>Dati!$F$14</f>
        <v>KPI 1  -  Sicurezza Logica</v>
      </c>
      <c r="K2" s="459"/>
      <c r="L2" s="460"/>
      <c r="M2" s="492"/>
      <c r="N2" s="460"/>
      <c r="O2" s="492"/>
      <c r="P2" s="460"/>
      <c r="Q2" s="459"/>
      <c r="R2" s="461"/>
      <c r="S2" s="461"/>
      <c r="T2" s="462"/>
      <c r="U2" s="465"/>
      <c r="AF2" s="29"/>
      <c r="AG2" s="29"/>
      <c r="AH2" s="29"/>
      <c r="AI2" s="29"/>
      <c r="AJ2" s="29"/>
      <c r="AK2" s="29"/>
    </row>
    <row r="3" spans="1:37">
      <c r="A3" s="453">
        <v>3</v>
      </c>
      <c r="B3" s="454">
        <v>4</v>
      </c>
      <c r="C3" s="454">
        <v>4</v>
      </c>
      <c r="D3" s="455">
        <f ca="1">INDIRECT(ADDRESS( C3, 2,1, TRUE,"KPI1"))</f>
        <v>1</v>
      </c>
      <c r="E3" s="455" t="str">
        <f ca="1">INDIRECT(ADDRESS( C3, 3,1, TRUE,"KPI1"))</f>
        <v>KPI 1.1</v>
      </c>
      <c r="F3" s="464">
        <f ca="1">'Quesiti x SI'!C52</f>
        <v>6.7826086956521738</v>
      </c>
      <c r="G3" s="422">
        <f>'Risultati 2009'!$C$52</f>
        <v>6.6086956521739131</v>
      </c>
      <c r="H3" s="422">
        <f>'Risultati 2008'!$C$62</f>
        <v>6.2857142857142856</v>
      </c>
      <c r="I3" s="422">
        <f>'Risultati 2007'!$C$67</f>
        <v>6.3278688524590168</v>
      </c>
      <c r="J3" s="316" t="str">
        <f ca="1">INDIRECT(ADDRESS( A3, B$3,1, TRUE,"Dati"))</f>
        <v>Completamente decentralizzato</v>
      </c>
      <c r="K3" s="319">
        <f ca="1">INDIRECT(ADDRESS( A3, B$3+1,1, TRUE,"Dati"))</f>
        <v>10</v>
      </c>
      <c r="L3" s="313">
        <f ca="1">Q3/Q$8</f>
        <v>4.3478260869565216E-2</v>
      </c>
      <c r="M3" s="313">
        <f ca="1">L3-N3</f>
        <v>-2.1739130434782608E-2</v>
      </c>
      <c r="N3" s="313">
        <v>6.5217391304347824E-2</v>
      </c>
      <c r="O3" s="313">
        <f>N3-P3</f>
        <v>2.9503105590062112E-2</v>
      </c>
      <c r="P3" s="313">
        <v>3.5714285714285712E-2</v>
      </c>
      <c r="Q3" s="316">
        <f ca="1">INDIRECT(ADDRESS( $C$3+1, A3+8,1, TRUE,"KPI1"))</f>
        <v>2</v>
      </c>
      <c r="R3" s="316">
        <v>3</v>
      </c>
      <c r="S3" s="316">
        <v>2</v>
      </c>
      <c r="T3" s="316">
        <v>1</v>
      </c>
      <c r="U3" s="631" t="str">
        <f ca="1">INDIRECT(ADDRESS( C3, 4,1, TRUE,"KPI1"))</f>
        <v>Quale modello di gestione e amministrazione della sicurezza del sistema informativo viene impiegato?</v>
      </c>
      <c r="AF3" s="29"/>
      <c r="AG3" s="29"/>
      <c r="AH3" s="29"/>
      <c r="AI3" s="29"/>
      <c r="AJ3" s="29"/>
      <c r="AK3" s="29"/>
    </row>
    <row r="4" spans="1:37">
      <c r="A4" s="453">
        <v>5</v>
      </c>
      <c r="B4" s="453"/>
      <c r="C4" s="454"/>
      <c r="D4" s="455"/>
      <c r="E4" s="455"/>
      <c r="F4" s="714">
        <f ca="1">(F3-G3)/G3</f>
        <v>2.6315789473684192E-2</v>
      </c>
      <c r="G4" s="714">
        <f>(G3-H3)/H3</f>
        <v>5.1383399209486195E-2</v>
      </c>
      <c r="H4" s="714">
        <f>(H3-I3)/I3</f>
        <v>-6.6617320503331639E-3</v>
      </c>
      <c r="I4" s="456"/>
      <c r="J4" s="316" t="str">
        <f ca="1">INDIRECT(ADDRESS( A4, B$3,1, TRUE,"Dati"))</f>
        <v>Parzialmente centralizzato</v>
      </c>
      <c r="K4" s="319">
        <f ca="1">INDIRECT(ADDRESS( A4, B$3+1,1, TRUE,"Dati"))</f>
        <v>8</v>
      </c>
      <c r="L4" s="313">
        <f ca="1">Q4/Q$8</f>
        <v>0.36956521739130432</v>
      </c>
      <c r="M4" s="313">
        <f ca="1">L4-N4</f>
        <v>0</v>
      </c>
      <c r="N4" s="313">
        <v>0.36956521739130432</v>
      </c>
      <c r="O4" s="313">
        <f>N4-P4</f>
        <v>-2.3291925465838526E-2</v>
      </c>
      <c r="P4" s="313">
        <v>0.39285714285714285</v>
      </c>
      <c r="Q4" s="316">
        <f ca="1">INDIRECT(ADDRESS( $C$3+1, A4+8,1, TRUE,"KPI1"))</f>
        <v>17</v>
      </c>
      <c r="R4" s="316">
        <v>17</v>
      </c>
      <c r="S4" s="316">
        <v>22</v>
      </c>
      <c r="T4" s="316">
        <v>33</v>
      </c>
      <c r="U4" s="632"/>
      <c r="AF4" s="29"/>
      <c r="AG4" s="29"/>
      <c r="AH4" s="29"/>
      <c r="AI4" s="29"/>
      <c r="AJ4" s="29"/>
      <c r="AK4" s="29"/>
    </row>
    <row r="5" spans="1:37">
      <c r="A5" s="453">
        <v>2</v>
      </c>
      <c r="B5" s="453"/>
      <c r="C5" s="454"/>
      <c r="D5" s="455"/>
      <c r="E5" s="455"/>
      <c r="F5" s="456"/>
      <c r="G5" s="457"/>
      <c r="H5" s="456"/>
      <c r="I5" s="456"/>
      <c r="J5" s="316" t="str">
        <f ca="1">INDIRECT(ADDRESS( A5, B$3,1, TRUE,"Dati"))</f>
        <v>Completamente centralizzato</v>
      </c>
      <c r="K5" s="319">
        <f ca="1">INDIRECT(ADDRESS( A5, B$3+1,1, TRUE,"Dati"))</f>
        <v>6</v>
      </c>
      <c r="L5" s="313">
        <f ca="1">Q5/Q$8</f>
        <v>0.56521739130434778</v>
      </c>
      <c r="M5" s="313">
        <f ca="1">L5-N5</f>
        <v>6.5217391304347783E-2</v>
      </c>
      <c r="N5" s="313">
        <v>0.5</v>
      </c>
      <c r="O5" s="313">
        <f>N5-P5</f>
        <v>3.5714285714285698E-2</v>
      </c>
      <c r="P5" s="313">
        <v>0.4642857142857143</v>
      </c>
      <c r="Q5" s="316">
        <f ca="1">INDIRECT(ADDRESS( $C$3+1, A5+8,1, TRUE,"KPI1"))</f>
        <v>26</v>
      </c>
      <c r="R5" s="316">
        <v>23</v>
      </c>
      <c r="S5" s="316">
        <v>26</v>
      </c>
      <c r="T5" s="316">
        <v>20</v>
      </c>
      <c r="U5" s="632"/>
      <c r="AF5" s="29"/>
      <c r="AG5" s="29"/>
      <c r="AH5" s="29"/>
      <c r="AI5" s="29"/>
      <c r="AJ5" s="29"/>
      <c r="AK5" s="29"/>
    </row>
    <row r="6" spans="1:37">
      <c r="A6" s="453">
        <v>4</v>
      </c>
      <c r="B6" s="453"/>
      <c r="C6" s="454"/>
      <c r="D6" s="455"/>
      <c r="E6" s="455"/>
      <c r="F6" s="456"/>
      <c r="G6" s="457"/>
      <c r="H6" s="456"/>
      <c r="I6" s="456"/>
      <c r="J6" s="316" t="str">
        <f ca="1">INDIRECT(ADDRESS( A6, B$3,1, TRUE,"Dati"))</f>
        <v>Nessuno</v>
      </c>
      <c r="K6" s="319">
        <f ca="1">INDIRECT(ADDRESS( A6, B$3+1,1, TRUE,"Dati"))</f>
        <v>0</v>
      </c>
      <c r="L6" s="313">
        <f ca="1">Q6/Q$8</f>
        <v>0</v>
      </c>
      <c r="M6" s="313">
        <f ca="1">L6-N6</f>
        <v>0</v>
      </c>
      <c r="N6" s="313">
        <v>0</v>
      </c>
      <c r="O6" s="313">
        <f>N6-P6</f>
        <v>-3.5714285714285712E-2</v>
      </c>
      <c r="P6" s="313">
        <v>3.5714285714285712E-2</v>
      </c>
      <c r="Q6" s="316">
        <f ca="1">INDIRECT(ADDRESS( $C$3+1, A6+8,1, TRUE,"KPI1"))</f>
        <v>0</v>
      </c>
      <c r="R6" s="316">
        <v>0</v>
      </c>
      <c r="S6" s="316">
        <v>2</v>
      </c>
      <c r="T6" s="316">
        <v>2</v>
      </c>
      <c r="U6" s="632"/>
      <c r="AF6" s="29"/>
      <c r="AG6" s="29"/>
      <c r="AH6" s="29"/>
      <c r="AI6" s="29"/>
      <c r="AJ6" s="29"/>
      <c r="AK6" s="29"/>
    </row>
    <row r="7" spans="1:37">
      <c r="A7" s="453">
        <v>1</v>
      </c>
      <c r="B7" s="453"/>
      <c r="C7" s="454"/>
      <c r="D7" s="455"/>
      <c r="E7" s="455"/>
      <c r="F7" s="456"/>
      <c r="G7" s="457"/>
      <c r="H7" s="456"/>
      <c r="I7" s="456"/>
      <c r="J7" s="316" t="str">
        <f ca="1">INDIRECT(ADDRESS( A7, B$3,1, TRUE,"Dati"))</f>
        <v>--</v>
      </c>
      <c r="K7" s="319">
        <f ca="1">INDIRECT(ADDRESS( A7, B$3+1,1, TRUE,"Dati"))</f>
        <v>0</v>
      </c>
      <c r="L7" s="313">
        <f ca="1">Q7/Q$8</f>
        <v>2.1739130434782608E-2</v>
      </c>
      <c r="M7" s="313">
        <f ca="1">L7-N7</f>
        <v>-4.3478260869565216E-2</v>
      </c>
      <c r="N7" s="313">
        <v>6.5217391304347824E-2</v>
      </c>
      <c r="O7" s="313">
        <f>N7-P7</f>
        <v>-6.2111801242236003E-3</v>
      </c>
      <c r="P7" s="313">
        <v>7.1428571428571425E-2</v>
      </c>
      <c r="Q7" s="316">
        <f ca="1">INDIRECT(ADDRESS( $C$3+1, A7+8,1, TRUE,"KPI1"))</f>
        <v>1</v>
      </c>
      <c r="R7" s="316">
        <v>3</v>
      </c>
      <c r="S7" s="316">
        <v>4</v>
      </c>
      <c r="T7" s="316">
        <v>5</v>
      </c>
      <c r="U7" s="632"/>
      <c r="AF7" s="29"/>
      <c r="AG7" s="29"/>
      <c r="AH7" s="29"/>
      <c r="AI7" s="29"/>
      <c r="AJ7" s="29"/>
      <c r="AK7" s="29"/>
    </row>
    <row r="8" spans="1:37">
      <c r="A8" s="453"/>
      <c r="B8" s="453"/>
      <c r="C8" s="454"/>
      <c r="D8" s="455"/>
      <c r="E8" s="455"/>
      <c r="F8" s="456"/>
      <c r="G8" s="457"/>
      <c r="H8" s="456"/>
      <c r="I8" s="456"/>
      <c r="J8" s="314" t="s">
        <v>391</v>
      </c>
      <c r="K8" s="315"/>
      <c r="L8" s="313">
        <f ca="1">SUM(L3:L7)</f>
        <v>0.99999999999999989</v>
      </c>
      <c r="M8" s="313"/>
      <c r="N8" s="313">
        <v>0.99999999999999989</v>
      </c>
      <c r="O8" s="313"/>
      <c r="P8" s="313">
        <v>0.99999999999999989</v>
      </c>
      <c r="Q8" s="315">
        <f ca="1">SUM(Q3:Q7)</f>
        <v>46</v>
      </c>
      <c r="R8" s="447">
        <v>46</v>
      </c>
      <c r="S8" s="447">
        <v>56</v>
      </c>
      <c r="T8" s="447">
        <v>61</v>
      </c>
      <c r="U8" s="463"/>
      <c r="AF8" s="29"/>
      <c r="AG8" s="29"/>
      <c r="AH8" s="29"/>
      <c r="AI8" s="29"/>
      <c r="AJ8" s="29"/>
      <c r="AK8" s="29"/>
    </row>
    <row r="9" spans="1:37">
      <c r="A9" s="453"/>
      <c r="B9" s="453"/>
      <c r="C9" s="454"/>
      <c r="D9" s="455"/>
      <c r="E9" s="455"/>
      <c r="F9" s="456"/>
      <c r="G9" s="457"/>
      <c r="H9" s="456"/>
      <c r="I9" s="456"/>
      <c r="J9" s="314"/>
      <c r="K9" s="315"/>
      <c r="L9" s="313"/>
      <c r="M9" s="313"/>
      <c r="N9" s="313"/>
      <c r="O9" s="313"/>
      <c r="P9" s="313"/>
      <c r="Q9" s="315"/>
      <c r="R9" s="447"/>
      <c r="S9" s="447"/>
      <c r="T9" s="316"/>
      <c r="U9" s="463"/>
      <c r="AF9" s="29"/>
      <c r="AG9" s="29"/>
      <c r="AH9" s="29"/>
      <c r="AI9" s="29"/>
      <c r="AJ9" s="29"/>
      <c r="AK9" s="29"/>
    </row>
    <row r="10" spans="1:37">
      <c r="A10" s="453">
        <v>3</v>
      </c>
      <c r="B10" s="453">
        <f>B3+2</f>
        <v>6</v>
      </c>
      <c r="C10" s="453">
        <f>C3+2</f>
        <v>6</v>
      </c>
      <c r="D10" s="455">
        <f ca="1">INDIRECT(ADDRESS( C10, 2,1, TRUE,"KPI1"))</f>
        <v>2</v>
      </c>
      <c r="E10" s="455" t="str">
        <f ca="1">INDIRECT(ADDRESS( C10, 3,1, TRUE,"KPI1"))</f>
        <v>KPI 1.2</v>
      </c>
      <c r="F10" s="464">
        <f ca="1">'Quesiti x SI'!D52</f>
        <v>9.1304347826086953</v>
      </c>
      <c r="G10" s="422">
        <f>'Risultati 2009'!$D$52</f>
        <v>8.695652173913043</v>
      </c>
      <c r="H10" s="422">
        <f>'Risultati 2008'!$D$62</f>
        <v>8.0357142857142865</v>
      </c>
      <c r="I10" s="422">
        <f>'Risultati 2007'!$D$67</f>
        <v>8.1967213114754092</v>
      </c>
      <c r="J10" s="316" t="str">
        <f ca="1">INDIRECT(ADDRESS( A10, B$10,1, TRUE,"Dati"))</f>
        <v>SI</v>
      </c>
      <c r="K10" s="319">
        <f ca="1">INDIRECT(ADDRESS( A10, B$10+1,1, TRUE,"Dati"))</f>
        <v>10</v>
      </c>
      <c r="L10" s="313">
        <f ca="1">Q10/Q$13</f>
        <v>0.91304347826086951</v>
      </c>
      <c r="M10" s="313">
        <f ca="1">L10-N10</f>
        <v>4.3478260869565188E-2</v>
      </c>
      <c r="N10" s="313">
        <v>0.86956521739130432</v>
      </c>
      <c r="O10" s="313">
        <f>N10-P10</f>
        <v>6.5993788819875721E-2</v>
      </c>
      <c r="P10" s="313">
        <v>0.8035714285714286</v>
      </c>
      <c r="Q10" s="316">
        <f ca="1">INDIRECT(ADDRESS( $C$10+1, A10+8,1, TRUE,"KPI1"))</f>
        <v>42</v>
      </c>
      <c r="R10" s="316">
        <v>40</v>
      </c>
      <c r="S10" s="316">
        <v>45</v>
      </c>
      <c r="T10" s="316">
        <v>50</v>
      </c>
      <c r="U10" s="631" t="str">
        <f ca="1">INDIRECT(ADDRESS( C10, 4,1, TRUE,"KPI1"))</f>
        <v xml:space="preserve">Sono state definite policy per l'uso delle risorse interne da parte degli utenti ? </v>
      </c>
      <c r="AF10" s="29"/>
      <c r="AG10" s="29"/>
      <c r="AH10" s="29"/>
      <c r="AI10" s="29"/>
      <c r="AJ10" s="29"/>
      <c r="AK10" s="29"/>
    </row>
    <row r="11" spans="1:37">
      <c r="A11" s="453">
        <v>2</v>
      </c>
      <c r="B11" s="453"/>
      <c r="C11" s="454"/>
      <c r="D11" s="455"/>
      <c r="E11" s="455"/>
      <c r="F11" s="714">
        <f ca="1">(F10-G10)/G10</f>
        <v>5.0000000000000024E-2</v>
      </c>
      <c r="G11" s="714">
        <f>(G10-H10)/H10</f>
        <v>8.2125603864734137E-2</v>
      </c>
      <c r="H11" s="714">
        <f>(H10-I10)/I10</f>
        <v>-1.9642857142856969E-2</v>
      </c>
      <c r="I11" s="456"/>
      <c r="J11" s="316" t="str">
        <f ca="1">INDIRECT(ADDRESS( A11, B$10,1, TRUE,"Dati"))</f>
        <v>NO</v>
      </c>
      <c r="K11" s="319">
        <f ca="1">INDIRECT(ADDRESS( A11, B$10+1,1, TRUE,"Dati"))</f>
        <v>0</v>
      </c>
      <c r="L11" s="313">
        <f ca="1">Q11/Q$13</f>
        <v>6.5217391304347824E-2</v>
      </c>
      <c r="M11" s="313">
        <f ca="1">L11-N11</f>
        <v>0</v>
      </c>
      <c r="N11" s="313">
        <v>6.5217391304347824E-2</v>
      </c>
      <c r="O11" s="313">
        <f>N11-P11</f>
        <v>-6.2111801242236003E-3</v>
      </c>
      <c r="P11" s="313">
        <v>7.1428571428571425E-2</v>
      </c>
      <c r="Q11" s="316">
        <f ca="1">INDIRECT(ADDRESS( $C$10+1, A11+8,1, TRUE,"KPI1"))</f>
        <v>3</v>
      </c>
      <c r="R11" s="316">
        <v>3</v>
      </c>
      <c r="S11" s="316">
        <v>4</v>
      </c>
      <c r="T11" s="316">
        <v>3</v>
      </c>
      <c r="U11" s="632"/>
      <c r="AF11" s="29"/>
      <c r="AG11" s="29"/>
      <c r="AH11" s="29"/>
      <c r="AI11" s="29"/>
      <c r="AJ11" s="29"/>
      <c r="AK11" s="29"/>
    </row>
    <row r="12" spans="1:37">
      <c r="A12" s="453">
        <v>1</v>
      </c>
      <c r="B12" s="453"/>
      <c r="C12" s="454"/>
      <c r="D12" s="455"/>
      <c r="E12" s="455"/>
      <c r="F12" s="456"/>
      <c r="G12" s="457"/>
      <c r="H12" s="456"/>
      <c r="I12" s="456"/>
      <c r="J12" s="316" t="str">
        <f ca="1">INDIRECT(ADDRESS( A12, B$10,1, TRUE,"Dati"))</f>
        <v>--</v>
      </c>
      <c r="K12" s="319">
        <f ca="1">INDIRECT(ADDRESS( A12, B$10+1,1, TRUE,"Dati"))</f>
        <v>0</v>
      </c>
      <c r="L12" s="313">
        <f ca="1">Q12/Q$13</f>
        <v>2.1739130434782608E-2</v>
      </c>
      <c r="M12" s="313">
        <f ca="1">L12-N12</f>
        <v>-4.3478260869565216E-2</v>
      </c>
      <c r="N12" s="313">
        <v>6.5217391304347824E-2</v>
      </c>
      <c r="O12" s="313">
        <f>N12-P12</f>
        <v>-5.9782608695652176E-2</v>
      </c>
      <c r="P12" s="313">
        <v>0.125</v>
      </c>
      <c r="Q12" s="316">
        <f ca="1">INDIRECT(ADDRESS( $C$10+1, A12+8,1, TRUE,"KPI1"))</f>
        <v>1</v>
      </c>
      <c r="R12" s="316">
        <v>3</v>
      </c>
      <c r="S12" s="316">
        <v>7</v>
      </c>
      <c r="T12" s="316">
        <v>8</v>
      </c>
      <c r="U12" s="632"/>
      <c r="AF12" s="29"/>
      <c r="AG12" s="29"/>
      <c r="AH12" s="29"/>
      <c r="AI12" s="29"/>
      <c r="AJ12" s="29"/>
      <c r="AK12" s="29"/>
    </row>
    <row r="13" spans="1:37">
      <c r="A13" s="453"/>
      <c r="B13" s="453"/>
      <c r="C13" s="454"/>
      <c r="D13" s="455"/>
      <c r="E13" s="455"/>
      <c r="F13" s="456"/>
      <c r="G13" s="457"/>
      <c r="H13" s="456"/>
      <c r="I13" s="456"/>
      <c r="J13" s="314" t="s">
        <v>391</v>
      </c>
      <c r="K13" s="315"/>
      <c r="L13" s="313">
        <f ca="1">SUM(L10:L12)</f>
        <v>0.99999999999999989</v>
      </c>
      <c r="M13" s="313"/>
      <c r="N13" s="313">
        <v>0.99999999999999989</v>
      </c>
      <c r="O13" s="313"/>
      <c r="P13" s="313">
        <v>1</v>
      </c>
      <c r="Q13" s="315">
        <f ca="1">SUM(Q10:Q12)</f>
        <v>46</v>
      </c>
      <c r="R13" s="447">
        <v>46</v>
      </c>
      <c r="S13" s="447">
        <v>56</v>
      </c>
      <c r="T13" s="447">
        <v>61</v>
      </c>
      <c r="U13" s="632"/>
      <c r="AF13" s="29"/>
      <c r="AG13" s="29"/>
      <c r="AH13" s="29"/>
      <c r="AI13" s="29"/>
      <c r="AJ13" s="29"/>
      <c r="AK13" s="29"/>
    </row>
    <row r="14" spans="1:37">
      <c r="A14" s="453"/>
      <c r="B14" s="453"/>
      <c r="C14" s="454"/>
      <c r="D14" s="455"/>
      <c r="E14" s="455"/>
      <c r="F14" s="456"/>
      <c r="G14" s="457"/>
      <c r="H14" s="456"/>
      <c r="I14" s="456"/>
      <c r="J14" s="314"/>
      <c r="K14" s="315"/>
      <c r="L14" s="313"/>
      <c r="M14" s="313"/>
      <c r="N14" s="313"/>
      <c r="O14" s="313"/>
      <c r="P14" s="313"/>
      <c r="Q14" s="315"/>
      <c r="R14" s="447"/>
      <c r="S14" s="447"/>
      <c r="T14" s="316"/>
      <c r="U14" s="463"/>
      <c r="AF14" s="29"/>
      <c r="AG14" s="29"/>
      <c r="AH14" s="29"/>
      <c r="AI14" s="29"/>
      <c r="AJ14" s="29"/>
      <c r="AK14" s="29"/>
    </row>
    <row r="15" spans="1:37">
      <c r="A15" s="453">
        <v>3</v>
      </c>
      <c r="B15" s="453">
        <f>B10+2</f>
        <v>8</v>
      </c>
      <c r="C15" s="453">
        <f>C10+2</f>
        <v>8</v>
      </c>
      <c r="D15" s="455">
        <f ca="1">INDIRECT(ADDRESS( C15, 2,1, TRUE,"KPI1"))</f>
        <v>3</v>
      </c>
      <c r="E15" s="455" t="str">
        <f ca="1">INDIRECT(ADDRESS( C15, 3,1, TRUE,"KPI1"))</f>
        <v>KPI 1.3</v>
      </c>
      <c r="F15" s="464">
        <f ca="1">'Quesiti x SI'!E52</f>
        <v>7.1739130434782608</v>
      </c>
      <c r="G15" s="422">
        <f>'Risultati 2009'!$E$52</f>
        <v>7.3913043478260869</v>
      </c>
      <c r="H15" s="422">
        <f>'Risultati 2008'!$E$62</f>
        <v>6.9642857142857144</v>
      </c>
      <c r="I15" s="422">
        <f>'Risultati 2007'!$E$67</f>
        <v>6.557377049180328</v>
      </c>
      <c r="J15" s="316" t="str">
        <f ca="1">INDIRECT(ADDRESS( A15, B$15,1, TRUE,"Dati"))</f>
        <v>SI</v>
      </c>
      <c r="K15" s="319">
        <f ca="1">INDIRECT(ADDRESS( A15, B$15+1,1, TRUE,"Dati"))</f>
        <v>10</v>
      </c>
      <c r="L15" s="313">
        <f ca="1">Q15/Q$18</f>
        <v>0.71739130434782605</v>
      </c>
      <c r="M15" s="313">
        <f ca="1">L15-N15</f>
        <v>-2.1739130434782594E-2</v>
      </c>
      <c r="N15" s="313">
        <v>0.73913043478260865</v>
      </c>
      <c r="O15" s="313">
        <f>N15-P15</f>
        <v>4.2701863354037251E-2</v>
      </c>
      <c r="P15" s="313">
        <v>0.6964285714285714</v>
      </c>
      <c r="Q15" s="316">
        <f ca="1">INDIRECT(ADDRESS( $C$15+1, A15+8,1, TRUE,"KPI1"))</f>
        <v>33</v>
      </c>
      <c r="R15" s="316">
        <v>34</v>
      </c>
      <c r="S15" s="316">
        <v>39</v>
      </c>
      <c r="T15" s="316">
        <v>40</v>
      </c>
      <c r="U15" s="631" t="str">
        <f ca="1">INDIRECT(ADDRESS( C15, 4,1, TRUE,"KPI1"))</f>
        <v xml:space="preserve">Nel caso di acquisizione di prodotti o servizi, vengono considerate certificazioni di sicurezza ? </v>
      </c>
      <c r="AF15" s="29"/>
      <c r="AG15" s="29"/>
      <c r="AH15" s="29"/>
      <c r="AI15" s="29"/>
      <c r="AJ15" s="29"/>
      <c r="AK15" s="29"/>
    </row>
    <row r="16" spans="1:37">
      <c r="A16" s="453">
        <v>2</v>
      </c>
      <c r="B16" s="453"/>
      <c r="C16" s="454"/>
      <c r="D16" s="455"/>
      <c r="E16" s="455"/>
      <c r="F16" s="714">
        <f ca="1">(F15-G15)/G15</f>
        <v>-2.9411764705882363E-2</v>
      </c>
      <c r="G16" s="714">
        <f>(G15-H15)/H15</f>
        <v>6.1315496098104771E-2</v>
      </c>
      <c r="H16" s="714">
        <f>(H15-I15)/I15</f>
        <v>6.2053571428571416E-2</v>
      </c>
      <c r="I16" s="456"/>
      <c r="J16" s="316" t="str">
        <f ca="1">INDIRECT(ADDRESS( A16, B$15,1, TRUE,"Dati"))</f>
        <v>NO</v>
      </c>
      <c r="K16" s="319">
        <f ca="1">INDIRECT(ADDRESS( A16, B$15+1,1, TRUE,"Dati"))</f>
        <v>0</v>
      </c>
      <c r="L16" s="313">
        <f ca="1">Q16/Q$18</f>
        <v>0.13043478260869565</v>
      </c>
      <c r="M16" s="313">
        <f ca="1">L16-N16</f>
        <v>0</v>
      </c>
      <c r="N16" s="313">
        <v>0.13043478260869565</v>
      </c>
      <c r="O16" s="313">
        <f>N16-P16</f>
        <v>-4.8136645962732927E-2</v>
      </c>
      <c r="P16" s="313">
        <v>0.17857142857142858</v>
      </c>
      <c r="Q16" s="316">
        <f ca="1">INDIRECT(ADDRESS( $C$15+1, A16+8,1, TRUE,"KPI1"))</f>
        <v>6</v>
      </c>
      <c r="R16" s="316">
        <v>6</v>
      </c>
      <c r="S16" s="316">
        <v>10</v>
      </c>
      <c r="T16" s="316">
        <v>12</v>
      </c>
      <c r="U16" s="632"/>
      <c r="AF16" s="29"/>
      <c r="AG16" s="29"/>
      <c r="AH16" s="29"/>
      <c r="AI16" s="29"/>
      <c r="AJ16" s="29"/>
      <c r="AK16" s="29"/>
    </row>
    <row r="17" spans="1:37">
      <c r="A17" s="453">
        <v>1</v>
      </c>
      <c r="B17" s="453"/>
      <c r="C17" s="454"/>
      <c r="D17" s="455"/>
      <c r="E17" s="455"/>
      <c r="F17" s="456"/>
      <c r="G17" s="457"/>
      <c r="H17" s="456"/>
      <c r="I17" s="456"/>
      <c r="J17" s="316" t="str">
        <f ca="1">INDIRECT(ADDRESS( A17, B$15,1, TRUE,"Dati"))</f>
        <v>--</v>
      </c>
      <c r="K17" s="319">
        <f ca="1">INDIRECT(ADDRESS( A17, B$15+1,1, TRUE,"Dati"))</f>
        <v>0</v>
      </c>
      <c r="L17" s="313">
        <f ca="1">Q17/Q$18</f>
        <v>0.15217391304347827</v>
      </c>
      <c r="M17" s="313">
        <f ca="1">L17-N17</f>
        <v>2.1739130434782622E-2</v>
      </c>
      <c r="N17" s="313">
        <v>0.13043478260869565</v>
      </c>
      <c r="O17" s="313">
        <f>N17-P17</f>
        <v>5.4347826086956486E-3</v>
      </c>
      <c r="P17" s="313">
        <v>0.125</v>
      </c>
      <c r="Q17" s="316">
        <f ca="1">INDIRECT(ADDRESS( $C$15+1, A17+8,1, TRUE,"KPI1"))</f>
        <v>7</v>
      </c>
      <c r="R17" s="316">
        <v>6</v>
      </c>
      <c r="S17" s="316">
        <v>7</v>
      </c>
      <c r="T17" s="316">
        <v>9</v>
      </c>
      <c r="U17" s="632"/>
      <c r="AF17" s="29"/>
      <c r="AG17" s="29"/>
      <c r="AH17" s="29"/>
      <c r="AI17" s="29"/>
      <c r="AJ17" s="29"/>
      <c r="AK17" s="29"/>
    </row>
    <row r="18" spans="1:37">
      <c r="A18" s="453"/>
      <c r="B18" s="453"/>
      <c r="C18" s="454"/>
      <c r="D18" s="455"/>
      <c r="E18" s="455"/>
      <c r="F18" s="456"/>
      <c r="G18" s="457"/>
      <c r="H18" s="456"/>
      <c r="I18" s="456"/>
      <c r="J18" s="314" t="s">
        <v>391</v>
      </c>
      <c r="K18" s="315"/>
      <c r="L18" s="313">
        <f ca="1">SUM(L15:L17)</f>
        <v>1</v>
      </c>
      <c r="M18" s="313"/>
      <c r="N18" s="313">
        <v>1</v>
      </c>
      <c r="O18" s="313"/>
      <c r="P18" s="313">
        <v>1</v>
      </c>
      <c r="Q18" s="315">
        <f ca="1">SUM(Q15:Q17)</f>
        <v>46</v>
      </c>
      <c r="R18" s="447">
        <v>46</v>
      </c>
      <c r="S18" s="447">
        <v>56</v>
      </c>
      <c r="T18" s="447">
        <v>61</v>
      </c>
      <c r="U18" s="463"/>
      <c r="AF18" s="29"/>
      <c r="AG18" s="29"/>
      <c r="AH18" s="29"/>
      <c r="AI18" s="29"/>
      <c r="AJ18" s="29"/>
      <c r="AK18" s="29"/>
    </row>
    <row r="19" spans="1:37">
      <c r="A19" s="453">
        <v>3</v>
      </c>
      <c r="B19" s="453">
        <f>B15+2</f>
        <v>10</v>
      </c>
      <c r="C19" s="454">
        <v>11</v>
      </c>
      <c r="D19" s="455">
        <f ca="1">INDIRECT(ADDRESS( C19, 2,1, TRUE,"KPI1"))</f>
        <v>4</v>
      </c>
      <c r="E19" s="455" t="str">
        <f ca="1">INDIRECT(ADDRESS( 15, B$19,1, TRUE,"Dati"))</f>
        <v>KPI 1.3a</v>
      </c>
      <c r="F19" s="464">
        <f ca="1">'Quesiti x SI'!F52</f>
        <v>4.6956521739130439</v>
      </c>
      <c r="G19" s="422">
        <f>'Risultati 2009'!$F$52</f>
        <v>4.2173913043478262</v>
      </c>
      <c r="H19" s="422">
        <f>'Risultati 2008'!$F$62</f>
        <v>3.8035714285714284</v>
      </c>
      <c r="I19" s="422">
        <f>'Risultati 2007'!$F$67</f>
        <v>3.3934426229508197</v>
      </c>
      <c r="J19" s="316" t="str">
        <f ca="1">INDIRECT(ADDRESS( 11, B$19,1, TRUE,"Dati"))</f>
        <v>CommonCriteria (ISO 15408)</v>
      </c>
      <c r="K19" s="319">
        <f ca="1">INDIRECT(ADDRESS( A19, B19+1,1, TRUE,"Dati"))</f>
        <v>5</v>
      </c>
      <c r="L19" s="313">
        <f ca="1">Q19/Q$15</f>
        <v>0.39393939393939392</v>
      </c>
      <c r="M19" s="313">
        <f ca="1">L19-N19</f>
        <v>0.1586452762923351</v>
      </c>
      <c r="N19" s="313">
        <v>0.23529411764705882</v>
      </c>
      <c r="O19" s="313">
        <f>N19-P19</f>
        <v>3.0165912518853699E-2</v>
      </c>
      <c r="P19" s="313">
        <v>0.20512820512820512</v>
      </c>
      <c r="Q19" s="316">
        <f ca="1">INDIRECT(ADDRESS( $C$19+1, A19+8,1, TRUE,"KPI1"))</f>
        <v>13</v>
      </c>
      <c r="R19" s="316">
        <v>8</v>
      </c>
      <c r="S19" s="316">
        <v>8</v>
      </c>
      <c r="T19" s="316">
        <v>11</v>
      </c>
      <c r="U19" s="631" t="str">
        <f ca="1">INDIRECT(ADDRESS( C19, 4,1, TRUE,"KPI1"))</f>
        <v xml:space="preserve">Nel caso vengano considerate certificazioni di sicurezza nell'acquisizione di prodotti o servizi, quali certificazioni sono considerate ?  </v>
      </c>
      <c r="AF19" s="29"/>
      <c r="AG19" s="29"/>
      <c r="AH19" s="29"/>
      <c r="AI19" s="29"/>
      <c r="AJ19" s="29"/>
      <c r="AK19" s="29"/>
    </row>
    <row r="20" spans="1:37">
      <c r="A20" s="453">
        <v>3</v>
      </c>
      <c r="B20" s="453">
        <f>B19+2</f>
        <v>12</v>
      </c>
      <c r="C20" s="454">
        <v>11</v>
      </c>
      <c r="D20" s="455"/>
      <c r="E20" s="455"/>
      <c r="F20" s="714">
        <f ca="1">(F19-G19)/G19</f>
        <v>0.11340206185567019</v>
      </c>
      <c r="G20" s="714">
        <f>(G19-H19)/H19</f>
        <v>0.10879771381914684</v>
      </c>
      <c r="H20" s="714">
        <f>(H19-I19)/I19</f>
        <v>0.12085921325051754</v>
      </c>
      <c r="I20" s="456"/>
      <c r="J20" s="316" t="str">
        <f ca="1">INDIRECT(ADDRESS( 11, B20,1, TRUE,"Dati"))</f>
        <v>ISO 27001 (ex BS 7799-2)</v>
      </c>
      <c r="K20" s="319">
        <f ca="1">INDIRECT(ADDRESS( A20, B20+1,1, TRUE,"Dati"))</f>
        <v>5</v>
      </c>
      <c r="L20" s="313">
        <f ca="1">Q20/Q$15</f>
        <v>0.66666666666666663</v>
      </c>
      <c r="M20" s="313">
        <f ca="1">L20-N20</f>
        <v>0.10784313725490191</v>
      </c>
      <c r="N20" s="313">
        <v>0.55882352941176472</v>
      </c>
      <c r="O20" s="313">
        <f>N20-P20</f>
        <v>2.0361990950226283E-2</v>
      </c>
      <c r="P20" s="313">
        <v>0.53846153846153844</v>
      </c>
      <c r="Q20" s="316">
        <f ca="1">INDIRECT(ADDRESS( $C$19+1, A20+12,1, TRUE,"KPI1"))</f>
        <v>22</v>
      </c>
      <c r="R20" s="316">
        <v>19</v>
      </c>
      <c r="S20" s="316">
        <v>21</v>
      </c>
      <c r="T20" s="316">
        <v>15</v>
      </c>
      <c r="U20" s="632"/>
      <c r="AF20" s="29"/>
      <c r="AG20" s="29"/>
      <c r="AH20" s="29"/>
      <c r="AI20" s="29"/>
      <c r="AJ20" s="29"/>
      <c r="AK20" s="29"/>
    </row>
    <row r="21" spans="1:37">
      <c r="A21" s="453">
        <v>3</v>
      </c>
      <c r="B21" s="453">
        <f>B20+2</f>
        <v>14</v>
      </c>
      <c r="C21" s="454">
        <v>11</v>
      </c>
      <c r="D21" s="455"/>
      <c r="E21" s="455"/>
      <c r="F21" s="456"/>
      <c r="G21" s="457"/>
      <c r="H21" s="456"/>
      <c r="I21" s="456"/>
      <c r="J21" s="316" t="str">
        <f ca="1">INDIRECT(ADDRESS( 11, B21,1, TRUE,"Dati"))</f>
        <v>Certificazioni professionali</v>
      </c>
      <c r="K21" s="319">
        <f ca="1">INDIRECT(ADDRESS( A21, B21+1,1, TRUE,"Dati"))</f>
        <v>3</v>
      </c>
      <c r="L21" s="313">
        <f ca="1">Q21/Q$15</f>
        <v>0.48484848484848486</v>
      </c>
      <c r="M21" s="313">
        <f ca="1">L21-N21</f>
        <v>-7.3975044563279857E-2</v>
      </c>
      <c r="N21" s="313">
        <v>0.55882352941176472</v>
      </c>
      <c r="O21" s="313">
        <f>N21-P21</f>
        <v>2.0361990950226283E-2</v>
      </c>
      <c r="P21" s="313">
        <v>0.53846153846153844</v>
      </c>
      <c r="Q21" s="316">
        <f ca="1">INDIRECT(ADDRESS( $C$19+1, A21+16,1, TRUE,"KPI1"))</f>
        <v>16</v>
      </c>
      <c r="R21" s="316">
        <v>19</v>
      </c>
      <c r="S21" s="316">
        <v>21</v>
      </c>
      <c r="T21" s="316">
        <v>19</v>
      </c>
      <c r="U21" s="632"/>
      <c r="AF21" s="29"/>
      <c r="AG21" s="29"/>
      <c r="AH21" s="29"/>
      <c r="AI21" s="29"/>
      <c r="AJ21" s="29"/>
      <c r="AK21" s="29"/>
    </row>
    <row r="22" spans="1:37">
      <c r="A22" s="453">
        <v>3</v>
      </c>
      <c r="B22" s="453">
        <f>B21+2</f>
        <v>16</v>
      </c>
      <c r="C22" s="454">
        <v>11</v>
      </c>
      <c r="D22" s="455"/>
      <c r="E22" s="455"/>
      <c r="F22" s="456"/>
      <c r="G22" s="457"/>
      <c r="H22" s="456"/>
      <c r="I22" s="456"/>
      <c r="J22" s="316" t="str">
        <f ca="1">INDIRECT(ADDRESS( 11, B22,1, TRUE,"Dati"))</f>
        <v>Altro</v>
      </c>
      <c r="K22" s="319">
        <f ca="1">INDIRECT(ADDRESS( A22, B22+1,1, TRUE,"Dati"))</f>
        <v>3</v>
      </c>
      <c r="L22" s="313">
        <f ca="1">Q22/Q$15</f>
        <v>9.0909090909090912E-2</v>
      </c>
      <c r="M22" s="313">
        <f ca="1">L22-N22</f>
        <v>-2.6737967914438499E-2</v>
      </c>
      <c r="N22" s="313">
        <v>0.11764705882352941</v>
      </c>
      <c r="O22" s="313">
        <f>N22-P22</f>
        <v>1.508295625942685E-2</v>
      </c>
      <c r="P22" s="313">
        <v>0.10256410256410256</v>
      </c>
      <c r="Q22" s="316">
        <f ca="1">INDIRECT(ADDRESS( $C$19+1, A22+20,1, TRUE,"KPI1"))</f>
        <v>3</v>
      </c>
      <c r="R22" s="316">
        <v>4</v>
      </c>
      <c r="S22" s="316">
        <v>4</v>
      </c>
      <c r="T22" s="316">
        <v>13</v>
      </c>
      <c r="U22" s="632"/>
      <c r="AF22" s="29"/>
      <c r="AG22" s="29"/>
      <c r="AH22" s="29"/>
      <c r="AI22" s="29"/>
      <c r="AJ22" s="29"/>
      <c r="AK22" s="29"/>
    </row>
    <row r="23" spans="1:37">
      <c r="A23" s="453"/>
      <c r="B23" s="453"/>
      <c r="C23" s="454"/>
      <c r="D23" s="455"/>
      <c r="E23" s="455"/>
      <c r="F23" s="456"/>
      <c r="G23" s="457"/>
      <c r="H23" s="456"/>
      <c r="I23" s="456"/>
      <c r="J23" s="314"/>
      <c r="K23" s="315"/>
      <c r="L23" s="313"/>
      <c r="M23" s="313"/>
      <c r="N23" s="313"/>
      <c r="O23" s="313"/>
      <c r="P23" s="313"/>
      <c r="Q23" s="316"/>
      <c r="R23" s="316"/>
      <c r="S23" s="316"/>
      <c r="T23" s="316"/>
      <c r="U23" s="463"/>
      <c r="AF23" s="29"/>
      <c r="AG23" s="29"/>
      <c r="AH23" s="29"/>
      <c r="AI23" s="29"/>
      <c r="AJ23" s="29"/>
      <c r="AK23" s="29"/>
    </row>
    <row r="24" spans="1:37">
      <c r="A24" s="453">
        <v>5</v>
      </c>
      <c r="B24" s="453">
        <f>B22+2</f>
        <v>18</v>
      </c>
      <c r="C24" s="453">
        <f>C22+2</f>
        <v>13</v>
      </c>
      <c r="D24" s="455">
        <f ca="1">INDIRECT(ADDRESS( C24, 2,1, TRUE,"KPI1"))</f>
        <v>8</v>
      </c>
      <c r="E24" s="455" t="str">
        <f ca="1">INDIRECT(ADDRESS( C24, 3,1, TRUE,"KPI1"))</f>
        <v>KPI 1.4</v>
      </c>
      <c r="F24" s="464">
        <f ca="1">'Quesiti x SI'!G52</f>
        <v>9.304347826086957</v>
      </c>
      <c r="G24" s="422">
        <f>'Risultati 2009'!$G$52</f>
        <v>8.1739130434782616</v>
      </c>
      <c r="H24" s="422">
        <f>'Risultati 2008'!$G$62</f>
        <v>7.8928571428571432</v>
      </c>
      <c r="I24" s="422">
        <f>'Risultati 2007'!$G$67</f>
        <v>7.2131147540983607</v>
      </c>
      <c r="J24" s="316" t="str">
        <f ca="1">INDIRECT(ADDRESS( A24, B$24,1, TRUE,"Dati"))</f>
        <v>USERID/PASSWORD</v>
      </c>
      <c r="K24" s="319">
        <f ca="1">INDIRECT(ADDRESS( A24, B$24+1,1, TRUE,"Dati"))</f>
        <v>2</v>
      </c>
      <c r="L24" s="313">
        <f ca="1">Q24/Q$29</f>
        <v>0.95652173913043481</v>
      </c>
      <c r="M24" s="313">
        <f ca="1">L24-N24</f>
        <v>4.3478260869565299E-2</v>
      </c>
      <c r="N24" s="313">
        <v>0.91304347826086951</v>
      </c>
      <c r="O24" s="313">
        <f>N24-P24</f>
        <v>3.8043478260869512E-2</v>
      </c>
      <c r="P24" s="313">
        <v>0.875</v>
      </c>
      <c r="Q24" s="316">
        <f ca="1">INDIRECT(ADDRESS( $C$24+1, A24+8,1, TRUE,"KPI1"))</f>
        <v>44</v>
      </c>
      <c r="R24" s="316">
        <v>42</v>
      </c>
      <c r="S24" s="316">
        <v>49</v>
      </c>
      <c r="T24" s="316">
        <v>51</v>
      </c>
      <c r="U24" s="631" t="str">
        <f ca="1">INDIRECT(ADDRESS( C24, 4,1, TRUE,"KPI1"))</f>
        <v xml:space="preserve">Quali criteri/sistemi di autenticazione per l'accesso alla rete interna vengono utilizzati ? </v>
      </c>
      <c r="AF24" s="29"/>
      <c r="AG24" s="29"/>
      <c r="AH24" s="29"/>
      <c r="AI24" s="29"/>
      <c r="AJ24" s="29"/>
      <c r="AK24" s="29"/>
    </row>
    <row r="25" spans="1:37">
      <c r="A25" s="453">
        <v>4</v>
      </c>
      <c r="B25" s="453"/>
      <c r="C25" s="454"/>
      <c r="D25" s="455"/>
      <c r="E25" s="455"/>
      <c r="F25" s="714">
        <f ca="1">(F24-G24)/G24</f>
        <v>0.13829787234042548</v>
      </c>
      <c r="G25" s="714">
        <f>(G24-H24)/H24</f>
        <v>3.5608892386386037E-2</v>
      </c>
      <c r="H25" s="714">
        <f>(H24-I24)/I24</f>
        <v>9.4237012987013036E-2</v>
      </c>
      <c r="I25" s="456"/>
      <c r="J25" s="316" t="str">
        <f ca="1">INDIRECT(ADDRESS( A25, B$24,1, TRUE,"Dati"))</f>
        <v>TOKEN DI AUTENTICAZIONE</v>
      </c>
      <c r="K25" s="319">
        <f ca="1">INDIRECT(ADDRESS( A25, B$24+1,1, TRUE,"Dati"))</f>
        <v>6</v>
      </c>
      <c r="L25" s="313">
        <f ca="1">Q25/Q$29</f>
        <v>2.1739130434782608E-2</v>
      </c>
      <c r="M25" s="313">
        <f ca="1">L25-N25</f>
        <v>2.1739130434782608E-2</v>
      </c>
      <c r="N25" s="313">
        <v>0</v>
      </c>
      <c r="O25" s="313">
        <f>N25-P25</f>
        <v>0</v>
      </c>
      <c r="P25" s="313">
        <v>0</v>
      </c>
      <c r="Q25" s="316">
        <f ca="1">INDIRECT(ADDRESS( $C$24+1, A25+8,1, TRUE,"KPI1"))</f>
        <v>1</v>
      </c>
      <c r="R25" s="316">
        <v>0</v>
      </c>
      <c r="S25" s="316">
        <v>0</v>
      </c>
      <c r="T25" s="316">
        <v>0</v>
      </c>
      <c r="U25" s="632"/>
      <c r="AF25" s="29"/>
      <c r="AG25" s="29"/>
      <c r="AH25" s="29"/>
      <c r="AI25" s="29"/>
      <c r="AJ25" s="29"/>
      <c r="AK25" s="29"/>
    </row>
    <row r="26" spans="1:37">
      <c r="A26" s="453">
        <v>3</v>
      </c>
      <c r="B26" s="453"/>
      <c r="C26" s="454"/>
      <c r="D26" s="455"/>
      <c r="E26" s="455"/>
      <c r="F26" s="456"/>
      <c r="G26" s="457"/>
      <c r="H26" s="456"/>
      <c r="I26" s="456"/>
      <c r="J26" s="316" t="str">
        <f ca="1">INDIRECT(ADDRESS( A26, B$24,1, TRUE,"Dati"))</f>
        <v>PKI/SMART CARD/PIN</v>
      </c>
      <c r="K26" s="319">
        <f ca="1">INDIRECT(ADDRESS( A26, B$24+1,1, TRUE,"Dati"))</f>
        <v>6</v>
      </c>
      <c r="L26" s="313">
        <f ca="1">Q26/Q$29</f>
        <v>0</v>
      </c>
      <c r="M26" s="313">
        <f ca="1">L26-N26</f>
        <v>0</v>
      </c>
      <c r="N26" s="313">
        <v>0</v>
      </c>
      <c r="O26" s="313">
        <f>N26-P26</f>
        <v>-1.7857142857142856E-2</v>
      </c>
      <c r="P26" s="313">
        <v>1.7857142857142856E-2</v>
      </c>
      <c r="Q26" s="316">
        <f ca="1">INDIRECT(ADDRESS( $C$24+1, A26+8,1, TRUE,"KPI1"))</f>
        <v>0</v>
      </c>
      <c r="R26" s="316">
        <v>0</v>
      </c>
      <c r="S26" s="316">
        <v>1</v>
      </c>
      <c r="T26" s="316">
        <v>0</v>
      </c>
      <c r="U26" s="632"/>
      <c r="AF26" s="29"/>
      <c r="AG26" s="29"/>
      <c r="AH26" s="29"/>
      <c r="AI26" s="29"/>
      <c r="AJ26" s="29"/>
      <c r="AK26" s="29"/>
    </row>
    <row r="27" spans="1:37">
      <c r="A27" s="453">
        <v>2</v>
      </c>
      <c r="B27" s="453"/>
      <c r="C27" s="454"/>
      <c r="D27" s="455"/>
      <c r="E27" s="455"/>
      <c r="F27" s="456"/>
      <c r="G27" s="457"/>
      <c r="H27" s="456"/>
      <c r="I27" s="456"/>
      <c r="J27" s="316" t="str">
        <f ca="1">INDIRECT(ADDRESS( A27, B$24,1, TRUE,"Dati"))</f>
        <v>ONE TIME PASSWORD</v>
      </c>
      <c r="K27" s="319">
        <f ca="1">INDIRECT(ADDRESS( A27, B$24+1,1, TRUE,"Dati"))</f>
        <v>8</v>
      </c>
      <c r="L27" s="313">
        <f ca="1">Q27/Q$29</f>
        <v>0</v>
      </c>
      <c r="M27" s="313">
        <f ca="1">L27-N27</f>
        <v>0</v>
      </c>
      <c r="N27" s="313">
        <v>0</v>
      </c>
      <c r="O27" s="313">
        <f>N27-P27</f>
        <v>0</v>
      </c>
      <c r="P27" s="313">
        <v>0</v>
      </c>
      <c r="Q27" s="316">
        <f ca="1">INDIRECT(ADDRESS( $C$24+1, A27+8,1, TRUE,"KPI1"))</f>
        <v>0</v>
      </c>
      <c r="R27" s="316">
        <v>0</v>
      </c>
      <c r="S27" s="316">
        <v>0</v>
      </c>
      <c r="T27" s="316">
        <v>0</v>
      </c>
      <c r="U27" s="632"/>
      <c r="AF27" s="29"/>
      <c r="AG27" s="29"/>
      <c r="AH27" s="29"/>
      <c r="AI27" s="29"/>
      <c r="AJ27" s="29"/>
      <c r="AK27" s="29"/>
    </row>
    <row r="28" spans="1:37">
      <c r="A28" s="453">
        <v>1</v>
      </c>
      <c r="B28" s="453"/>
      <c r="C28" s="454"/>
      <c r="D28" s="455"/>
      <c r="E28" s="455"/>
      <c r="F28" s="456"/>
      <c r="G28" s="457"/>
      <c r="H28" s="456"/>
      <c r="I28" s="456"/>
      <c r="J28" s="316" t="str">
        <f ca="1">INDIRECT(ADDRESS( A28, B$24,1, TRUE,"Dati"))</f>
        <v>--</v>
      </c>
      <c r="K28" s="319">
        <f ca="1">INDIRECT(ADDRESS( A28, B$24+1,1, TRUE,"Dati"))</f>
        <v>0</v>
      </c>
      <c r="L28" s="313">
        <f ca="1">Q28/Q$29</f>
        <v>2.1739130434782608E-2</v>
      </c>
      <c r="M28" s="313">
        <f ca="1">L28-N28</f>
        <v>-6.5217391304347824E-2</v>
      </c>
      <c r="N28" s="313">
        <v>8.6956521739130432E-2</v>
      </c>
      <c r="O28" s="313">
        <f>N28-P28</f>
        <v>-2.0186335403726705E-2</v>
      </c>
      <c r="P28" s="313">
        <v>0.10714285714285714</v>
      </c>
      <c r="Q28" s="316">
        <f ca="1">INDIRECT(ADDRESS( $C$24+1, A28+8,1, TRUE,"KPI1"))</f>
        <v>1</v>
      </c>
      <c r="R28" s="316">
        <v>4</v>
      </c>
      <c r="S28" s="316">
        <v>6</v>
      </c>
      <c r="T28" s="316">
        <v>10</v>
      </c>
      <c r="U28" s="632"/>
      <c r="AF28" s="29"/>
      <c r="AG28" s="29"/>
      <c r="AH28" s="29"/>
      <c r="AI28" s="29"/>
      <c r="AJ28" s="29"/>
      <c r="AK28" s="29"/>
    </row>
    <row r="29" spans="1:37">
      <c r="A29" s="453"/>
      <c r="B29" s="453"/>
      <c r="C29" s="454"/>
      <c r="D29" s="455"/>
      <c r="E29" s="455"/>
      <c r="F29" s="456"/>
      <c r="G29" s="457"/>
      <c r="H29" s="456"/>
      <c r="I29" s="456"/>
      <c r="J29" s="314" t="s">
        <v>391</v>
      </c>
      <c r="K29" s="315"/>
      <c r="L29" s="313">
        <f ca="1">SUM(L24:L28)</f>
        <v>1</v>
      </c>
      <c r="M29" s="313"/>
      <c r="N29" s="313">
        <v>1</v>
      </c>
      <c r="O29" s="313"/>
      <c r="P29" s="313">
        <v>1</v>
      </c>
      <c r="Q29" s="315">
        <f ca="1">SUM(Q24:Q28)</f>
        <v>46</v>
      </c>
      <c r="R29" s="447">
        <v>46</v>
      </c>
      <c r="S29" s="447">
        <v>56</v>
      </c>
      <c r="T29" s="447">
        <v>61</v>
      </c>
      <c r="U29" s="463"/>
      <c r="AF29" s="29"/>
      <c r="AG29" s="29"/>
      <c r="AH29" s="29"/>
      <c r="AI29" s="29"/>
      <c r="AJ29" s="29"/>
      <c r="AK29" s="29"/>
    </row>
    <row r="30" spans="1:37">
      <c r="A30" s="453">
        <v>3</v>
      </c>
      <c r="B30" s="453">
        <f>B24+2</f>
        <v>20</v>
      </c>
      <c r="C30" s="453">
        <f>C24+2</f>
        <v>15</v>
      </c>
      <c r="D30" s="455">
        <f ca="1">INDIRECT(ADDRESS( C30, 2,1, TRUE,"KPI1"))</f>
        <v>9</v>
      </c>
      <c r="E30" s="455" t="str">
        <f ca="1">INDIRECT(ADDRESS( C30, 3,1, TRUE,"KPI1"))</f>
        <v>KPI 1.4a</v>
      </c>
      <c r="F30" s="464"/>
      <c r="G30" s="466"/>
      <c r="H30" s="464"/>
      <c r="I30" s="464"/>
      <c r="J30" s="317" t="s">
        <v>262</v>
      </c>
      <c r="K30" s="319">
        <f ca="1">INDIRECT(ADDRESS( A30, B$30+1,1, TRUE,"Dati"))</f>
        <v>2</v>
      </c>
      <c r="L30" s="313">
        <f ca="1">Q30/Q$24</f>
        <v>1</v>
      </c>
      <c r="M30" s="313">
        <f ca="1">L30-N30</f>
        <v>4.7619047619047672E-2</v>
      </c>
      <c r="N30" s="313">
        <v>0.95238095238095233</v>
      </c>
      <c r="O30" s="313">
        <f>N30-P30</f>
        <v>1.3605442176870652E-2</v>
      </c>
      <c r="P30" s="313">
        <v>0.93877551020408168</v>
      </c>
      <c r="Q30" s="316">
        <f ca="1">INDIRECT(ADDRESS( $C30+1, A30+8,1, TRUE,"KPI1"))</f>
        <v>44</v>
      </c>
      <c r="R30" s="316">
        <v>40</v>
      </c>
      <c r="S30" s="316">
        <v>46</v>
      </c>
      <c r="T30" s="316">
        <v>48</v>
      </c>
      <c r="U30" s="455" t="str">
        <f ca="1">INDIRECT(ADDRESS( C30, 4,1, TRUE,"KPI1"))</f>
        <v>Se si utilizzano UserID e password come sistema di autenticazione,sono state definite regole per la gestione delle password ?</v>
      </c>
      <c r="AF30" s="29"/>
      <c r="AG30" s="29"/>
      <c r="AH30" s="29"/>
      <c r="AI30" s="29"/>
      <c r="AJ30" s="29"/>
      <c r="AK30" s="29"/>
    </row>
    <row r="31" spans="1:37">
      <c r="A31" s="453">
        <v>3</v>
      </c>
      <c r="B31" s="453">
        <f>B30+2</f>
        <v>22</v>
      </c>
      <c r="C31" s="453">
        <f>C30+2</f>
        <v>17</v>
      </c>
      <c r="D31" s="455">
        <f ca="1">INDIRECT(ADDRESS( C31, 2,1, TRUE,"KPI1"))</f>
        <v>10</v>
      </c>
      <c r="E31" s="455" t="str">
        <f ca="1">INDIRECT(ADDRESS( C31, 3,1, TRUE,"KPI1"))</f>
        <v>KPI 1.4b</v>
      </c>
      <c r="F31" s="464"/>
      <c r="G31" s="466"/>
      <c r="H31" s="464"/>
      <c r="I31" s="464"/>
      <c r="J31" s="318" t="s">
        <v>260</v>
      </c>
      <c r="K31" s="319">
        <f ca="1">INDIRECT(ADDRESS( A31, B31+1,1, TRUE,"Dati"))</f>
        <v>2</v>
      </c>
      <c r="L31" s="313">
        <f ca="1">Q31/Q$24</f>
        <v>0.93181818181818177</v>
      </c>
      <c r="M31" s="313">
        <f ca="1">L31-N31</f>
        <v>7.4675324675324672E-2</v>
      </c>
      <c r="N31" s="313">
        <v>0.8571428571428571</v>
      </c>
      <c r="O31" s="313">
        <f>N31-P31</f>
        <v>2.0408163265306034E-2</v>
      </c>
      <c r="P31" s="313">
        <v>0.83673469387755106</v>
      </c>
      <c r="Q31" s="316">
        <f ca="1">INDIRECT(ADDRESS( $C31+1, A31+8,1, TRUE,"KPI1"))</f>
        <v>41</v>
      </c>
      <c r="R31" s="316">
        <v>36</v>
      </c>
      <c r="S31" s="316">
        <v>41</v>
      </c>
      <c r="T31" s="316">
        <v>43</v>
      </c>
      <c r="U31" s="455" t="str">
        <f ca="1">INDIRECT(ADDRESS( C31, 4,1, TRUE,"KPI1"))</f>
        <v>E' prevista la scadenza automatica di un account/password ?</v>
      </c>
      <c r="AF31" s="29"/>
      <c r="AG31" s="29"/>
      <c r="AH31" s="29"/>
      <c r="AI31" s="29"/>
      <c r="AJ31" s="29"/>
      <c r="AK31" s="29"/>
    </row>
    <row r="32" spans="1:37">
      <c r="A32" s="453">
        <v>3</v>
      </c>
      <c r="B32" s="453">
        <f>B31+2</f>
        <v>24</v>
      </c>
      <c r="C32" s="453">
        <f>C31+2</f>
        <v>19</v>
      </c>
      <c r="D32" s="455">
        <f ca="1">INDIRECT(ADDRESS( C32, 2,1, TRUE,"KPI1"))</f>
        <v>11</v>
      </c>
      <c r="E32" s="455" t="str">
        <f ca="1">INDIRECT(ADDRESS( C32, 3,1, TRUE,"KPI1"))</f>
        <v>KPI 1.4c</v>
      </c>
      <c r="F32" s="464"/>
      <c r="G32" s="466"/>
      <c r="H32" s="464"/>
      <c r="I32" s="464"/>
      <c r="J32" s="318" t="s">
        <v>261</v>
      </c>
      <c r="K32" s="319">
        <f ca="1">INDIRECT(ADDRESS( A32, B32+1,1, TRUE,"Dati"))</f>
        <v>4</v>
      </c>
      <c r="L32" s="313">
        <f ca="1">Q32/Q$24</f>
        <v>0.93181818181818177</v>
      </c>
      <c r="M32" s="313">
        <f ca="1">L32-N32</f>
        <v>9.8484848484848397E-2</v>
      </c>
      <c r="N32" s="313">
        <v>0.83333333333333337</v>
      </c>
      <c r="O32" s="313">
        <f>N32-P32</f>
        <v>-3.4013605442176909E-3</v>
      </c>
      <c r="P32" s="313">
        <v>0.83673469387755106</v>
      </c>
      <c r="Q32" s="316">
        <f ca="1">INDIRECT(ADDRESS( $C32+1, A32+8,1, TRUE,"KPI1"))</f>
        <v>41</v>
      </c>
      <c r="R32" s="316">
        <v>35</v>
      </c>
      <c r="S32" s="316">
        <v>41</v>
      </c>
      <c r="T32" s="316">
        <v>39</v>
      </c>
      <c r="U32" s="455" t="str">
        <f ca="1">INDIRECT(ADDRESS( C32, 4,1, TRUE,"KPI1"))</f>
        <v>Esiste un controllo preventivo della scelta della password ?</v>
      </c>
      <c r="AF32" s="29"/>
      <c r="AG32" s="29"/>
      <c r="AH32" s="29"/>
      <c r="AI32" s="29"/>
      <c r="AJ32" s="29"/>
      <c r="AK32" s="29"/>
    </row>
    <row r="33" spans="1:37">
      <c r="A33" s="453"/>
      <c r="B33" s="453"/>
      <c r="C33" s="454"/>
      <c r="D33" s="455"/>
      <c r="E33" s="455"/>
      <c r="F33" s="456"/>
      <c r="G33" s="457"/>
      <c r="H33" s="456"/>
      <c r="I33" s="456"/>
      <c r="J33" s="314"/>
      <c r="K33" s="315"/>
      <c r="L33" s="313"/>
      <c r="M33" s="313"/>
      <c r="N33" s="313"/>
      <c r="O33" s="313"/>
      <c r="P33" s="313"/>
      <c r="Q33" s="316"/>
      <c r="R33" s="316"/>
      <c r="S33" s="316"/>
      <c r="T33" s="316"/>
      <c r="U33" s="463"/>
      <c r="AF33" s="29"/>
      <c r="AG33" s="29"/>
      <c r="AH33" s="29"/>
      <c r="AI33" s="29"/>
      <c r="AJ33" s="29"/>
      <c r="AK33" s="29"/>
    </row>
    <row r="34" spans="1:37">
      <c r="A34" s="453">
        <v>2</v>
      </c>
      <c r="B34" s="453">
        <f>B32+2</f>
        <v>26</v>
      </c>
      <c r="C34" s="454">
        <f>C32+2</f>
        <v>21</v>
      </c>
      <c r="D34" s="455">
        <f ca="1">INDIRECT(ADDRESS( C34, 2,1, TRUE,"KPI1"))</f>
        <v>12</v>
      </c>
      <c r="E34" s="455" t="str">
        <f ca="1">INDIRECT(ADDRESS( C34, 3,1, TRUE,"KPI1"))</f>
        <v>KPI 1.5</v>
      </c>
      <c r="F34" s="464">
        <f ca="1">'Quesiti x SI'!H52</f>
        <v>7.8695652173913047</v>
      </c>
      <c r="G34" s="422">
        <f>'Risultati 2009'!$H$52</f>
        <v>7.5217391304347823</v>
      </c>
      <c r="H34" s="422">
        <f>'Risultati 2008'!$H$62</f>
        <v>7.25</v>
      </c>
      <c r="I34" s="422">
        <f>'Risultati 2007'!$H$67</f>
        <v>7.5081967213114753</v>
      </c>
      <c r="J34" s="316" t="str">
        <f t="shared" ref="J34:J39" ca="1" si="0">INDIRECT(ADDRESS( A34, B34,1, TRUE,"Dati"))</f>
        <v>AUTOMATICAMENTE</v>
      </c>
      <c r="K34" s="319">
        <f ca="1">INDIRECT(ADDRESS( A34, B34+1,1, TRUE,"Dati"))</f>
        <v>10</v>
      </c>
      <c r="L34" s="313">
        <f t="shared" ref="L34:L39" ca="1" si="1">Q34/Q$40</f>
        <v>0.47826086956521741</v>
      </c>
      <c r="M34" s="313">
        <f t="shared" ref="M34:O39" ca="1" si="2">L34-N34</f>
        <v>-2.1739130434782594E-2</v>
      </c>
      <c r="N34" s="313">
        <v>0.5</v>
      </c>
      <c r="O34" s="313">
        <f t="shared" si="2"/>
        <v>1.7857142857142849E-2</v>
      </c>
      <c r="P34" s="313">
        <v>0.48214285714285715</v>
      </c>
      <c r="Q34" s="316">
        <f ca="1">INDIRECT(ADDRESS( $C34+1, A34+8,1, TRUE,"KPI1"))</f>
        <v>22</v>
      </c>
      <c r="R34" s="316">
        <v>23</v>
      </c>
      <c r="S34" s="316">
        <v>27</v>
      </c>
      <c r="T34" s="316">
        <v>30</v>
      </c>
      <c r="U34" s="631" t="str">
        <f ca="1">INDIRECT(ADDRESS( C34, 4,1, TRUE,"KPI1"))</f>
        <v xml:space="preserve">Con quale frequenza viene verificata la presenza di aggionamenti dei sistemi operativi dei server ? </v>
      </c>
      <c r="AF34" s="29"/>
      <c r="AG34" s="29"/>
      <c r="AH34" s="29"/>
      <c r="AI34" s="29"/>
      <c r="AJ34" s="29"/>
      <c r="AK34" s="29"/>
    </row>
    <row r="35" spans="1:37">
      <c r="A35" s="453">
        <v>6</v>
      </c>
      <c r="B35" s="453">
        <f>B34</f>
        <v>26</v>
      </c>
      <c r="C35" s="454"/>
      <c r="D35" s="455"/>
      <c r="E35" s="455"/>
      <c r="F35" s="714">
        <f ca="1">(F34-G34)/G34</f>
        <v>4.6242774566474076E-2</v>
      </c>
      <c r="G35" s="714">
        <f>(G34-H34)/H34</f>
        <v>3.7481259370314796E-2</v>
      </c>
      <c r="H35" s="714">
        <f>(H34-I34)/I34</f>
        <v>-3.4388646288209597E-2</v>
      </c>
      <c r="I35" s="456"/>
      <c r="J35" s="316" t="str">
        <f t="shared" ca="1" si="0"/>
        <v>OGNI SETTIMANA</v>
      </c>
      <c r="K35" s="319">
        <v>10</v>
      </c>
      <c r="L35" s="313">
        <f t="shared" ca="1" si="1"/>
        <v>0.17391304347826086</v>
      </c>
      <c r="M35" s="313">
        <f t="shared" ca="1" si="2"/>
        <v>4.3478260869565216E-2</v>
      </c>
      <c r="N35" s="313">
        <v>0.13043478260869565</v>
      </c>
      <c r="O35" s="313">
        <f t="shared" si="2"/>
        <v>-4.8136645962732927E-2</v>
      </c>
      <c r="P35" s="313">
        <v>0.17857142857142858</v>
      </c>
      <c r="Q35" s="316">
        <f ca="1">INDIRECT(ADDRESS( $C$34+1, A35+8,1, TRUE,"KPI1"))</f>
        <v>8</v>
      </c>
      <c r="R35" s="316">
        <v>6</v>
      </c>
      <c r="S35" s="316">
        <v>10</v>
      </c>
      <c r="T35" s="316">
        <v>10</v>
      </c>
      <c r="U35" s="632"/>
      <c r="AF35" s="29"/>
      <c r="AG35" s="29"/>
      <c r="AH35" s="29"/>
      <c r="AI35" s="29"/>
      <c r="AJ35" s="29"/>
      <c r="AK35" s="29"/>
    </row>
    <row r="36" spans="1:37">
      <c r="A36" s="453">
        <v>4</v>
      </c>
      <c r="B36" s="453">
        <f>B35</f>
        <v>26</v>
      </c>
      <c r="C36" s="454"/>
      <c r="D36" s="455"/>
      <c r="E36" s="455"/>
      <c r="F36" s="456"/>
      <c r="G36" s="457"/>
      <c r="H36" s="456"/>
      <c r="I36" s="456"/>
      <c r="J36" s="316" t="str">
        <f t="shared" ca="1" si="0"/>
        <v>OGNI MESE</v>
      </c>
      <c r="K36" s="319">
        <v>8</v>
      </c>
      <c r="L36" s="313">
        <f t="shared" ca="1" si="1"/>
        <v>0.2391304347826087</v>
      </c>
      <c r="M36" s="313">
        <f t="shared" ca="1" si="2"/>
        <v>2.1739130434782622E-2</v>
      </c>
      <c r="N36" s="313">
        <v>0.21739130434782608</v>
      </c>
      <c r="O36" s="313">
        <f t="shared" si="2"/>
        <v>0.11024844720496894</v>
      </c>
      <c r="P36" s="313">
        <v>0.10714285714285714</v>
      </c>
      <c r="Q36" s="316">
        <f ca="1">INDIRECT(ADDRESS( $C$34+1, A36+8,1, TRUE,"KPI1"))</f>
        <v>11</v>
      </c>
      <c r="R36" s="316">
        <v>10</v>
      </c>
      <c r="S36" s="316">
        <v>6</v>
      </c>
      <c r="T36" s="316">
        <v>9</v>
      </c>
      <c r="U36" s="632"/>
      <c r="AF36" s="29"/>
      <c r="AG36" s="29"/>
      <c r="AH36" s="29"/>
      <c r="AI36" s="29"/>
      <c r="AJ36" s="29"/>
      <c r="AK36" s="29"/>
    </row>
    <row r="37" spans="1:37">
      <c r="A37" s="453">
        <v>5</v>
      </c>
      <c r="B37" s="453">
        <f>B36</f>
        <v>26</v>
      </c>
      <c r="C37" s="454"/>
      <c r="D37" s="455"/>
      <c r="E37" s="455"/>
      <c r="F37" s="456"/>
      <c r="G37" s="457"/>
      <c r="H37" s="456"/>
      <c r="I37" s="456"/>
      <c r="J37" s="316" t="str">
        <f t="shared" ca="1" si="0"/>
        <v>OGNI SEI MESI</v>
      </c>
      <c r="K37" s="319">
        <v>6</v>
      </c>
      <c r="L37" s="313">
        <f t="shared" ca="1" si="1"/>
        <v>6.5217391304347824E-2</v>
      </c>
      <c r="M37" s="313">
        <f t="shared" ca="1" si="2"/>
        <v>2.1739130434782608E-2</v>
      </c>
      <c r="N37" s="313">
        <v>4.3478260869565216E-2</v>
      </c>
      <c r="O37" s="313">
        <f t="shared" si="2"/>
        <v>-4.5807453416149072E-2</v>
      </c>
      <c r="P37" s="313">
        <v>8.9285714285714288E-2</v>
      </c>
      <c r="Q37" s="316">
        <f ca="1">INDIRECT(ADDRESS( $C$34+1, A37+8,1, TRUE,"KPI1"))</f>
        <v>3</v>
      </c>
      <c r="R37" s="316">
        <v>2</v>
      </c>
      <c r="S37" s="316">
        <v>5</v>
      </c>
      <c r="T37" s="316">
        <v>6</v>
      </c>
      <c r="U37" s="632"/>
      <c r="AF37" s="29"/>
      <c r="AG37" s="29"/>
      <c r="AH37" s="29"/>
      <c r="AI37" s="29"/>
      <c r="AJ37" s="29"/>
      <c r="AK37" s="29"/>
    </row>
    <row r="38" spans="1:37">
      <c r="A38" s="453">
        <v>3</v>
      </c>
      <c r="B38" s="453">
        <f>B37</f>
        <v>26</v>
      </c>
      <c r="C38" s="454"/>
      <c r="D38" s="455"/>
      <c r="E38" s="455"/>
      <c r="F38" s="456"/>
      <c r="G38" s="457"/>
      <c r="H38" s="456"/>
      <c r="I38" s="456"/>
      <c r="J38" s="316" t="str">
        <f t="shared" ca="1" si="0"/>
        <v>MAI</v>
      </c>
      <c r="K38" s="319">
        <v>0</v>
      </c>
      <c r="L38" s="313">
        <f t="shared" ca="1" si="1"/>
        <v>0</v>
      </c>
      <c r="M38" s="313">
        <f t="shared" ca="1" si="2"/>
        <v>-2.1739130434782608E-2</v>
      </c>
      <c r="N38" s="313">
        <v>2.1739130434782608E-2</v>
      </c>
      <c r="O38" s="313">
        <f t="shared" si="2"/>
        <v>3.8819875776397519E-3</v>
      </c>
      <c r="P38" s="313">
        <v>1.7857142857142856E-2</v>
      </c>
      <c r="Q38" s="316">
        <f ca="1">INDIRECT(ADDRESS( $C$34+1, A38+8,1, TRUE,"KPI1"))</f>
        <v>0</v>
      </c>
      <c r="R38" s="316">
        <v>1</v>
      </c>
      <c r="S38" s="316">
        <v>1</v>
      </c>
      <c r="T38" s="316">
        <v>0</v>
      </c>
      <c r="U38" s="632"/>
      <c r="AF38" s="29"/>
      <c r="AG38" s="29"/>
      <c r="AH38" s="29"/>
      <c r="AI38" s="29"/>
      <c r="AJ38" s="29"/>
      <c r="AK38" s="29"/>
    </row>
    <row r="39" spans="1:37">
      <c r="A39" s="453">
        <v>1</v>
      </c>
      <c r="B39" s="453">
        <f>B38</f>
        <v>26</v>
      </c>
      <c r="C39" s="454"/>
      <c r="D39" s="455"/>
      <c r="E39" s="455"/>
      <c r="F39" s="456"/>
      <c r="G39" s="457"/>
      <c r="H39" s="456"/>
      <c r="I39" s="456"/>
      <c r="J39" s="316" t="str">
        <f t="shared" ca="1" si="0"/>
        <v>--</v>
      </c>
      <c r="K39" s="319">
        <v>0</v>
      </c>
      <c r="L39" s="313">
        <f t="shared" ca="1" si="1"/>
        <v>4.3478260869565216E-2</v>
      </c>
      <c r="M39" s="313">
        <f t="shared" ca="1" si="2"/>
        <v>-4.3478260869565216E-2</v>
      </c>
      <c r="N39" s="313">
        <v>8.6956521739130432E-2</v>
      </c>
      <c r="O39" s="313">
        <f t="shared" si="2"/>
        <v>-3.8043478260869568E-2</v>
      </c>
      <c r="P39" s="313">
        <v>0.125</v>
      </c>
      <c r="Q39" s="316">
        <f ca="1">INDIRECT(ADDRESS( $C$34+1, A39+8,1, TRUE,"KPI1"))</f>
        <v>2</v>
      </c>
      <c r="R39" s="316">
        <v>4</v>
      </c>
      <c r="S39" s="316">
        <v>7</v>
      </c>
      <c r="T39" s="316">
        <v>6</v>
      </c>
      <c r="U39" s="632"/>
      <c r="AF39" s="29"/>
      <c r="AG39" s="29"/>
      <c r="AH39" s="29"/>
      <c r="AI39" s="29"/>
      <c r="AJ39" s="29"/>
      <c r="AK39" s="29"/>
    </row>
    <row r="40" spans="1:37">
      <c r="A40" s="453"/>
      <c r="B40" s="453"/>
      <c r="C40" s="454"/>
      <c r="D40" s="455"/>
      <c r="E40" s="455"/>
      <c r="F40" s="456"/>
      <c r="G40" s="457"/>
      <c r="H40" s="456"/>
      <c r="I40" s="456"/>
      <c r="J40" s="314" t="s">
        <v>391</v>
      </c>
      <c r="K40" s="315"/>
      <c r="L40" s="313">
        <f ca="1">SUM(L34:L39)</f>
        <v>0.99999999999999989</v>
      </c>
      <c r="M40" s="313"/>
      <c r="N40" s="313">
        <v>1</v>
      </c>
      <c r="O40" s="313"/>
      <c r="P40" s="313">
        <v>1</v>
      </c>
      <c r="Q40" s="315">
        <f ca="1">SUM(Q34:Q39)</f>
        <v>46</v>
      </c>
      <c r="R40" s="447">
        <v>46</v>
      </c>
      <c r="S40" s="447">
        <v>56</v>
      </c>
      <c r="T40" s="447">
        <v>61</v>
      </c>
      <c r="U40" s="463"/>
      <c r="AF40" s="29"/>
      <c r="AG40" s="29"/>
      <c r="AH40" s="29"/>
      <c r="AI40" s="29"/>
      <c r="AJ40" s="29"/>
      <c r="AK40" s="29"/>
    </row>
    <row r="41" spans="1:37">
      <c r="A41" s="453"/>
      <c r="B41" s="453"/>
      <c r="C41" s="454"/>
      <c r="D41" s="455"/>
      <c r="E41" s="455"/>
      <c r="F41" s="456"/>
      <c r="G41" s="457"/>
      <c r="H41" s="456"/>
      <c r="I41" s="456"/>
      <c r="J41" s="314"/>
      <c r="K41" s="315"/>
      <c r="L41" s="313"/>
      <c r="M41" s="313"/>
      <c r="N41" s="313"/>
      <c r="O41" s="313"/>
      <c r="P41" s="313"/>
      <c r="Q41" s="315"/>
      <c r="R41" s="447"/>
      <c r="S41" s="447"/>
      <c r="T41" s="316"/>
      <c r="U41" s="463"/>
      <c r="AF41" s="29"/>
      <c r="AG41" s="29"/>
      <c r="AH41" s="29"/>
      <c r="AI41" s="29"/>
      <c r="AJ41" s="29"/>
      <c r="AK41" s="29"/>
    </row>
    <row r="42" spans="1:37">
      <c r="A42" s="453">
        <v>3</v>
      </c>
      <c r="B42" s="453">
        <f>B39+2</f>
        <v>28</v>
      </c>
      <c r="C42" s="454">
        <f>C34+2</f>
        <v>23</v>
      </c>
      <c r="D42" s="455">
        <f ca="1">INDIRECT(ADDRESS( C42, 2,1, TRUE,"KPI1"))</f>
        <v>13</v>
      </c>
      <c r="E42" s="455" t="str">
        <f ca="1">INDIRECT(ADDRESS( C42, 3,1, TRUE,"KPI1"))</f>
        <v>KPI 1.6</v>
      </c>
      <c r="F42" s="464">
        <f ca="1">'Quesiti x SI'!I52</f>
        <v>6.9565217391304346</v>
      </c>
      <c r="G42" s="422">
        <f>'Risultati 2009'!$I$52</f>
        <v>5.8695652173913047</v>
      </c>
      <c r="H42" s="422">
        <f>'Risultati 2008'!$I$62</f>
        <v>5.7142857142857144</v>
      </c>
      <c r="I42" s="422">
        <f>'Risultati 2007'!$I$67</f>
        <v>5.081967213114754</v>
      </c>
      <c r="J42" s="316" t="str">
        <f ca="1">INDIRECT(ADDRESS( A42, B$42,1, TRUE,"Dati"))</f>
        <v>SI</v>
      </c>
      <c r="K42" s="319">
        <f ca="1">INDIRECT(ADDRESS( A42, B$42+1,1, TRUE,"Dati"))</f>
        <v>10</v>
      </c>
      <c r="L42" s="313">
        <f ca="1">Q42/Q$40</f>
        <v>0.69565217391304346</v>
      </c>
      <c r="M42" s="313">
        <f ca="1">L42-N42</f>
        <v>0.10869565217391297</v>
      </c>
      <c r="N42" s="313">
        <v>0.58695652173913049</v>
      </c>
      <c r="O42" s="313">
        <f>N42-P42</f>
        <v>1.5527950310559091E-2</v>
      </c>
      <c r="P42" s="313">
        <v>0.5714285714285714</v>
      </c>
      <c r="Q42" s="316">
        <f ca="1">INDIRECT(ADDRESS( $C$42+1, A42+8,1, TRUE,"KPI1"))</f>
        <v>32</v>
      </c>
      <c r="R42" s="316">
        <v>27</v>
      </c>
      <c r="S42" s="316">
        <v>32</v>
      </c>
      <c r="T42" s="316">
        <v>31</v>
      </c>
      <c r="U42" s="631" t="str">
        <f ca="1">INDIRECT(ADDRESS( C42, 4,1, TRUE,"KPI1"))</f>
        <v xml:space="preserve">Esiste un sistema centralizzato di software distribution per l'aggiornamento automatico delle postazioni di lavoro ? </v>
      </c>
      <c r="AF42" s="29"/>
      <c r="AG42" s="29"/>
      <c r="AH42" s="29"/>
      <c r="AI42" s="29"/>
      <c r="AJ42" s="29"/>
      <c r="AK42" s="29"/>
    </row>
    <row r="43" spans="1:37">
      <c r="A43" s="453">
        <v>2</v>
      </c>
      <c r="B43" s="453"/>
      <c r="C43" s="454"/>
      <c r="D43" s="455"/>
      <c r="E43" s="455"/>
      <c r="F43" s="714">
        <f ca="1">(F42-G42)/G42</f>
        <v>0.18518518518518509</v>
      </c>
      <c r="G43" s="714">
        <f>(G42-H42)/H42</f>
        <v>2.7173913043478291E-2</v>
      </c>
      <c r="H43" s="714">
        <f>(H42-I42)/I42</f>
        <v>0.12442396313364061</v>
      </c>
      <c r="I43" s="456"/>
      <c r="J43" s="316" t="str">
        <f ca="1">INDIRECT(ADDRESS( A43, B$42,1, TRUE,"Dati"))</f>
        <v>NO</v>
      </c>
      <c r="K43" s="319">
        <f ca="1">INDIRECT(ADDRESS( A43, B$42+1,1, TRUE,"Dati"))</f>
        <v>0</v>
      </c>
      <c r="L43" s="313">
        <f ca="1">Q43/Q$40</f>
        <v>0.2608695652173913</v>
      </c>
      <c r="M43" s="313">
        <f ca="1">L43-N43</f>
        <v>-6.5217391304347838E-2</v>
      </c>
      <c r="N43" s="313">
        <v>0.32608695652173914</v>
      </c>
      <c r="O43" s="313">
        <f>N43-P43</f>
        <v>2.2515527950310588E-2</v>
      </c>
      <c r="P43" s="313">
        <v>0.30357142857142855</v>
      </c>
      <c r="Q43" s="316">
        <f ca="1">INDIRECT(ADDRESS( $C$42+1, A43+8,1, TRUE,"KPI1"))</f>
        <v>12</v>
      </c>
      <c r="R43" s="316">
        <v>15</v>
      </c>
      <c r="S43" s="316">
        <v>17</v>
      </c>
      <c r="T43" s="316">
        <v>22</v>
      </c>
      <c r="U43" s="632"/>
      <c r="AF43" s="29"/>
      <c r="AG43" s="29"/>
      <c r="AH43" s="29"/>
      <c r="AI43" s="29"/>
      <c r="AJ43" s="29"/>
      <c r="AK43" s="29"/>
    </row>
    <row r="44" spans="1:37">
      <c r="A44" s="453">
        <v>1</v>
      </c>
      <c r="B44" s="453"/>
      <c r="C44" s="454"/>
      <c r="D44" s="455"/>
      <c r="E44" s="455"/>
      <c r="F44" s="456"/>
      <c r="G44" s="457"/>
      <c r="H44" s="456"/>
      <c r="I44" s="456"/>
      <c r="J44" s="316" t="str">
        <f ca="1">INDIRECT(ADDRESS( A44, B$42,1, TRUE,"Dati"))</f>
        <v>--</v>
      </c>
      <c r="K44" s="319">
        <f ca="1">INDIRECT(ADDRESS( A44, B$42+1,1, TRUE,"Dati"))</f>
        <v>0</v>
      </c>
      <c r="L44" s="313">
        <f ca="1">Q44/Q$40</f>
        <v>4.3478260869565216E-2</v>
      </c>
      <c r="M44" s="313">
        <f ca="1">L44-N44</f>
        <v>-4.3478260869565216E-2</v>
      </c>
      <c r="N44" s="313">
        <v>8.6956521739130432E-2</v>
      </c>
      <c r="O44" s="313">
        <f>N44-P44</f>
        <v>-3.8043478260869568E-2</v>
      </c>
      <c r="P44" s="313">
        <v>0.125</v>
      </c>
      <c r="Q44" s="316">
        <f ca="1">INDIRECT(ADDRESS( $C$42+1, A44+8,1, TRUE,"KPI1"))</f>
        <v>2</v>
      </c>
      <c r="R44" s="316">
        <v>4</v>
      </c>
      <c r="S44" s="316">
        <v>7</v>
      </c>
      <c r="T44" s="316">
        <v>8</v>
      </c>
      <c r="U44" s="632"/>
      <c r="AF44" s="29"/>
      <c r="AG44" s="29"/>
      <c r="AH44" s="29"/>
      <c r="AI44" s="29"/>
      <c r="AJ44" s="29"/>
      <c r="AK44" s="29"/>
    </row>
    <row r="45" spans="1:37">
      <c r="A45" s="453"/>
      <c r="B45" s="453"/>
      <c r="C45" s="454"/>
      <c r="D45" s="455"/>
      <c r="E45" s="455"/>
      <c r="F45" s="456"/>
      <c r="G45" s="457"/>
      <c r="H45" s="456"/>
      <c r="I45" s="456"/>
      <c r="J45" s="314" t="s">
        <v>391</v>
      </c>
      <c r="K45" s="315"/>
      <c r="L45" s="313">
        <f ca="1">SUM(L42:L44)</f>
        <v>1</v>
      </c>
      <c r="M45" s="313"/>
      <c r="N45" s="313">
        <v>1</v>
      </c>
      <c r="O45" s="313"/>
      <c r="P45" s="313">
        <v>1</v>
      </c>
      <c r="Q45" s="315">
        <f ca="1">SUM(Q42:Q44)</f>
        <v>46</v>
      </c>
      <c r="R45" s="447">
        <v>46</v>
      </c>
      <c r="S45" s="447">
        <v>56</v>
      </c>
      <c r="T45" s="447">
        <v>61</v>
      </c>
      <c r="U45" s="463"/>
      <c r="AF45" s="29"/>
      <c r="AG45" s="29"/>
      <c r="AH45" s="29"/>
      <c r="AI45" s="29"/>
      <c r="AJ45" s="29"/>
      <c r="AK45" s="29"/>
    </row>
    <row r="46" spans="1:37">
      <c r="A46" s="453"/>
      <c r="B46" s="453"/>
      <c r="C46" s="454"/>
      <c r="D46" s="455"/>
      <c r="E46" s="455"/>
      <c r="F46" s="456"/>
      <c r="G46" s="457"/>
      <c r="H46" s="456"/>
      <c r="I46" s="456"/>
      <c r="J46" s="314"/>
      <c r="K46" s="315"/>
      <c r="L46" s="313"/>
      <c r="M46" s="313"/>
      <c r="N46" s="313"/>
      <c r="O46" s="313"/>
      <c r="P46" s="313"/>
      <c r="Q46" s="315"/>
      <c r="R46" s="447"/>
      <c r="S46" s="447"/>
      <c r="T46" s="316"/>
      <c r="U46" s="463"/>
      <c r="AF46" s="29"/>
      <c r="AG46" s="29"/>
      <c r="AH46" s="29"/>
      <c r="AI46" s="29"/>
      <c r="AJ46" s="29"/>
      <c r="AK46" s="29"/>
    </row>
    <row r="47" spans="1:37" ht="20">
      <c r="A47" s="453">
        <v>1</v>
      </c>
      <c r="B47" s="453">
        <f>B42+2</f>
        <v>30</v>
      </c>
      <c r="C47" s="453">
        <f>C42+2</f>
        <v>25</v>
      </c>
      <c r="D47" s="455">
        <f ca="1">INDIRECT(ADDRESS( C47, 2,1, TRUE,"KPI1"))</f>
        <v>14</v>
      </c>
      <c r="E47" s="455" t="str">
        <f ca="1">INDIRECT(ADDRESS( C47, 3,1, TRUE,"KPI1"))</f>
        <v>KPI 1.7</v>
      </c>
      <c r="F47" s="464">
        <f ca="1">'Quesiti x SI'!J52</f>
        <v>4.9565217391304346</v>
      </c>
      <c r="G47" s="713">
        <f>'Risultati 2009'!$J$52</f>
        <v>4.5217391304347823</v>
      </c>
      <c r="H47" s="713">
        <f>'Risultati 2008'!$J$62</f>
        <v>4.1785714285714288</v>
      </c>
      <c r="I47" s="713">
        <f>'Risultati 2007'!$J$67</f>
        <v>4.557377049180328</v>
      </c>
      <c r="J47" s="317" t="str">
        <f ca="1">INDIRECT(ADDRESS( A47, B$47,1, TRUE,"Dati"))</f>
        <v>Esistono postazioni mobili o supporti dati rimuovibili con sistemi di prevenzione degli accessi</v>
      </c>
      <c r="K47" s="319">
        <f ca="1">INDIRECT(ADDRESS( A47, B$47+1,1, TRUE,"Dati"))</f>
        <v>10</v>
      </c>
      <c r="L47" s="313">
        <f ca="1">Q47/Q$51</f>
        <v>0.39130434782608697</v>
      </c>
      <c r="M47" s="313">
        <f ca="1">L47-N47</f>
        <v>4.3478260869565244E-2</v>
      </c>
      <c r="N47" s="313">
        <v>0.34782608695652173</v>
      </c>
      <c r="O47" s="313">
        <f>N47-P47</f>
        <v>2.6397515527950277E-2</v>
      </c>
      <c r="P47" s="313">
        <v>0.32142857142857145</v>
      </c>
      <c r="Q47" s="316">
        <f ca="1">INDIRECT(ADDRESS( $C$47+1, A47+8,1, TRUE,"KPI1"))</f>
        <v>18</v>
      </c>
      <c r="R47" s="316">
        <v>16</v>
      </c>
      <c r="S47" s="316">
        <v>18</v>
      </c>
      <c r="T47" s="316">
        <v>20</v>
      </c>
      <c r="U47" s="631" t="str">
        <f ca="1">INDIRECT(ADDRESS( C47, 4,1, TRUE,"KPI1"))</f>
        <v>Se esistono postazioni mobili o supporti dati che vengono trasportati oltre i confini del luogo di lavoro dell'amministrazione, vengono adottati sistemi software per impedire l'accesso ai dati da parte di persone non autorizzate?</v>
      </c>
      <c r="AF47" s="29"/>
      <c r="AG47" s="29"/>
      <c r="AH47" s="29"/>
      <c r="AI47" s="29"/>
      <c r="AJ47" s="29"/>
      <c r="AK47" s="29"/>
    </row>
    <row r="48" spans="1:37" ht="23" customHeight="1">
      <c r="A48" s="453">
        <v>2</v>
      </c>
      <c r="B48" s="453"/>
      <c r="C48" s="454"/>
      <c r="D48" s="455"/>
      <c r="E48" s="455"/>
      <c r="F48" s="714">
        <f ca="1">(F47-G47)/G47</f>
        <v>9.6153846153846201E-2</v>
      </c>
      <c r="G48" s="714">
        <f>(G47-H47)/H47</f>
        <v>8.2125603864734151E-2</v>
      </c>
      <c r="H48" s="714">
        <f>(H47-I47)/I47</f>
        <v>-8.3119218910585796E-2</v>
      </c>
      <c r="I48" s="456"/>
      <c r="J48" s="317" t="str">
        <f ca="1">INDIRECT(ADDRESS( A48, B$47,1, TRUE,"Dati"))</f>
        <v>Esistono postazioni mobili o supporti dati rimuovibili senza sistemi di prevenzione degli accessi</v>
      </c>
      <c r="K48" s="319">
        <f ca="1">INDIRECT(ADDRESS( A48, B$47+1,1, TRUE,"Dati"))</f>
        <v>0</v>
      </c>
      <c r="L48" s="313">
        <f ca="1">Q48/Q$51</f>
        <v>0.28260869565217389</v>
      </c>
      <c r="M48" s="313">
        <f ca="1">L48-N48</f>
        <v>6.521739130434781E-2</v>
      </c>
      <c r="N48" s="313">
        <v>0.21739130434782608</v>
      </c>
      <c r="O48" s="313">
        <f>N48-P48</f>
        <v>-6.8322981366459618E-2</v>
      </c>
      <c r="P48" s="313">
        <v>0.2857142857142857</v>
      </c>
      <c r="Q48" s="316">
        <f ca="1">INDIRECT(ADDRESS( $C$47+1, A48+8,1, TRUE,"KPI1"))</f>
        <v>13</v>
      </c>
      <c r="R48" s="316">
        <v>10</v>
      </c>
      <c r="S48" s="316">
        <v>16</v>
      </c>
      <c r="T48" s="316">
        <v>13</v>
      </c>
      <c r="U48" s="632"/>
      <c r="AF48" s="29"/>
      <c r="AG48" s="29"/>
      <c r="AH48" s="29"/>
      <c r="AI48" s="29"/>
      <c r="AJ48" s="29"/>
      <c r="AK48" s="29"/>
    </row>
    <row r="49" spans="1:37" ht="17" customHeight="1">
      <c r="A49" s="453">
        <v>4</v>
      </c>
      <c r="B49" s="453"/>
      <c r="C49" s="454"/>
      <c r="D49" s="455"/>
      <c r="E49" s="455"/>
      <c r="F49" s="456"/>
      <c r="G49" s="457"/>
      <c r="H49" s="456"/>
      <c r="I49" s="456"/>
      <c r="J49" s="317" t="str">
        <f ca="1">INDIRECT(ADDRESS( A49, B$47,1, TRUE,"Dati"))</f>
        <v>Non esistono postazioni mobili o impiego di supporti dati rimuovibili</v>
      </c>
      <c r="K49" s="319">
        <f ca="1">INDIRECT(ADDRESS( A49, B$47+1,1, TRUE,"Dati"))</f>
        <v>6</v>
      </c>
      <c r="L49" s="313">
        <f ca="1">Q49/Q$51</f>
        <v>0.17391304347826086</v>
      </c>
      <c r="M49" s="313">
        <f ca="1">L49-N49</f>
        <v>0</v>
      </c>
      <c r="N49" s="313">
        <v>0.17391304347826086</v>
      </c>
      <c r="O49" s="313">
        <f>N49-P49</f>
        <v>1.3198757763975139E-2</v>
      </c>
      <c r="P49" s="313">
        <v>0.16071428571428573</v>
      </c>
      <c r="Q49" s="316">
        <f ca="1">INDIRECT(ADDRESS( $C$47+1, A49+8,1, TRUE,"KPI1"))</f>
        <v>8</v>
      </c>
      <c r="R49" s="316">
        <v>8</v>
      </c>
      <c r="S49" s="316">
        <v>9</v>
      </c>
      <c r="T49" s="316">
        <v>13</v>
      </c>
      <c r="U49" s="632"/>
      <c r="AF49" s="29"/>
      <c r="AG49" s="29"/>
      <c r="AH49" s="29"/>
      <c r="AI49" s="29"/>
      <c r="AJ49" s="29"/>
      <c r="AK49" s="29"/>
    </row>
    <row r="50" spans="1:37">
      <c r="A50" s="453">
        <v>3</v>
      </c>
      <c r="B50" s="453"/>
      <c r="C50" s="454"/>
      <c r="D50" s="455"/>
      <c r="E50" s="455"/>
      <c r="F50" s="456"/>
      <c r="G50" s="457"/>
      <c r="H50" s="456"/>
      <c r="I50" s="456"/>
      <c r="J50" s="317" t="str">
        <f ca="1">INDIRECT(ADDRESS( A50, B$47,1, TRUE,"Dati"))</f>
        <v>N.R.</v>
      </c>
      <c r="K50" s="319">
        <f ca="1">INDIRECT(ADDRESS( A50, B$47+1,1, TRUE,"Dati"))</f>
        <v>0</v>
      </c>
      <c r="L50" s="313">
        <f ca="1">Q50/Q$51</f>
        <v>0.15217391304347827</v>
      </c>
      <c r="M50" s="313">
        <f ca="1">L50-N50</f>
        <v>-0.10869565217391303</v>
      </c>
      <c r="N50" s="313">
        <v>0.2608695652173913</v>
      </c>
      <c r="O50" s="313">
        <f>N50-P50</f>
        <v>2.8726708074534146E-2</v>
      </c>
      <c r="P50" s="313">
        <v>0.23214285714285715</v>
      </c>
      <c r="Q50" s="316">
        <f ca="1">INDIRECT(ADDRESS( $C$47+1, A50+8,1, TRUE,"KPI1"))</f>
        <v>7</v>
      </c>
      <c r="R50" s="316">
        <v>12</v>
      </c>
      <c r="S50" s="316">
        <v>13</v>
      </c>
      <c r="T50" s="316">
        <v>15</v>
      </c>
      <c r="U50" s="632"/>
      <c r="AF50" s="29"/>
      <c r="AG50" s="29"/>
      <c r="AH50" s="29"/>
      <c r="AI50" s="29"/>
      <c r="AJ50" s="29"/>
      <c r="AK50" s="29"/>
    </row>
    <row r="51" spans="1:37">
      <c r="A51" s="453"/>
      <c r="B51" s="453"/>
      <c r="C51" s="454"/>
      <c r="D51" s="455"/>
      <c r="E51" s="455"/>
      <c r="F51" s="456"/>
      <c r="G51" s="457"/>
      <c r="H51" s="456"/>
      <c r="I51" s="456"/>
      <c r="J51" s="314" t="s">
        <v>391</v>
      </c>
      <c r="K51" s="315"/>
      <c r="L51" s="313">
        <f ca="1">SUM(L47:L50)</f>
        <v>1</v>
      </c>
      <c r="M51" s="313"/>
      <c r="N51" s="313">
        <v>1</v>
      </c>
      <c r="O51" s="313"/>
      <c r="P51" s="313">
        <v>1</v>
      </c>
      <c r="Q51" s="315">
        <f ca="1">SUM(Q47:Q50)</f>
        <v>46</v>
      </c>
      <c r="R51" s="447">
        <v>46</v>
      </c>
      <c r="S51" s="447">
        <v>56</v>
      </c>
      <c r="T51" s="447">
        <v>61</v>
      </c>
      <c r="U51" s="463"/>
      <c r="AF51" s="29"/>
      <c r="AG51" s="29"/>
      <c r="AH51" s="29"/>
      <c r="AI51" s="29"/>
      <c r="AJ51" s="29"/>
      <c r="AK51" s="29"/>
    </row>
    <row r="52" spans="1:37">
      <c r="A52" s="453"/>
      <c r="B52" s="453"/>
      <c r="C52" s="454"/>
      <c r="D52" s="455"/>
      <c r="E52" s="455"/>
      <c r="F52" s="456"/>
      <c r="G52" s="457"/>
      <c r="H52" s="456"/>
      <c r="I52" s="456"/>
      <c r="J52" s="318"/>
      <c r="K52" s="315"/>
      <c r="L52" s="313"/>
      <c r="M52" s="313"/>
      <c r="N52" s="313"/>
      <c r="O52" s="313"/>
      <c r="P52" s="313"/>
      <c r="Q52" s="316"/>
      <c r="R52" s="316"/>
      <c r="S52" s="316"/>
      <c r="T52" s="316"/>
      <c r="U52" s="463"/>
      <c r="AF52" s="29"/>
      <c r="AG52" s="29"/>
      <c r="AH52" s="29"/>
      <c r="AI52" s="29"/>
      <c r="AJ52" s="29"/>
      <c r="AK52" s="29"/>
    </row>
    <row r="53" spans="1:37" ht="12.75" customHeight="1">
      <c r="A53" s="453">
        <v>3</v>
      </c>
      <c r="B53" s="453">
        <f>B47+2</f>
        <v>32</v>
      </c>
      <c r="C53" s="453">
        <f>C47+2</f>
        <v>27</v>
      </c>
      <c r="D53" s="455">
        <f ca="1">INDIRECT(ADDRESS( C53, 2,1, TRUE,"KPI1"))</f>
        <v>15</v>
      </c>
      <c r="E53" s="455" t="str">
        <f ca="1">INDIRECT(ADDRESS( C53, 3,1, TRUE,"KPI1"))</f>
        <v>KPI 1.8</v>
      </c>
      <c r="F53" s="464">
        <f ca="1">'Quesiti x SI'!K52</f>
        <v>8.9565217391304355</v>
      </c>
      <c r="G53" s="713">
        <f>'Risultati 2009'!$K$52</f>
        <v>8.0434782608695645</v>
      </c>
      <c r="H53" s="713">
        <f>'Risultati 2008'!$K$62</f>
        <v>7.6428571428571432</v>
      </c>
      <c r="I53" s="713">
        <f>'Risultati 2007'!$K$67</f>
        <v>7.7704918032786887</v>
      </c>
      <c r="J53" s="316" t="str">
        <f ca="1">INDIRECT(ADDRESS( A53, B$53,1, TRUE,"Dati"))</f>
        <v>SI</v>
      </c>
      <c r="K53" s="319">
        <f ca="1">INDIRECT(ADDRESS( A53, B$53+1,1, TRUE,"Dati"))</f>
        <v>6</v>
      </c>
      <c r="L53" s="313">
        <f ca="1">Q53/Q$56</f>
        <v>0.95652173913043481</v>
      </c>
      <c r="M53" s="313">
        <f ca="1">L53-N53</f>
        <v>0.10869565217391308</v>
      </c>
      <c r="N53" s="313">
        <v>0.84782608695652173</v>
      </c>
      <c r="O53" s="313">
        <f>N53-P53</f>
        <v>2.6397515527950333E-2</v>
      </c>
      <c r="P53" s="313">
        <v>0.8214285714285714</v>
      </c>
      <c r="Q53" s="316">
        <f ca="1">INDIRECT(ADDRESS( $C$53+1, A53+8,1, TRUE,"KPI1"))</f>
        <v>44</v>
      </c>
      <c r="R53" s="316">
        <v>39</v>
      </c>
      <c r="S53" s="316">
        <v>46</v>
      </c>
      <c r="T53" s="316">
        <v>53</v>
      </c>
      <c r="U53" s="631" t="str">
        <f ca="1">INDIRECT(ADDRESS( C53, 4,1, TRUE,"KPI1"))</f>
        <v xml:space="preserve">Sono state definite ed adottate tecnologie e procedure per il backup centralizzato ? </v>
      </c>
      <c r="AF53" s="29"/>
      <c r="AG53" s="29"/>
      <c r="AH53" s="29"/>
      <c r="AI53" s="29"/>
      <c r="AJ53" s="29"/>
      <c r="AK53" s="29"/>
    </row>
    <row r="54" spans="1:37" ht="12.75" customHeight="1">
      <c r="A54" s="453">
        <v>2</v>
      </c>
      <c r="B54" s="453"/>
      <c r="C54" s="454"/>
      <c r="D54" s="455"/>
      <c r="E54" s="455"/>
      <c r="F54" s="714">
        <f ca="1">(F53-G53)/G53</f>
        <v>0.1135135135135137</v>
      </c>
      <c r="G54" s="714">
        <f>(G53-H53)/H53</f>
        <v>5.2417716375456988E-2</v>
      </c>
      <c r="H54" s="714">
        <f>(H53-I53)/I53</f>
        <v>-1.6425557564798045E-2</v>
      </c>
      <c r="I54" s="456"/>
      <c r="J54" s="316" t="str">
        <f ca="1">INDIRECT(ADDRESS( A54, B$53,1, TRUE,"Dati"))</f>
        <v>NO</v>
      </c>
      <c r="K54" s="319">
        <f ca="1">INDIRECT(ADDRESS( A54, B$53+1,1, TRUE,"Dati"))</f>
        <v>0</v>
      </c>
      <c r="L54" s="313">
        <f ca="1">Q54/Q$56</f>
        <v>2.1739130434782608E-2</v>
      </c>
      <c r="M54" s="313">
        <f ca="1">L54-N54</f>
        <v>-4.3478260869565216E-2</v>
      </c>
      <c r="N54" s="313">
        <v>6.5217391304347824E-2</v>
      </c>
      <c r="O54" s="313">
        <f>N54-P54</f>
        <v>1.1645962732919256E-2</v>
      </c>
      <c r="P54" s="313">
        <v>5.3571428571428568E-2</v>
      </c>
      <c r="Q54" s="316">
        <f ca="1">INDIRECT(ADDRESS( $C$53+1, A54+8,1, TRUE,"KPI1"))</f>
        <v>1</v>
      </c>
      <c r="R54" s="316">
        <v>3</v>
      </c>
      <c r="S54" s="316">
        <v>3</v>
      </c>
      <c r="T54" s="316">
        <v>2</v>
      </c>
      <c r="U54" s="632"/>
      <c r="AF54" s="29"/>
      <c r="AG54" s="29"/>
      <c r="AH54" s="29"/>
      <c r="AI54" s="29"/>
      <c r="AJ54" s="29"/>
      <c r="AK54" s="29"/>
    </row>
    <row r="55" spans="1:37" ht="12.75" customHeight="1">
      <c r="A55" s="453">
        <v>1</v>
      </c>
      <c r="B55" s="453"/>
      <c r="C55" s="454"/>
      <c r="D55" s="455"/>
      <c r="E55" s="455"/>
      <c r="F55" s="456"/>
      <c r="G55" s="457"/>
      <c r="H55" s="456"/>
      <c r="I55" s="456"/>
      <c r="J55" s="316" t="str">
        <f ca="1">INDIRECT(ADDRESS( A55, B$53,1, TRUE,"Dati"))</f>
        <v>--</v>
      </c>
      <c r="K55" s="319">
        <f ca="1">INDIRECT(ADDRESS( A55, B$53+1,1, TRUE,"Dati"))</f>
        <v>0</v>
      </c>
      <c r="L55" s="313">
        <f ca="1">Q55/Q$56</f>
        <v>2.1739130434782608E-2</v>
      </c>
      <c r="M55" s="313">
        <f ca="1">L55-N55</f>
        <v>-6.5217391304347824E-2</v>
      </c>
      <c r="N55" s="313">
        <v>8.6956521739130432E-2</v>
      </c>
      <c r="O55" s="313">
        <f>N55-P55</f>
        <v>-3.8043478260869568E-2</v>
      </c>
      <c r="P55" s="313">
        <v>0.125</v>
      </c>
      <c r="Q55" s="316">
        <f ca="1">INDIRECT(ADDRESS( $C$53+1, A55+8,1, TRUE,"KPI1"))</f>
        <v>1</v>
      </c>
      <c r="R55" s="316">
        <v>4</v>
      </c>
      <c r="S55" s="316">
        <v>7</v>
      </c>
      <c r="T55" s="316">
        <v>6</v>
      </c>
      <c r="U55" s="632"/>
      <c r="AF55" s="29"/>
      <c r="AG55" s="29"/>
      <c r="AH55" s="29"/>
      <c r="AI55" s="29"/>
      <c r="AJ55" s="29"/>
      <c r="AK55" s="29"/>
    </row>
    <row r="56" spans="1:37" ht="12.75" customHeight="1">
      <c r="A56" s="453"/>
      <c r="B56" s="453"/>
      <c r="C56" s="454"/>
      <c r="D56" s="455"/>
      <c r="E56" s="455"/>
      <c r="F56" s="456"/>
      <c r="G56" s="457"/>
      <c r="H56" s="456"/>
      <c r="I56" s="456"/>
      <c r="J56" s="314" t="s">
        <v>391</v>
      </c>
      <c r="K56" s="315"/>
      <c r="L56" s="313">
        <f ca="1">SUM(L53:L55)</f>
        <v>1</v>
      </c>
      <c r="M56" s="313"/>
      <c r="N56" s="313">
        <v>1</v>
      </c>
      <c r="O56" s="313"/>
      <c r="P56" s="313">
        <v>1</v>
      </c>
      <c r="Q56" s="315">
        <f ca="1">SUM(Q53:Q55)</f>
        <v>46</v>
      </c>
      <c r="R56" s="447">
        <v>46</v>
      </c>
      <c r="S56" s="447">
        <v>56</v>
      </c>
      <c r="T56" s="447">
        <v>61</v>
      </c>
      <c r="U56" s="463"/>
      <c r="AF56" s="29"/>
      <c r="AG56" s="29"/>
      <c r="AH56" s="29"/>
      <c r="AI56" s="29"/>
      <c r="AJ56" s="29"/>
      <c r="AK56" s="29"/>
    </row>
    <row r="57" spans="1:37" ht="12.75" customHeight="1">
      <c r="A57" s="453">
        <v>3</v>
      </c>
      <c r="B57" s="453">
        <f>B53+2</f>
        <v>34</v>
      </c>
      <c r="C57" s="453">
        <f>C53+2</f>
        <v>29</v>
      </c>
      <c r="D57" s="455">
        <f ca="1">INDIRECT(ADDRESS( C57, 2,1, TRUE,"KPI1"))</f>
        <v>16</v>
      </c>
      <c r="E57" s="455" t="str">
        <f ca="1">INDIRECT(ADDRESS( C57, 3,1, TRUE,"KPI1"))</f>
        <v>KPI 1.8a</v>
      </c>
      <c r="F57" s="464"/>
      <c r="G57" s="466"/>
      <c r="H57" s="464"/>
      <c r="I57" s="464"/>
      <c r="J57" s="316" t="str">
        <f ca="1">INDIRECT(ADDRESS( A57, B$57,1, TRUE,"Dati"))</f>
        <v>SI</v>
      </c>
      <c r="K57" s="319">
        <f ca="1">INDIRECT(ADDRESS( A57, B$57+1,1, TRUE,"Dati"))</f>
        <v>4</v>
      </c>
      <c r="L57" s="313">
        <f ca="1">Q57/Q$53</f>
        <v>0.84090909090909094</v>
      </c>
      <c r="M57" s="313">
        <f ca="1">L57-N57</f>
        <v>-3.0885780885780867E-2</v>
      </c>
      <c r="N57" s="313">
        <v>0.87179487179487181</v>
      </c>
      <c r="O57" s="313">
        <f>N57-P57</f>
        <v>4.5707915273132671E-2</v>
      </c>
      <c r="P57" s="313">
        <v>0.82608695652173914</v>
      </c>
      <c r="Q57" s="316">
        <f ca="1">INDIRECT(ADDRESS( $C$57+1, A57+8,1, TRUE,"KPI1"))</f>
        <v>37</v>
      </c>
      <c r="R57" s="316">
        <v>34</v>
      </c>
      <c r="S57" s="316">
        <v>38</v>
      </c>
      <c r="T57" s="316">
        <v>39</v>
      </c>
      <c r="U57" s="631" t="str">
        <f ca="1">INDIRECT(ADDRESS( C57, 4,1, TRUE,"KPI1"))</f>
        <v>Se si effettuano regolarmente backup dei sistemi, i supporti usati per il backup vengono custoditi in un locale diverso dalla sala macchine o in un armadio ignifugo?</v>
      </c>
      <c r="AF57" s="29"/>
      <c r="AG57" s="29"/>
      <c r="AH57" s="29"/>
      <c r="AI57" s="29"/>
      <c r="AJ57" s="29"/>
      <c r="AK57" s="29"/>
    </row>
    <row r="58" spans="1:37" ht="12.75" customHeight="1">
      <c r="A58" s="453">
        <v>2</v>
      </c>
      <c r="B58" s="453"/>
      <c r="C58" s="454"/>
      <c r="D58" s="455"/>
      <c r="E58" s="455"/>
      <c r="F58" s="456"/>
      <c r="G58" s="457"/>
      <c r="H58" s="456"/>
      <c r="I58" s="456"/>
      <c r="J58" s="316" t="str">
        <f ca="1">INDIRECT(ADDRESS( A58, B$57,1, TRUE,"Dati"))</f>
        <v>NO</v>
      </c>
      <c r="K58" s="319">
        <f ca="1">INDIRECT(ADDRESS( A58, B$57+1,1, TRUE,"Dati"))</f>
        <v>0</v>
      </c>
      <c r="L58" s="313">
        <f ca="1">Q58/Q$53</f>
        <v>9.0909090909090912E-2</v>
      </c>
      <c r="M58" s="313">
        <f ca="1">L58-N58</f>
        <v>1.3986013986013984E-2</v>
      </c>
      <c r="N58" s="313">
        <v>7.6923076923076927E-2</v>
      </c>
      <c r="O58" s="313">
        <f>N58-P58</f>
        <v>-5.3511705685618721E-2</v>
      </c>
      <c r="P58" s="313">
        <v>0.13043478260869565</v>
      </c>
      <c r="Q58" s="316">
        <f ca="1">INDIRECT(ADDRESS( $C$57+1, A58+8,1, TRUE,"KPI1"))</f>
        <v>4</v>
      </c>
      <c r="R58" s="316">
        <v>3</v>
      </c>
      <c r="S58" s="316">
        <v>6</v>
      </c>
      <c r="T58" s="316">
        <v>11</v>
      </c>
      <c r="U58" s="632"/>
      <c r="W58" s="39"/>
      <c r="X58" s="39"/>
      <c r="AF58" s="29"/>
      <c r="AG58" s="29"/>
      <c r="AH58" s="29"/>
      <c r="AI58" s="29"/>
      <c r="AJ58" s="29"/>
      <c r="AK58" s="29"/>
    </row>
    <row r="59" spans="1:37" ht="12.75" customHeight="1">
      <c r="A59" s="453">
        <v>1</v>
      </c>
      <c r="B59" s="453"/>
      <c r="C59" s="454"/>
      <c r="D59" s="455"/>
      <c r="E59" s="455"/>
      <c r="F59" s="456"/>
      <c r="G59" s="457"/>
      <c r="H59" s="456"/>
      <c r="I59" s="456"/>
      <c r="J59" s="316" t="str">
        <f ca="1">INDIRECT(ADDRESS( A59, B$57,1, TRUE,"Dati"))</f>
        <v>--</v>
      </c>
      <c r="K59" s="319">
        <f ca="1">INDIRECT(ADDRESS( A59, B$57+1,1, TRUE,"Dati"))</f>
        <v>0</v>
      </c>
      <c r="L59" s="313">
        <f ca="1">Q59/Q$53</f>
        <v>6.8181818181818177E-2</v>
      </c>
      <c r="M59" s="313">
        <f ca="1">L59-N59</f>
        <v>1.6899766899766896E-2</v>
      </c>
      <c r="N59" s="313">
        <v>5.128205128205128E-2</v>
      </c>
      <c r="O59" s="313">
        <f>N59-P59</f>
        <v>7.8037904124860641E-3</v>
      </c>
      <c r="P59" s="313">
        <v>4.3478260869565216E-2</v>
      </c>
      <c r="Q59" s="316">
        <f ca="1">Q53-(Q57+Q58)</f>
        <v>3</v>
      </c>
      <c r="R59" s="316">
        <v>2</v>
      </c>
      <c r="S59" s="316">
        <v>2</v>
      </c>
      <c r="T59" s="316">
        <v>3</v>
      </c>
      <c r="U59" s="632"/>
      <c r="W59" s="39"/>
      <c r="X59" s="39"/>
      <c r="AF59" s="29"/>
      <c r="AG59" s="29"/>
      <c r="AH59" s="29"/>
      <c r="AI59" s="29"/>
      <c r="AJ59" s="29"/>
      <c r="AK59" s="29"/>
    </row>
    <row r="60" spans="1:37" ht="12.75" customHeight="1">
      <c r="A60" s="453"/>
      <c r="B60" s="453"/>
      <c r="C60" s="454"/>
      <c r="D60" s="455"/>
      <c r="E60" s="455"/>
      <c r="F60" s="456"/>
      <c r="G60" s="457"/>
      <c r="H60" s="456"/>
      <c r="I60" s="456"/>
      <c r="J60" s="314" t="s">
        <v>391</v>
      </c>
      <c r="K60" s="315"/>
      <c r="L60" s="313">
        <f ca="1">SUM(L57:L59)</f>
        <v>1</v>
      </c>
      <c r="M60" s="313"/>
      <c r="N60" s="313">
        <v>1</v>
      </c>
      <c r="O60" s="313"/>
      <c r="P60" s="313">
        <v>1</v>
      </c>
      <c r="Q60" s="315">
        <f ca="1">SUM(Q57:Q59)</f>
        <v>44</v>
      </c>
      <c r="R60" s="447">
        <v>39</v>
      </c>
      <c r="S60" s="447">
        <v>46</v>
      </c>
      <c r="T60" s="447">
        <v>53</v>
      </c>
      <c r="U60" s="463"/>
      <c r="W60" s="39"/>
      <c r="X60" s="39"/>
      <c r="AF60" s="29"/>
      <c r="AG60" s="29"/>
      <c r="AH60" s="29"/>
      <c r="AI60" s="29"/>
      <c r="AJ60" s="29"/>
      <c r="AK60" s="29"/>
    </row>
    <row r="61" spans="1:37" ht="12.75" customHeight="1">
      <c r="A61" s="453"/>
      <c r="B61" s="453"/>
      <c r="C61" s="454"/>
      <c r="D61" s="455"/>
      <c r="E61" s="455"/>
      <c r="F61" s="456"/>
      <c r="G61" s="457"/>
      <c r="H61" s="456"/>
      <c r="I61" s="456"/>
      <c r="J61" s="318"/>
      <c r="K61" s="315"/>
      <c r="L61" s="313"/>
      <c r="M61" s="313"/>
      <c r="N61" s="313"/>
      <c r="O61" s="313"/>
      <c r="P61" s="313"/>
      <c r="Q61" s="316"/>
      <c r="R61" s="316"/>
      <c r="S61" s="316"/>
      <c r="T61" s="316"/>
      <c r="U61" s="463"/>
      <c r="V61" s="228"/>
      <c r="W61" s="39"/>
      <c r="X61" s="39"/>
      <c r="AF61" s="29"/>
      <c r="AG61" s="29"/>
      <c r="AH61" s="29"/>
      <c r="AI61" s="29"/>
      <c r="AJ61" s="29"/>
      <c r="AK61" s="29"/>
    </row>
    <row r="62" spans="1:37" ht="12.75" customHeight="1">
      <c r="A62" s="453">
        <v>3</v>
      </c>
      <c r="B62" s="453">
        <f>B57+2</f>
        <v>36</v>
      </c>
      <c r="C62" s="453">
        <f>C57+2</f>
        <v>31</v>
      </c>
      <c r="D62" s="455">
        <f ca="1">INDIRECT(ADDRESS( C62, 2,1, TRUE,"KPI1"))</f>
        <v>17</v>
      </c>
      <c r="E62" s="455" t="str">
        <f ca="1">INDIRECT(ADDRESS( C62, 3,1, TRUE,"KPI1"))</f>
        <v>KPI 1.9</v>
      </c>
      <c r="F62" s="464">
        <f ca="1">'Quesiti x SI'!L52</f>
        <v>8.4782608695652169</v>
      </c>
      <c r="G62" s="713">
        <f>'Risultati 2009'!$L$52</f>
        <v>8.695652173913043</v>
      </c>
      <c r="H62" s="713">
        <f>'Risultati 2008'!$L$62</f>
        <v>8.2142857142857135</v>
      </c>
      <c r="I62" s="713">
        <f>'Risultati 2007'!$L$67</f>
        <v>7.7049180327868854</v>
      </c>
      <c r="J62" s="316" t="str">
        <f ca="1">INDIRECT(ADDRESS( A62, B$62,1, TRUE,"Dati"))</f>
        <v>SI</v>
      </c>
      <c r="K62" s="319">
        <f ca="1">INDIRECT(ADDRESS( A62, B$62+1,1, TRUE,"Dati"))</f>
        <v>10</v>
      </c>
      <c r="L62" s="313">
        <f ca="1">Q62/Q$65</f>
        <v>0.84782608695652173</v>
      </c>
      <c r="M62" s="313">
        <f ca="1">L62-N62</f>
        <v>-2.1739130434782594E-2</v>
      </c>
      <c r="N62" s="313">
        <v>0.86956521739130432</v>
      </c>
      <c r="O62" s="313">
        <f>N62-P62</f>
        <v>4.8136645962732927E-2</v>
      </c>
      <c r="P62" s="313">
        <v>0.8214285714285714</v>
      </c>
      <c r="Q62" s="316">
        <f ca="1">INDIRECT(ADDRESS( $C$62+1, A62+8,1, TRUE,"KPI1"))</f>
        <v>39</v>
      </c>
      <c r="R62" s="316">
        <v>40</v>
      </c>
      <c r="S62" s="316">
        <v>46</v>
      </c>
      <c r="T62" s="316">
        <v>47</v>
      </c>
      <c r="U62" s="631" t="str">
        <f ca="1">INDIRECT(ADDRESS( C62, 4,1, TRUE,"KPI1"))</f>
        <v>Viene utilizzato un sistema di controllo accessi per disciplinare l'accesso alle risorse elaborative ?</v>
      </c>
      <c r="V62" s="228"/>
      <c r="W62" s="39"/>
      <c r="X62" s="39"/>
      <c r="AF62" s="29"/>
      <c r="AG62" s="29"/>
      <c r="AH62" s="29"/>
      <c r="AI62" s="29"/>
      <c r="AJ62" s="29"/>
      <c r="AK62" s="29"/>
    </row>
    <row r="63" spans="1:37" ht="12.75" customHeight="1">
      <c r="A63" s="453">
        <v>2</v>
      </c>
      <c r="B63" s="453"/>
      <c r="C63" s="454"/>
      <c r="D63" s="455"/>
      <c r="E63" s="455"/>
      <c r="F63" s="714">
        <f ca="1">(F62-G62)/G62</f>
        <v>-2.5000000000000012E-2</v>
      </c>
      <c r="G63" s="714">
        <f>(G62-H62)/H62</f>
        <v>5.8601134215500984E-2</v>
      </c>
      <c r="H63" s="714">
        <f>(H62-I62)/I62</f>
        <v>6.6109422492401107E-2</v>
      </c>
      <c r="I63" s="456"/>
      <c r="J63" s="316" t="str">
        <f ca="1">INDIRECT(ADDRESS( A63, B$62,1, TRUE,"Dati"))</f>
        <v>NO</v>
      </c>
      <c r="K63" s="319">
        <f ca="1">INDIRECT(ADDRESS( A63, B$62+1,1, TRUE,"Dati"))</f>
        <v>0</v>
      </c>
      <c r="L63" s="313">
        <f ca="1">Q63/Q$65</f>
        <v>0.10869565217391304</v>
      </c>
      <c r="M63" s="313">
        <f ca="1">L63-N63</f>
        <v>8.6956521739130432E-2</v>
      </c>
      <c r="N63" s="313">
        <v>2.1739130434782608E-2</v>
      </c>
      <c r="O63" s="313">
        <f>N63-P63</f>
        <v>-4.9689440993788817E-2</v>
      </c>
      <c r="P63" s="313">
        <v>7.1428571428571425E-2</v>
      </c>
      <c r="Q63" s="316">
        <f ca="1">INDIRECT(ADDRESS( $C$62+1, A63+8,1, TRUE,"KPI1"))</f>
        <v>5</v>
      </c>
      <c r="R63" s="316">
        <v>1</v>
      </c>
      <c r="S63" s="316">
        <v>4</v>
      </c>
      <c r="T63" s="316">
        <v>7</v>
      </c>
      <c r="U63" s="632"/>
      <c r="V63" s="228"/>
      <c r="W63" s="39"/>
      <c r="X63" s="39"/>
      <c r="AF63" s="29"/>
      <c r="AG63" s="29"/>
      <c r="AH63" s="29"/>
      <c r="AI63" s="29"/>
      <c r="AJ63" s="29"/>
      <c r="AK63" s="29"/>
    </row>
    <row r="64" spans="1:37" ht="12.75" customHeight="1">
      <c r="A64" s="453">
        <v>1</v>
      </c>
      <c r="B64" s="453"/>
      <c r="C64" s="454"/>
      <c r="D64" s="455"/>
      <c r="E64" s="455"/>
      <c r="F64" s="456"/>
      <c r="G64" s="457"/>
      <c r="H64" s="456"/>
      <c r="I64" s="456"/>
      <c r="J64" s="316" t="str">
        <f ca="1">INDIRECT(ADDRESS( A64, B$62,1, TRUE,"Dati"))</f>
        <v>--</v>
      </c>
      <c r="K64" s="319">
        <f ca="1">INDIRECT(ADDRESS( A64, B$62+1,1, TRUE,"Dati"))</f>
        <v>0</v>
      </c>
      <c r="L64" s="313">
        <f ca="1">Q64/Q$65</f>
        <v>4.3478260869565216E-2</v>
      </c>
      <c r="M64" s="313">
        <f ca="1">L64-N64</f>
        <v>-6.5217391304347824E-2</v>
      </c>
      <c r="N64" s="313">
        <v>0.10869565217391304</v>
      </c>
      <c r="O64" s="313">
        <f>N64-P64</f>
        <v>1.5527950310559036E-3</v>
      </c>
      <c r="P64" s="313">
        <v>0.10714285714285714</v>
      </c>
      <c r="Q64" s="316">
        <f ca="1">INDIRECT(ADDRESS( $C$62+1, A64+8,1, TRUE,"KPI1"))</f>
        <v>2</v>
      </c>
      <c r="R64" s="316">
        <v>5</v>
      </c>
      <c r="S64" s="316">
        <v>6</v>
      </c>
      <c r="T64" s="316">
        <v>7</v>
      </c>
      <c r="U64" s="632"/>
      <c r="V64" s="229"/>
      <c r="W64" s="39"/>
      <c r="X64" s="39"/>
      <c r="AF64" s="29"/>
      <c r="AG64" s="29"/>
      <c r="AH64" s="29"/>
      <c r="AI64" s="29"/>
      <c r="AJ64" s="29"/>
      <c r="AK64" s="29"/>
    </row>
    <row r="65" spans="1:37" ht="12.75" customHeight="1">
      <c r="A65" s="453"/>
      <c r="B65" s="453"/>
      <c r="C65" s="454"/>
      <c r="D65" s="455"/>
      <c r="E65" s="455"/>
      <c r="F65" s="456"/>
      <c r="G65" s="457"/>
      <c r="H65" s="456"/>
      <c r="I65" s="456"/>
      <c r="J65" s="314" t="s">
        <v>391</v>
      </c>
      <c r="K65" s="315"/>
      <c r="L65" s="313">
        <f ca="1">SUM(L62:L64)</f>
        <v>1</v>
      </c>
      <c r="M65" s="313"/>
      <c r="N65" s="313">
        <v>1</v>
      </c>
      <c r="O65" s="313"/>
      <c r="P65" s="313">
        <v>0.99999999999999989</v>
      </c>
      <c r="Q65" s="315">
        <f ca="1">SUM(Q62:Q64)</f>
        <v>46</v>
      </c>
      <c r="R65" s="447">
        <v>46</v>
      </c>
      <c r="S65" s="447">
        <v>56</v>
      </c>
      <c r="T65" s="447">
        <v>61</v>
      </c>
      <c r="U65" s="463"/>
      <c r="W65" s="39"/>
      <c r="X65" s="39"/>
      <c r="AF65" s="29"/>
      <c r="AG65" s="29"/>
      <c r="AH65" s="29"/>
      <c r="AI65" s="29"/>
      <c r="AJ65" s="29"/>
      <c r="AK65" s="29"/>
    </row>
    <row r="66" spans="1:37" ht="12.75" customHeight="1">
      <c r="A66" s="453"/>
      <c r="B66" s="453"/>
      <c r="C66" s="454"/>
      <c r="D66" s="455"/>
      <c r="E66" s="455"/>
      <c r="F66" s="456"/>
      <c r="G66" s="457"/>
      <c r="H66" s="456"/>
      <c r="I66" s="456"/>
      <c r="J66" s="468"/>
      <c r="K66" s="469"/>
      <c r="L66" s="470"/>
      <c r="M66" s="313"/>
      <c r="N66" s="313"/>
      <c r="O66" s="313"/>
      <c r="P66" s="313"/>
      <c r="Q66" s="471"/>
      <c r="R66" s="316"/>
      <c r="S66" s="316"/>
      <c r="T66" s="316"/>
      <c r="U66" s="463"/>
      <c r="W66" s="39"/>
      <c r="X66" s="39"/>
      <c r="AF66" s="29"/>
      <c r="AG66" s="29"/>
      <c r="AH66" s="29"/>
      <c r="AI66" s="29"/>
      <c r="AJ66" s="29"/>
      <c r="AK66" s="29"/>
    </row>
    <row r="67" spans="1:37" ht="12.75" customHeight="1">
      <c r="A67" s="453"/>
      <c r="B67" s="453"/>
      <c r="C67" s="454"/>
      <c r="D67" s="455"/>
      <c r="E67" s="455"/>
      <c r="F67" s="456"/>
      <c r="G67" s="457"/>
      <c r="H67" s="456"/>
      <c r="I67" s="456"/>
      <c r="J67" s="472"/>
      <c r="K67" s="459"/>
      <c r="L67" s="473"/>
      <c r="M67" s="313"/>
      <c r="N67" s="473"/>
      <c r="O67" s="313"/>
      <c r="P67" s="473"/>
      <c r="Q67" s="473"/>
      <c r="R67" s="473"/>
      <c r="S67" s="473"/>
      <c r="T67" s="316"/>
      <c r="U67" s="463"/>
      <c r="W67" s="39"/>
      <c r="X67" s="39"/>
      <c r="AF67" s="29"/>
      <c r="AG67" s="29"/>
      <c r="AH67" s="29"/>
      <c r="AI67" s="29"/>
      <c r="AJ67" s="29"/>
      <c r="AK67" s="29"/>
    </row>
    <row r="68" spans="1:37" ht="34" customHeight="1">
      <c r="A68" s="453"/>
      <c r="B68" s="453"/>
      <c r="C68" s="454"/>
      <c r="D68" s="455"/>
      <c r="E68" s="455"/>
      <c r="F68" s="456"/>
      <c r="G68" s="457"/>
      <c r="H68" s="456"/>
      <c r="I68" s="456"/>
      <c r="J68" s="474" t="str">
        <f>Dati!$AO$14</f>
        <v>KPI 2  -  Sicurezza Infrastruttura</v>
      </c>
      <c r="K68" s="447"/>
      <c r="L68" s="470"/>
      <c r="M68" s="313"/>
      <c r="N68" s="313"/>
      <c r="O68" s="313"/>
      <c r="P68" s="313"/>
      <c r="Q68" s="471"/>
      <c r="R68" s="316"/>
      <c r="S68" s="316"/>
      <c r="T68" s="316"/>
      <c r="U68" s="463"/>
      <c r="AF68" s="29"/>
      <c r="AG68" s="29"/>
      <c r="AH68" s="29"/>
      <c r="AI68" s="29"/>
      <c r="AJ68" s="29"/>
      <c r="AK68" s="29"/>
    </row>
    <row r="69" spans="1:37">
      <c r="A69" s="453">
        <v>3</v>
      </c>
      <c r="B69" s="453">
        <f>B62+3</f>
        <v>39</v>
      </c>
      <c r="C69" s="453">
        <v>4</v>
      </c>
      <c r="D69" s="455">
        <f ca="1">INDIRECT(ADDRESS( C69, 2,1, TRUE,"KPI2"))</f>
        <v>18</v>
      </c>
      <c r="E69" s="455" t="str">
        <f ca="1">INDIRECT(ADDRESS( C69, 3,1, TRUE,"KPI2"))</f>
        <v>KPI 2.1</v>
      </c>
      <c r="F69" s="464">
        <f ca="1">'Quesiti x SI'!N52</f>
        <v>9.1304347826086953</v>
      </c>
      <c r="G69" s="713">
        <f>'Risultati 2009'!$N$52</f>
        <v>8.695652173913043</v>
      </c>
      <c r="H69" s="713">
        <f>'Risultati 2008'!$N$62</f>
        <v>8.5714285714285712</v>
      </c>
      <c r="I69" s="713">
        <f>'Risultati 2007'!$N$67</f>
        <v>8.3606557377049189</v>
      </c>
      <c r="J69" s="316" t="str">
        <f ca="1">INDIRECT(ADDRESS( A69, B69,1, TRUE,"Dati"))</f>
        <v>SI</v>
      </c>
      <c r="K69" s="319">
        <f ca="1">INDIRECT(ADDRESS( A69, B69+1,1, TRUE,"Dati"))</f>
        <v>10</v>
      </c>
      <c r="L69" s="313">
        <f ca="1">Q69/Q$72</f>
        <v>0.91304347826086951</v>
      </c>
      <c r="M69" s="313">
        <f ca="1">L69-N69</f>
        <v>4.3478260869565188E-2</v>
      </c>
      <c r="N69" s="313">
        <v>0.86956521739130432</v>
      </c>
      <c r="O69" s="313">
        <f>N69-P69</f>
        <v>1.2422360248447228E-2</v>
      </c>
      <c r="P69" s="313">
        <v>0.8571428571428571</v>
      </c>
      <c r="Q69" s="316">
        <f ca="1">INDIRECT(ADDRESS( $C69+1, A69+8,1, TRUE,"KPI2"))</f>
        <v>42</v>
      </c>
      <c r="R69" s="316">
        <v>40</v>
      </c>
      <c r="S69" s="316">
        <v>48</v>
      </c>
      <c r="T69" s="316">
        <v>51</v>
      </c>
      <c r="U69" s="631" t="str">
        <f ca="1">INDIRECT(ADDRESS( C69, 4,1, TRUE,"KPI2"))</f>
        <v>Esistono barriere fisiche per limitare e perimetrare l'accesso alle risorse elaborative e alla rete interna ?</v>
      </c>
      <c r="AF69" s="29"/>
      <c r="AG69" s="29"/>
      <c r="AH69" s="29"/>
      <c r="AI69" s="29"/>
      <c r="AJ69" s="29"/>
      <c r="AK69" s="29"/>
    </row>
    <row r="70" spans="1:37">
      <c r="A70" s="453">
        <v>2</v>
      </c>
      <c r="B70" s="453">
        <f>B69</f>
        <v>39</v>
      </c>
      <c r="C70" s="454">
        <f>C69</f>
        <v>4</v>
      </c>
      <c r="D70" s="455"/>
      <c r="E70" s="455"/>
      <c r="F70" s="714">
        <f ca="1">(F69-G69)/G69</f>
        <v>5.0000000000000024E-2</v>
      </c>
      <c r="G70" s="714">
        <f>(G69-H69)/H69</f>
        <v>1.4492753623188382E-2</v>
      </c>
      <c r="H70" s="714">
        <f>(H69-I69)/I69</f>
        <v>2.5210084033613311E-2</v>
      </c>
      <c r="I70" s="456"/>
      <c r="J70" s="316" t="str">
        <f ca="1">INDIRECT(ADDRESS( A70, B70,1, TRUE,"Dati"))</f>
        <v>NO</v>
      </c>
      <c r="K70" s="319">
        <f ca="1">INDIRECT(ADDRESS( A70, B70+1,1, TRUE,"Dati"))</f>
        <v>0</v>
      </c>
      <c r="L70" s="313">
        <f ca="1">Q70/Q$72</f>
        <v>6.5217391304347824E-2</v>
      </c>
      <c r="M70" s="313">
        <f ca="1">L70-N70</f>
        <v>0</v>
      </c>
      <c r="N70" s="313">
        <v>6.5217391304347824E-2</v>
      </c>
      <c r="O70" s="313">
        <f>N70-P70</f>
        <v>2.9503105590062112E-2</v>
      </c>
      <c r="P70" s="313">
        <v>3.5714285714285712E-2</v>
      </c>
      <c r="Q70" s="316">
        <f ca="1">INDIRECT(ADDRESS( $C70+1, A70+8,1, TRUE,"KPI2"))</f>
        <v>3</v>
      </c>
      <c r="R70" s="316">
        <v>3</v>
      </c>
      <c r="S70" s="316">
        <v>2</v>
      </c>
      <c r="T70" s="316">
        <v>5</v>
      </c>
      <c r="U70" s="632"/>
      <c r="AF70" s="29"/>
      <c r="AG70" s="29"/>
      <c r="AH70" s="29"/>
      <c r="AI70" s="29"/>
      <c r="AJ70" s="29"/>
      <c r="AK70" s="29"/>
    </row>
    <row r="71" spans="1:37">
      <c r="A71" s="453">
        <v>1</v>
      </c>
      <c r="B71" s="453">
        <f>B70</f>
        <v>39</v>
      </c>
      <c r="C71" s="454">
        <f>C70</f>
        <v>4</v>
      </c>
      <c r="D71" s="455"/>
      <c r="E71" s="455"/>
      <c r="F71" s="456"/>
      <c r="G71" s="457"/>
      <c r="H71" s="456"/>
      <c r="I71" s="456"/>
      <c r="J71" s="316" t="str">
        <f ca="1">INDIRECT(ADDRESS( A71, B71,1, TRUE,"Dati"))</f>
        <v>--</v>
      </c>
      <c r="K71" s="319">
        <f ca="1">INDIRECT(ADDRESS( A71, B71+1,1, TRUE,"Dati"))</f>
        <v>0</v>
      </c>
      <c r="L71" s="313">
        <f ca="1">Q71/Q$72</f>
        <v>2.1739130434782608E-2</v>
      </c>
      <c r="M71" s="313">
        <f ca="1">L71-N71</f>
        <v>-4.3478260869565216E-2</v>
      </c>
      <c r="N71" s="313">
        <v>6.5217391304347824E-2</v>
      </c>
      <c r="O71" s="313">
        <f>N71-P71</f>
        <v>-4.1925465838509313E-2</v>
      </c>
      <c r="P71" s="313">
        <v>0.10714285714285714</v>
      </c>
      <c r="Q71" s="316">
        <f ca="1">INDIRECT(ADDRESS( $C71+1, A71+8,1, TRUE,"KPI2"))</f>
        <v>1</v>
      </c>
      <c r="R71" s="316">
        <v>3</v>
      </c>
      <c r="S71" s="316">
        <v>6</v>
      </c>
      <c r="T71" s="316">
        <v>5</v>
      </c>
      <c r="U71" s="632"/>
      <c r="AF71" s="29"/>
      <c r="AG71" s="29"/>
      <c r="AH71" s="29"/>
      <c r="AI71" s="29"/>
      <c r="AJ71" s="29"/>
      <c r="AK71" s="29"/>
    </row>
    <row r="72" spans="1:37">
      <c r="A72" s="453"/>
      <c r="B72" s="453"/>
      <c r="C72" s="454"/>
      <c r="D72" s="455"/>
      <c r="E72" s="455"/>
      <c r="F72" s="456"/>
      <c r="G72" s="457"/>
      <c r="H72" s="456"/>
      <c r="I72" s="456"/>
      <c r="J72" s="314" t="s">
        <v>391</v>
      </c>
      <c r="K72" s="315"/>
      <c r="L72" s="313">
        <f ca="1">SUM(L69:L71)</f>
        <v>0.99999999999999989</v>
      </c>
      <c r="M72" s="313"/>
      <c r="N72" s="313">
        <v>0.99999999999999989</v>
      </c>
      <c r="O72" s="313"/>
      <c r="P72" s="313">
        <v>0.99999999999999989</v>
      </c>
      <c r="Q72" s="315">
        <f ca="1">SUM(Q69:Q71)</f>
        <v>46</v>
      </c>
      <c r="R72" s="447">
        <v>46</v>
      </c>
      <c r="S72" s="447">
        <v>56</v>
      </c>
      <c r="T72" s="447">
        <v>61</v>
      </c>
      <c r="U72" s="463"/>
      <c r="AF72" s="29"/>
      <c r="AG72" s="29"/>
      <c r="AH72" s="29"/>
      <c r="AI72" s="29"/>
      <c r="AJ72" s="29"/>
      <c r="AK72" s="29"/>
    </row>
    <row r="73" spans="1:37">
      <c r="A73" s="453"/>
      <c r="B73" s="453"/>
      <c r="C73" s="454"/>
      <c r="D73" s="455"/>
      <c r="E73" s="455"/>
      <c r="F73" s="456"/>
      <c r="G73" s="457"/>
      <c r="H73" s="456"/>
      <c r="I73" s="456"/>
      <c r="J73" s="314"/>
      <c r="K73" s="315"/>
      <c r="L73" s="313"/>
      <c r="M73" s="313"/>
      <c r="N73" s="313"/>
      <c r="O73" s="313"/>
      <c r="P73" s="313"/>
      <c r="Q73" s="315"/>
      <c r="R73" s="447"/>
      <c r="S73" s="447"/>
      <c r="T73" s="316"/>
      <c r="U73" s="463"/>
      <c r="AF73" s="29"/>
      <c r="AG73" s="29"/>
      <c r="AH73" s="29"/>
      <c r="AI73" s="29"/>
      <c r="AJ73" s="29"/>
      <c r="AK73" s="29"/>
    </row>
    <row r="74" spans="1:37">
      <c r="A74" s="453">
        <v>3</v>
      </c>
      <c r="B74" s="453">
        <f>B71+2</f>
        <v>41</v>
      </c>
      <c r="C74" s="453">
        <f>C71+2</f>
        <v>6</v>
      </c>
      <c r="D74" s="455">
        <f ca="1">INDIRECT(ADDRESS( C74, 2,1, TRUE,"KPI2"))</f>
        <v>19</v>
      </c>
      <c r="E74" s="455" t="str">
        <f ca="1">INDIRECT(ADDRESS( C74, 3,1, TRUE,"KPI2"))</f>
        <v>KPI 2.2</v>
      </c>
      <c r="F74" s="464">
        <f ca="1">'Quesiti x SI'!O52</f>
        <v>8.9130434782608692</v>
      </c>
      <c r="G74" s="713">
        <f>'Risultati 2009'!$O$52</f>
        <v>8.0434782608695645</v>
      </c>
      <c r="H74" s="713">
        <f>'Risultati 2008'!$O$62</f>
        <v>7.5</v>
      </c>
      <c r="I74" s="713">
        <f>'Risultati 2007'!$O$67</f>
        <v>7.8688524590163933</v>
      </c>
      <c r="J74" s="316" t="str">
        <f ca="1">INDIRECT(ADDRESS( A74, B74,1, TRUE,"Dati"))</f>
        <v>SI</v>
      </c>
      <c r="K74" s="319">
        <f ca="1">INDIRECT(ADDRESS( A74, B74+1,1, TRUE,"Dati"))</f>
        <v>10</v>
      </c>
      <c r="L74" s="313">
        <f ca="1">Q74/Q$77</f>
        <v>0.89130434782608692</v>
      </c>
      <c r="M74" s="313">
        <f ca="1">L74-N74</f>
        <v>8.6956521739130377E-2</v>
      </c>
      <c r="N74" s="313">
        <v>0.80434782608695654</v>
      </c>
      <c r="O74" s="313">
        <f>N74-P74</f>
        <v>5.4347826086956541E-2</v>
      </c>
      <c r="P74" s="313">
        <v>0.75</v>
      </c>
      <c r="Q74" s="316">
        <f ca="1">INDIRECT(ADDRESS( $C74+1, A74+8,1, TRUE,"KPI2"))</f>
        <v>41</v>
      </c>
      <c r="R74" s="316">
        <v>37</v>
      </c>
      <c r="S74" s="316">
        <v>42</v>
      </c>
      <c r="T74" s="316">
        <v>48</v>
      </c>
      <c r="U74" s="631" t="str">
        <f ca="1">INDIRECT(ADDRESS( C74, 4,1, TRUE,"KPI2"))</f>
        <v>Esiste un sistema di controllo dell'accesso fisico ai locali dove si trovano gli elaboratori e gli apparati di rete ?</v>
      </c>
      <c r="AF74" s="29"/>
      <c r="AG74" s="29"/>
      <c r="AH74" s="29"/>
      <c r="AI74" s="29"/>
      <c r="AJ74" s="29"/>
      <c r="AK74" s="29"/>
    </row>
    <row r="75" spans="1:37">
      <c r="A75" s="453">
        <v>2</v>
      </c>
      <c r="B75" s="453">
        <f>B74</f>
        <v>41</v>
      </c>
      <c r="C75" s="454">
        <f>C74</f>
        <v>6</v>
      </c>
      <c r="D75" s="455"/>
      <c r="E75" s="455"/>
      <c r="F75" s="714">
        <f ca="1">(F74-G74)/G74</f>
        <v>0.10810810810810816</v>
      </c>
      <c r="G75" s="714">
        <f>(G74-H74)/H74</f>
        <v>7.2463768115941934E-2</v>
      </c>
      <c r="H75" s="714">
        <f>(H74-I74)/I74</f>
        <v>-4.6874999999999979E-2</v>
      </c>
      <c r="I75" s="456"/>
      <c r="J75" s="316" t="str">
        <f ca="1">INDIRECT(ADDRESS( A75, B75,1, TRUE,"Dati"))</f>
        <v>NO</v>
      </c>
      <c r="K75" s="319">
        <f ca="1">INDIRECT(ADDRESS( A75, B75+1,1, TRUE,"Dati"))</f>
        <v>0</v>
      </c>
      <c r="L75" s="313">
        <f ca="1">Q75/Q$77</f>
        <v>8.6956521739130432E-2</v>
      </c>
      <c r="M75" s="313">
        <f ca="1">L75-N75</f>
        <v>-4.3478260869565216E-2</v>
      </c>
      <c r="N75" s="313">
        <v>0.13043478260869565</v>
      </c>
      <c r="O75" s="313">
        <f>N75-P75</f>
        <v>-1.2422360248447201E-2</v>
      </c>
      <c r="P75" s="313">
        <v>0.14285714285714285</v>
      </c>
      <c r="Q75" s="316">
        <f ca="1">INDIRECT(ADDRESS( $C75+1, A75+8,1, TRUE,"KPI2"))</f>
        <v>4</v>
      </c>
      <c r="R75" s="316">
        <v>6</v>
      </c>
      <c r="S75" s="316">
        <v>8</v>
      </c>
      <c r="T75" s="316">
        <v>7</v>
      </c>
      <c r="U75" s="632"/>
      <c r="AF75" s="29"/>
      <c r="AG75" s="29"/>
      <c r="AH75" s="29"/>
      <c r="AI75" s="29"/>
      <c r="AJ75" s="29"/>
      <c r="AK75" s="29"/>
    </row>
    <row r="76" spans="1:37">
      <c r="A76" s="453">
        <v>1</v>
      </c>
      <c r="B76" s="453">
        <f>B75</f>
        <v>41</v>
      </c>
      <c r="C76" s="454">
        <f>C75</f>
        <v>6</v>
      </c>
      <c r="D76" s="455"/>
      <c r="E76" s="455"/>
      <c r="F76" s="456"/>
      <c r="G76" s="457"/>
      <c r="H76" s="456"/>
      <c r="I76" s="456"/>
      <c r="J76" s="316" t="str">
        <f ca="1">INDIRECT(ADDRESS( A76, B76,1, TRUE,"Dati"))</f>
        <v>--</v>
      </c>
      <c r="K76" s="319">
        <f ca="1">INDIRECT(ADDRESS( A76, B76+1,1, TRUE,"Dati"))</f>
        <v>0</v>
      </c>
      <c r="L76" s="313">
        <f ca="1">Q76/Q$77</f>
        <v>2.1739130434782608E-2</v>
      </c>
      <c r="M76" s="313">
        <f ca="1">L76-N76</f>
        <v>-4.3478260869565216E-2</v>
      </c>
      <c r="N76" s="313">
        <v>6.5217391304347824E-2</v>
      </c>
      <c r="O76" s="313">
        <f>N76-P76</f>
        <v>-4.1925465838509313E-2</v>
      </c>
      <c r="P76" s="313">
        <v>0.10714285714285714</v>
      </c>
      <c r="Q76" s="316">
        <f ca="1">INDIRECT(ADDRESS( $C76+1, A76+8,1, TRUE,"KPI2"))</f>
        <v>1</v>
      </c>
      <c r="R76" s="316">
        <v>3</v>
      </c>
      <c r="S76" s="316">
        <v>6</v>
      </c>
      <c r="T76" s="316">
        <v>6</v>
      </c>
      <c r="U76" s="632"/>
      <c r="AF76" s="29"/>
      <c r="AG76" s="29"/>
      <c r="AH76" s="29"/>
      <c r="AI76" s="29"/>
      <c r="AJ76" s="29"/>
      <c r="AK76" s="29"/>
    </row>
    <row r="77" spans="1:37">
      <c r="A77" s="453"/>
      <c r="B77" s="453"/>
      <c r="C77" s="454"/>
      <c r="D77" s="455"/>
      <c r="E77" s="455"/>
      <c r="F77" s="456"/>
      <c r="G77" s="457"/>
      <c r="H77" s="456"/>
      <c r="I77" s="456"/>
      <c r="J77" s="314" t="s">
        <v>391</v>
      </c>
      <c r="K77" s="315"/>
      <c r="L77" s="313">
        <f ca="1">SUM(L74:L76)</f>
        <v>0.99999999999999989</v>
      </c>
      <c r="M77" s="313"/>
      <c r="N77" s="313">
        <v>1</v>
      </c>
      <c r="O77" s="313"/>
      <c r="P77" s="313">
        <v>0.99999999999999989</v>
      </c>
      <c r="Q77" s="315">
        <f ca="1">SUM(Q74:Q76)</f>
        <v>46</v>
      </c>
      <c r="R77" s="447">
        <v>46</v>
      </c>
      <c r="S77" s="447">
        <v>56</v>
      </c>
      <c r="T77" s="447">
        <v>61</v>
      </c>
      <c r="U77" s="463"/>
      <c r="AF77" s="29"/>
      <c r="AG77" s="29"/>
      <c r="AH77" s="29"/>
      <c r="AI77" s="29"/>
      <c r="AJ77" s="29"/>
      <c r="AK77" s="29"/>
    </row>
    <row r="78" spans="1:37">
      <c r="A78" s="453"/>
      <c r="B78" s="453"/>
      <c r="C78" s="454"/>
      <c r="D78" s="455"/>
      <c r="E78" s="455"/>
      <c r="F78" s="456"/>
      <c r="G78" s="457"/>
      <c r="H78" s="456"/>
      <c r="I78" s="456"/>
      <c r="J78" s="314"/>
      <c r="K78" s="315"/>
      <c r="L78" s="313"/>
      <c r="M78" s="313"/>
      <c r="N78" s="313"/>
      <c r="O78" s="313"/>
      <c r="P78" s="313"/>
      <c r="Q78" s="315"/>
      <c r="R78" s="447"/>
      <c r="S78" s="447"/>
      <c r="T78" s="316"/>
      <c r="U78" s="463"/>
      <c r="AF78" s="29"/>
      <c r="AG78" s="29"/>
      <c r="AH78" s="29"/>
      <c r="AI78" s="29"/>
      <c r="AJ78" s="29"/>
      <c r="AK78" s="29"/>
    </row>
    <row r="79" spans="1:37" ht="12.75" customHeight="1">
      <c r="A79" s="453">
        <v>3</v>
      </c>
      <c r="B79" s="453">
        <f>B76+2</f>
        <v>43</v>
      </c>
      <c r="C79" s="453">
        <f>C76+2</f>
        <v>8</v>
      </c>
      <c r="D79" s="455">
        <f ca="1">INDIRECT(ADDRESS( C79, 2,1, TRUE,"KPI2"))</f>
        <v>20</v>
      </c>
      <c r="E79" s="455" t="str">
        <f ca="1">INDIRECT(ADDRESS( C79, 3,1, TRUE,"KPI2"))</f>
        <v>KPI 2.3</v>
      </c>
      <c r="F79" s="464">
        <f ca="1">'Quesiti x SI'!P52</f>
        <v>6.9565217391304346</v>
      </c>
      <c r="G79" s="713">
        <f>'Risultati 2009'!$P$52</f>
        <v>5.6521739130434785</v>
      </c>
      <c r="H79" s="713">
        <f>'Risultati 2008'!$P$62</f>
        <v>4.4642857142857144</v>
      </c>
      <c r="I79" s="713">
        <f>'Risultati 2007'!$P$67</f>
        <v>4.2622950819672134</v>
      </c>
      <c r="J79" s="316" t="str">
        <f ca="1">INDIRECT(ADDRESS( A79, B79,1, TRUE,"Dati"))</f>
        <v>SI</v>
      </c>
      <c r="K79" s="319">
        <f ca="1">INDIRECT(ADDRESS( A79, B79+1,1, TRUE,"Dati"))</f>
        <v>10</v>
      </c>
      <c r="L79" s="313">
        <f ca="1">Q79/Q$77</f>
        <v>0.69565217391304346</v>
      </c>
      <c r="M79" s="313">
        <f ca="1">L79-N79</f>
        <v>0.13043478260869568</v>
      </c>
      <c r="N79" s="313">
        <v>0.56521739130434778</v>
      </c>
      <c r="O79" s="313">
        <f>N79-P79</f>
        <v>0.11878881987577633</v>
      </c>
      <c r="P79" s="313">
        <v>0.44642857142857145</v>
      </c>
      <c r="Q79" s="316">
        <f ca="1">INDIRECT(ADDRESS( $C79+1, A79+8,1, TRUE,"KPI2"))</f>
        <v>32</v>
      </c>
      <c r="R79" s="316">
        <v>26</v>
      </c>
      <c r="S79" s="316">
        <v>25</v>
      </c>
      <c r="T79" s="316">
        <v>26</v>
      </c>
      <c r="U79" s="631" t="str">
        <f ca="1">INDIRECT(ADDRESS( C79, 4,1, TRUE,"KPI2"))</f>
        <v>Se l'accesso ai locali critici è ristretto, esiste un sistema di videosorveglianza con registrazione delle riprese H24 ?</v>
      </c>
      <c r="AF79" s="29"/>
      <c r="AG79" s="29"/>
      <c r="AH79" s="29"/>
      <c r="AI79" s="29"/>
      <c r="AJ79" s="29"/>
      <c r="AK79" s="29"/>
    </row>
    <row r="80" spans="1:37">
      <c r="A80" s="453">
        <v>2</v>
      </c>
      <c r="B80" s="453">
        <f>B79</f>
        <v>43</v>
      </c>
      <c r="C80" s="454">
        <f>C79</f>
        <v>8</v>
      </c>
      <c r="D80" s="455"/>
      <c r="E80" s="455"/>
      <c r="F80" s="714">
        <f ca="1">(F79-G79)/G79</f>
        <v>0.23076923076923067</v>
      </c>
      <c r="G80" s="714">
        <f>(G79-H79)/H79</f>
        <v>0.26608695652173914</v>
      </c>
      <c r="H80" s="714">
        <f>(H79-I79)/I79</f>
        <v>4.7390109890109847E-2</v>
      </c>
      <c r="I80" s="456"/>
      <c r="J80" s="316" t="str">
        <f ca="1">INDIRECT(ADDRESS( A80, B80,1, TRUE,"Dati"))</f>
        <v>NO</v>
      </c>
      <c r="K80" s="319">
        <f ca="1">INDIRECT(ADDRESS( A80, B80+1,1, TRUE,"Dati"))</f>
        <v>0</v>
      </c>
      <c r="L80" s="313">
        <f ca="1">Q80/Q$77</f>
        <v>0.15217391304347827</v>
      </c>
      <c r="M80" s="313">
        <f ca="1">L80-N80</f>
        <v>-8.6956521739130432E-2</v>
      </c>
      <c r="N80" s="313">
        <v>0.2391304347826087</v>
      </c>
      <c r="O80" s="313">
        <f>N80-P80</f>
        <v>-1.0869565217391297E-2</v>
      </c>
      <c r="P80" s="313">
        <v>0.25</v>
      </c>
      <c r="Q80" s="316">
        <f ca="1">INDIRECT(ADDRESS( $C80+1, A80+8,1, TRUE,"KPI2"))</f>
        <v>7</v>
      </c>
      <c r="R80" s="316">
        <v>11</v>
      </c>
      <c r="S80" s="316">
        <v>14</v>
      </c>
      <c r="T80" s="316">
        <v>19</v>
      </c>
      <c r="U80" s="632"/>
      <c r="AF80" s="29"/>
      <c r="AG80" s="29"/>
      <c r="AH80" s="29"/>
      <c r="AI80" s="29"/>
      <c r="AJ80" s="29"/>
      <c r="AK80" s="29"/>
    </row>
    <row r="81" spans="1:37">
      <c r="A81" s="453">
        <v>1</v>
      </c>
      <c r="B81" s="453">
        <f>B80</f>
        <v>43</v>
      </c>
      <c r="C81" s="454">
        <f>C80</f>
        <v>8</v>
      </c>
      <c r="D81" s="455"/>
      <c r="E81" s="455"/>
      <c r="F81" s="456"/>
      <c r="G81" s="457"/>
      <c r="H81" s="456"/>
      <c r="I81" s="456"/>
      <c r="J81" s="316" t="str">
        <f ca="1">INDIRECT(ADDRESS( A81, B81,1, TRUE,"Dati"))</f>
        <v>--</v>
      </c>
      <c r="K81" s="319">
        <f ca="1">INDIRECT(ADDRESS( A81, B81+1,1, TRUE,"Dati"))</f>
        <v>0</v>
      </c>
      <c r="L81" s="313">
        <f ca="1">Q81/Q$77</f>
        <v>0.15217391304347827</v>
      </c>
      <c r="M81" s="313">
        <f ca="1">L81-N81</f>
        <v>-4.3478260869565216E-2</v>
      </c>
      <c r="N81" s="313">
        <v>0.19565217391304349</v>
      </c>
      <c r="O81" s="313">
        <f>N81-P81</f>
        <v>-0.10791925465838506</v>
      </c>
      <c r="P81" s="313">
        <v>0.30357142857142855</v>
      </c>
      <c r="Q81" s="316">
        <f ca="1">INDIRECT(ADDRESS( $C81+1, A81+8,1, TRUE,"KPI2"))</f>
        <v>7</v>
      </c>
      <c r="R81" s="316">
        <v>9</v>
      </c>
      <c r="S81" s="316">
        <v>17</v>
      </c>
      <c r="T81" s="316">
        <v>16</v>
      </c>
      <c r="U81" s="632"/>
      <c r="AF81" s="29"/>
      <c r="AG81" s="29"/>
      <c r="AH81" s="29"/>
      <c r="AI81" s="29"/>
      <c r="AJ81" s="29"/>
      <c r="AK81" s="29"/>
    </row>
    <row r="82" spans="1:37">
      <c r="A82" s="453"/>
      <c r="B82" s="453"/>
      <c r="C82" s="454"/>
      <c r="D82" s="455"/>
      <c r="E82" s="455"/>
      <c r="F82" s="456"/>
      <c r="G82" s="457"/>
      <c r="H82" s="456"/>
      <c r="I82" s="456"/>
      <c r="J82" s="314" t="s">
        <v>391</v>
      </c>
      <c r="K82" s="315"/>
      <c r="L82" s="313">
        <f ca="1">SUM(L79:L81)</f>
        <v>1</v>
      </c>
      <c r="M82" s="313"/>
      <c r="N82" s="313">
        <v>1</v>
      </c>
      <c r="O82" s="313"/>
      <c r="P82" s="313">
        <v>1</v>
      </c>
      <c r="Q82" s="315">
        <f ca="1">SUM(Q79:Q81)</f>
        <v>46</v>
      </c>
      <c r="R82" s="447">
        <v>46</v>
      </c>
      <c r="S82" s="447">
        <v>56</v>
      </c>
      <c r="T82" s="447">
        <v>61</v>
      </c>
      <c r="U82" s="463"/>
      <c r="AF82" s="29"/>
      <c r="AG82" s="29"/>
      <c r="AH82" s="29"/>
      <c r="AI82" s="29"/>
      <c r="AJ82" s="29"/>
      <c r="AK82" s="29"/>
    </row>
    <row r="83" spans="1:37">
      <c r="A83" s="453"/>
      <c r="B83" s="453"/>
      <c r="C83" s="454"/>
      <c r="D83" s="455"/>
      <c r="E83" s="455"/>
      <c r="F83" s="456"/>
      <c r="G83" s="457"/>
      <c r="H83" s="456"/>
      <c r="I83" s="456"/>
      <c r="J83" s="314"/>
      <c r="K83" s="315"/>
      <c r="L83" s="313"/>
      <c r="M83" s="313"/>
      <c r="N83" s="313"/>
      <c r="O83" s="313"/>
      <c r="P83" s="313"/>
      <c r="Q83" s="315"/>
      <c r="R83" s="447"/>
      <c r="S83" s="447"/>
      <c r="T83" s="316"/>
      <c r="U83" s="463"/>
      <c r="AF83" s="29"/>
      <c r="AG83" s="29"/>
      <c r="AH83" s="29"/>
      <c r="AI83" s="29"/>
      <c r="AJ83" s="29"/>
      <c r="AK83" s="29"/>
    </row>
    <row r="84" spans="1:37">
      <c r="A84" s="453">
        <v>3</v>
      </c>
      <c r="B84" s="453">
        <f>B81+2</f>
        <v>45</v>
      </c>
      <c r="C84" s="453">
        <f>C81+2</f>
        <v>10</v>
      </c>
      <c r="D84" s="455">
        <f ca="1">INDIRECT(ADDRESS( C84, 2,1, TRUE,"KPI2"))</f>
        <v>21</v>
      </c>
      <c r="E84" s="455" t="str">
        <f ca="1">INDIRECT(ADDRESS( C84, 3,1, TRUE,"KPI2"))</f>
        <v>KPI 2.4</v>
      </c>
      <c r="F84" s="464">
        <f ca="1">'Quesiti x SI'!Q52</f>
        <v>7.7173913043478262</v>
      </c>
      <c r="G84" s="713">
        <f>'Risultati 2009'!$Q$52</f>
        <v>7.6086956521739131</v>
      </c>
      <c r="H84" s="713">
        <f>'Risultati 2008'!$Q$62</f>
        <v>7.0535714285714288</v>
      </c>
      <c r="I84" s="713">
        <f>'Risultati 2007'!$Q$67</f>
        <v>7.2131147540983607</v>
      </c>
      <c r="J84" s="316" t="str">
        <f ca="1">INDIRECT(ADDRESS( 11, B84,1, TRUE,"Dati"))</f>
        <v>firewall</v>
      </c>
      <c r="K84" s="319">
        <f ca="1">INDIRECT(ADDRESS( A84, B84+1,1, TRUE,"Dati"))</f>
        <v>5</v>
      </c>
      <c r="L84" s="313">
        <f ca="1">Q84/Q$82</f>
        <v>0.93478260869565222</v>
      </c>
      <c r="M84" s="313">
        <f ca="1">L84-N84</f>
        <v>2.1739130434782705E-2</v>
      </c>
      <c r="N84" s="313">
        <v>0.91304347826086951</v>
      </c>
      <c r="O84" s="313">
        <f>N84-P84</f>
        <v>2.0186335403726607E-2</v>
      </c>
      <c r="P84" s="313">
        <v>0.8928571428571429</v>
      </c>
      <c r="Q84" s="316">
        <f ca="1">INDIRECT(ADDRESS( $C84+1, A84+8,1, TRUE,"KPI2"))</f>
        <v>43</v>
      </c>
      <c r="R84" s="316">
        <v>42</v>
      </c>
      <c r="S84" s="316">
        <v>50</v>
      </c>
      <c r="T84" s="316">
        <v>55</v>
      </c>
      <c r="U84" s="455" t="str">
        <f ca="1">INDIRECT(ADDRESS( C84, 4,1, TRUE,"KPI2"))</f>
        <v>Quali di queste protezioni di rete vengono utilizzate?</v>
      </c>
      <c r="AF84" s="29"/>
      <c r="AG84" s="29"/>
      <c r="AH84" s="29"/>
      <c r="AI84" s="29"/>
      <c r="AJ84" s="29"/>
      <c r="AK84" s="29"/>
    </row>
    <row r="85" spans="1:37">
      <c r="A85" s="453">
        <v>3</v>
      </c>
      <c r="B85" s="453">
        <f>B84+2</f>
        <v>47</v>
      </c>
      <c r="C85" s="453">
        <f>C84</f>
        <v>10</v>
      </c>
      <c r="D85" s="455">
        <f ca="1">INDIRECT(ADDRESS( C85, 2,1, TRUE,"KPI2"))</f>
        <v>21</v>
      </c>
      <c r="E85" s="455"/>
      <c r="F85" s="714">
        <f ca="1">(F84-G84)/G84</f>
        <v>1.428571428571429E-2</v>
      </c>
      <c r="G85" s="714">
        <f>(G84-H84)/H84</f>
        <v>7.8701155751238275E-2</v>
      </c>
      <c r="H85" s="714">
        <f>(H84-I84)/I84</f>
        <v>-2.2118506493506461E-2</v>
      </c>
      <c r="I85" s="456"/>
      <c r="J85" s="316" t="str">
        <f ca="1">INDIRECT(ADDRESS( 11, B85,1, TRUE,"Dati"))</f>
        <v>IDS/IPS</v>
      </c>
      <c r="K85" s="319">
        <f ca="1">INDIRECT(ADDRESS( A85, B85+1,1, TRUE,"Dati"))</f>
        <v>5</v>
      </c>
      <c r="L85" s="313">
        <f ca="1">Q85/Q$82</f>
        <v>0.60869565217391308</v>
      </c>
      <c r="M85" s="313">
        <f ca="1">L85-N85</f>
        <v>0</v>
      </c>
      <c r="N85" s="313">
        <v>0.60869565217391308</v>
      </c>
      <c r="O85" s="313">
        <f>N85-P85</f>
        <v>9.0838509316770177E-2</v>
      </c>
      <c r="P85" s="313">
        <v>0.5178571428571429</v>
      </c>
      <c r="Q85" s="316">
        <f ca="1">INDIRECT(ADDRESS( $C85+1, A85+11,1, TRUE,"KPI2"))</f>
        <v>28</v>
      </c>
      <c r="R85" s="316">
        <v>28</v>
      </c>
      <c r="S85" s="316">
        <v>29</v>
      </c>
      <c r="T85" s="316">
        <v>33</v>
      </c>
      <c r="U85" s="463"/>
      <c r="AF85" s="29"/>
      <c r="AG85" s="29"/>
      <c r="AH85" s="29"/>
      <c r="AI85" s="29"/>
      <c r="AJ85" s="29"/>
      <c r="AK85" s="29"/>
    </row>
    <row r="86" spans="1:37">
      <c r="A86" s="453">
        <v>3</v>
      </c>
      <c r="B86" s="453">
        <f>B85+2</f>
        <v>49</v>
      </c>
      <c r="C86" s="453">
        <f>C85</f>
        <v>10</v>
      </c>
      <c r="D86" s="455">
        <f ca="1">INDIRECT(ADDRESS( C86, 2,1, TRUE,"KPI2"))</f>
        <v>21</v>
      </c>
      <c r="E86" s="455"/>
      <c r="F86" s="456"/>
      <c r="G86" s="457"/>
      <c r="H86" s="456"/>
      <c r="I86" s="456"/>
      <c r="J86" s="316" t="str">
        <f ca="1">INDIRECT(ADDRESS( 11, B86,1, TRUE,"Dati"))</f>
        <v>nessuna</v>
      </c>
      <c r="K86" s="319">
        <f ca="1">INDIRECT(ADDRESS( A86, B86+1,1, TRUE,"Dati"))</f>
        <v>0</v>
      </c>
      <c r="L86" s="313">
        <f ca="1">Q86/Q$82</f>
        <v>0</v>
      </c>
      <c r="M86" s="313">
        <f ca="1">L86-N86</f>
        <v>0</v>
      </c>
      <c r="N86" s="313">
        <v>0</v>
      </c>
      <c r="O86" s="313">
        <f>N86-P86</f>
        <v>-1.7857142857142856E-2</v>
      </c>
      <c r="P86" s="313">
        <v>1.7857142857142856E-2</v>
      </c>
      <c r="Q86" s="316">
        <f ca="1">INDIRECT(ADDRESS( $C86+1, A86+14,1, TRUE,"KPI2"))</f>
        <v>0</v>
      </c>
      <c r="R86" s="316">
        <v>0</v>
      </c>
      <c r="S86" s="316">
        <v>1</v>
      </c>
      <c r="T86" s="316">
        <v>1</v>
      </c>
      <c r="U86" s="463"/>
      <c r="AF86" s="29"/>
      <c r="AG86" s="29"/>
      <c r="AH86" s="29"/>
      <c r="AI86" s="29"/>
      <c r="AJ86" s="29"/>
      <c r="AK86" s="29"/>
    </row>
    <row r="87" spans="1:37">
      <c r="A87" s="453"/>
      <c r="B87" s="453"/>
      <c r="C87" s="454"/>
      <c r="D87" s="455"/>
      <c r="E87" s="455"/>
      <c r="F87" s="456"/>
      <c r="G87" s="457"/>
      <c r="H87" s="456"/>
      <c r="I87" s="456"/>
      <c r="J87" s="314"/>
      <c r="K87" s="315"/>
      <c r="L87" s="313"/>
      <c r="M87" s="313"/>
      <c r="N87" s="313"/>
      <c r="O87" s="313"/>
      <c r="P87" s="313"/>
      <c r="Q87" s="315"/>
      <c r="R87" s="447"/>
      <c r="S87" s="447"/>
      <c r="T87" s="316"/>
      <c r="U87" s="463"/>
      <c r="AF87" s="29"/>
      <c r="AG87" s="29"/>
      <c r="AH87" s="29"/>
      <c r="AI87" s="29"/>
      <c r="AJ87" s="29"/>
      <c r="AK87" s="29"/>
    </row>
    <row r="88" spans="1:37">
      <c r="A88" s="453">
        <v>3</v>
      </c>
      <c r="B88" s="453">
        <f>B86+2</f>
        <v>51</v>
      </c>
      <c r="C88" s="453">
        <f>C86+2</f>
        <v>12</v>
      </c>
      <c r="D88" s="455">
        <f ca="1">INDIRECT(ADDRESS( C88, 2,1, TRUE,"KPI2"))</f>
        <v>24</v>
      </c>
      <c r="E88" s="455" t="str">
        <f ca="1">INDIRECT(ADDRESS( C88, 3,1, TRUE,"KPI2"))</f>
        <v>KPI 2.5</v>
      </c>
      <c r="F88" s="464">
        <f ca="1">'Quesiti x SI'!R52</f>
        <v>5.5652173913043477</v>
      </c>
      <c r="G88" s="713">
        <f>'Risultati 2009'!$R$52</f>
        <v>6.5217391304347823</v>
      </c>
      <c r="H88" s="713">
        <f>'Risultati 2008'!$R$62</f>
        <v>5.6785714285714288</v>
      </c>
      <c r="I88" s="713">
        <f>'Risultati 2007'!$R$67</f>
        <v>5.3114754098360653</v>
      </c>
      <c r="J88" s="316" t="str">
        <f ca="1">INDIRECT(ADDRESS( A88, B88,1, TRUE,"Dati"))</f>
        <v>SI</v>
      </c>
      <c r="K88" s="319">
        <f ca="1">INDIRECT(ADDRESS( A88, B88+1,1, TRUE,"Dati"))</f>
        <v>0</v>
      </c>
      <c r="L88" s="313">
        <f ca="1">Q88/Q$77</f>
        <v>0.41304347826086957</v>
      </c>
      <c r="M88" s="313">
        <f ca="1">L88-N88</f>
        <v>-8.6956521739130432E-2</v>
      </c>
      <c r="N88" s="313">
        <v>0.5</v>
      </c>
      <c r="O88" s="313">
        <f>N88-P88</f>
        <v>7.1428571428571452E-2</v>
      </c>
      <c r="P88" s="313">
        <v>0.42857142857142855</v>
      </c>
      <c r="Q88" s="316">
        <f ca="1">INDIRECT(ADDRESS( $C88+1, A88+8,1, TRUE,"KPI2"))</f>
        <v>19</v>
      </c>
      <c r="R88" s="316">
        <v>23</v>
      </c>
      <c r="S88" s="316">
        <v>24</v>
      </c>
      <c r="T88" s="316">
        <v>25</v>
      </c>
      <c r="U88" s="455" t="str">
        <f ca="1">INDIRECT(ADDRESS( C88, 4,1, TRUE,"KPI2"))</f>
        <v>Sono presenti sottoreti wireless?</v>
      </c>
      <c r="AF88" s="29"/>
      <c r="AG88" s="29"/>
      <c r="AH88" s="29"/>
      <c r="AI88" s="29"/>
      <c r="AJ88" s="29"/>
      <c r="AK88" s="29"/>
    </row>
    <row r="89" spans="1:37">
      <c r="A89" s="453">
        <v>2</v>
      </c>
      <c r="B89" s="453">
        <f>B88</f>
        <v>51</v>
      </c>
      <c r="C89" s="454">
        <f>C88</f>
        <v>12</v>
      </c>
      <c r="D89" s="455"/>
      <c r="E89" s="455"/>
      <c r="F89" s="714">
        <f ca="1">(F88-G88)/G88</f>
        <v>-0.14666666666666664</v>
      </c>
      <c r="G89" s="714">
        <f>(G88-H88)/H88</f>
        <v>0.14848236259228864</v>
      </c>
      <c r="H89" s="714">
        <f>(H88-I88)/I88</f>
        <v>6.9113756613756724E-2</v>
      </c>
      <c r="I89" s="456"/>
      <c r="J89" s="316" t="str">
        <f ca="1">INDIRECT(ADDRESS( A89, B89,1, TRUE,"Dati"))</f>
        <v>NO</v>
      </c>
      <c r="K89" s="319">
        <f ca="1">INDIRECT(ADDRESS( A89, B89+1,1, TRUE,"Dati"))</f>
        <v>6</v>
      </c>
      <c r="L89" s="313">
        <f ca="1">Q89/Q$77</f>
        <v>0.43478260869565216</v>
      </c>
      <c r="M89" s="313">
        <f ca="1">L89-N89</f>
        <v>0</v>
      </c>
      <c r="N89" s="313">
        <v>0.43478260869565216</v>
      </c>
      <c r="O89" s="313">
        <f>N89-P89</f>
        <v>-2.950310559006214E-2</v>
      </c>
      <c r="P89" s="313">
        <v>0.4642857142857143</v>
      </c>
      <c r="Q89" s="316">
        <f ca="1">INDIRECT(ADDRESS( $C89+1, A89+8,1, TRUE,"KPI2"))</f>
        <v>20</v>
      </c>
      <c r="R89" s="316">
        <v>20</v>
      </c>
      <c r="S89" s="316">
        <v>26</v>
      </c>
      <c r="T89" s="316">
        <v>30</v>
      </c>
      <c r="U89" s="463"/>
      <c r="AF89" s="29"/>
      <c r="AG89" s="29"/>
      <c r="AH89" s="29"/>
      <c r="AI89" s="29"/>
      <c r="AJ89" s="29"/>
      <c r="AK89" s="29"/>
    </row>
    <row r="90" spans="1:37">
      <c r="A90" s="453">
        <v>1</v>
      </c>
      <c r="B90" s="453">
        <f>B89</f>
        <v>51</v>
      </c>
      <c r="C90" s="454">
        <f>C89</f>
        <v>12</v>
      </c>
      <c r="D90" s="455"/>
      <c r="E90" s="455"/>
      <c r="F90" s="456"/>
      <c r="G90" s="457"/>
      <c r="H90" s="456"/>
      <c r="I90" s="456"/>
      <c r="J90" s="316" t="str">
        <f ca="1">INDIRECT(ADDRESS( A90, B90,1, TRUE,"Dati"))</f>
        <v>--</v>
      </c>
      <c r="K90" s="319">
        <f ca="1">INDIRECT(ADDRESS( A90, B90+1,1, TRUE,"Dati"))</f>
        <v>0</v>
      </c>
      <c r="L90" s="313">
        <f ca="1">Q90/Q$77</f>
        <v>0.15217391304347827</v>
      </c>
      <c r="M90" s="313">
        <f ca="1">L90-N90</f>
        <v>8.6956521739130446E-2</v>
      </c>
      <c r="N90" s="313">
        <v>6.5217391304347824E-2</v>
      </c>
      <c r="O90" s="313">
        <f>N90-P90</f>
        <v>-4.1925465838509313E-2</v>
      </c>
      <c r="P90" s="313">
        <v>0.10714285714285714</v>
      </c>
      <c r="Q90" s="316">
        <f ca="1">INDIRECT(ADDRESS( $C90+1, A90+8,1, TRUE,"KPI2"))</f>
        <v>7</v>
      </c>
      <c r="R90" s="316">
        <v>3</v>
      </c>
      <c r="S90" s="316">
        <v>6</v>
      </c>
      <c r="T90" s="316">
        <v>6</v>
      </c>
      <c r="U90" s="463"/>
      <c r="AF90" s="29"/>
      <c r="AG90" s="29"/>
      <c r="AH90" s="29"/>
      <c r="AI90" s="29"/>
      <c r="AJ90" s="29"/>
      <c r="AK90" s="29"/>
    </row>
    <row r="91" spans="1:37">
      <c r="A91" s="453"/>
      <c r="B91" s="453"/>
      <c r="C91" s="454"/>
      <c r="D91" s="455"/>
      <c r="E91" s="455"/>
      <c r="F91" s="456"/>
      <c r="G91" s="457"/>
      <c r="H91" s="456"/>
      <c r="I91" s="456"/>
      <c r="J91" s="314" t="s">
        <v>391</v>
      </c>
      <c r="K91" s="315"/>
      <c r="L91" s="313">
        <f ca="1">SUM(L88:L90)</f>
        <v>1</v>
      </c>
      <c r="M91" s="313"/>
      <c r="N91" s="313">
        <v>0.99999999999999989</v>
      </c>
      <c r="O91" s="313"/>
      <c r="P91" s="313">
        <v>0.99999999999999989</v>
      </c>
      <c r="Q91" s="315">
        <f ca="1">SUM(Q88:Q90)</f>
        <v>46</v>
      </c>
      <c r="R91" s="447">
        <v>46</v>
      </c>
      <c r="S91" s="447">
        <v>56</v>
      </c>
      <c r="T91" s="447">
        <v>61</v>
      </c>
      <c r="U91" s="463"/>
      <c r="AF91" s="29"/>
      <c r="AG91" s="29"/>
      <c r="AH91" s="29"/>
      <c r="AI91" s="29"/>
      <c r="AJ91" s="29"/>
      <c r="AK91" s="29"/>
    </row>
    <row r="92" spans="1:37">
      <c r="A92" s="453">
        <v>3</v>
      </c>
      <c r="B92" s="453">
        <f>B90+2</f>
        <v>53</v>
      </c>
      <c r="C92" s="453">
        <f>C90+2</f>
        <v>14</v>
      </c>
      <c r="D92" s="455">
        <f ca="1">INDIRECT(ADDRESS( C92, 2,1, TRUE,"KPI2"))</f>
        <v>25</v>
      </c>
      <c r="E92" s="455" t="str">
        <f ca="1">INDIRECT(ADDRESS( C92, 3,1, TRUE,"KPI2"))</f>
        <v>KPI 2.5a</v>
      </c>
      <c r="F92" s="456"/>
      <c r="G92" s="457"/>
      <c r="H92" s="464"/>
      <c r="I92" s="464"/>
      <c r="J92" s="316" t="str">
        <f ca="1">INDIRECT(ADDRESS( A92, B92,1, TRUE,"Dati"))</f>
        <v>WEP</v>
      </c>
      <c r="K92" s="319">
        <f ca="1">INDIRECT(ADDRESS( A92, B92+1,1, TRUE,"Dati"))</f>
        <v>4</v>
      </c>
      <c r="L92" s="313">
        <f ca="1">Q92/Q$88</f>
        <v>0.21052631578947367</v>
      </c>
      <c r="M92" s="313">
        <f ca="1">L92-N92</f>
        <v>-6.8649885583524084E-3</v>
      </c>
      <c r="N92" s="313">
        <v>0.21739130434782608</v>
      </c>
      <c r="O92" s="313">
        <f>N92-P92</f>
        <v>-0.11594202898550723</v>
      </c>
      <c r="P92" s="313">
        <v>0.33333333333333331</v>
      </c>
      <c r="Q92" s="316">
        <f ca="1">INDIRECT(ADDRESS( $C92+1, A92+8,1, TRUE,"KPI2"))</f>
        <v>4</v>
      </c>
      <c r="R92" s="316">
        <v>5</v>
      </c>
      <c r="S92" s="316">
        <v>8</v>
      </c>
      <c r="T92" s="316">
        <v>11</v>
      </c>
      <c r="U92" s="631" t="str">
        <f ca="1">INDIRECT(ADDRESS( C92, 4,1, TRUE,"KPI2"))</f>
        <v>Se si utilizzano reti Wi-Fi quali sistemi di protezione vengono utilizzati?</v>
      </c>
      <c r="AF92" s="29"/>
      <c r="AG92" s="29"/>
      <c r="AH92" s="29"/>
      <c r="AI92" s="29"/>
      <c r="AJ92" s="29"/>
      <c r="AK92" s="29"/>
    </row>
    <row r="93" spans="1:37">
      <c r="A93" s="453">
        <v>4</v>
      </c>
      <c r="B93" s="453">
        <f t="shared" ref="B93:C95" si="3">B92</f>
        <v>53</v>
      </c>
      <c r="C93" s="453">
        <f t="shared" si="3"/>
        <v>14</v>
      </c>
      <c r="D93" s="455">
        <f ca="1">INDIRECT(ADDRESS( C93, 2,1, TRUE,"KPI2"))</f>
        <v>25</v>
      </c>
      <c r="E93" s="455"/>
      <c r="F93" s="456"/>
      <c r="G93" s="457"/>
      <c r="H93" s="456"/>
      <c r="I93" s="456"/>
      <c r="J93" s="316" t="str">
        <f ca="1">INDIRECT(ADDRESS( A93, B93,1, TRUE,"Dati"))</f>
        <v>WPA</v>
      </c>
      <c r="K93" s="319">
        <f ca="1">INDIRECT(ADDRESS( A93, B93+1,1, TRUE,"Dati"))</f>
        <v>10</v>
      </c>
      <c r="L93" s="313">
        <f ca="1">Q93/Q$88</f>
        <v>0.63157894736842102</v>
      </c>
      <c r="M93" s="313">
        <f ca="1">L93-N93</f>
        <v>-6.4073226544622441E-2</v>
      </c>
      <c r="N93" s="313">
        <v>0.69565217391304346</v>
      </c>
      <c r="O93" s="313">
        <f>N93-P93</f>
        <v>0.15398550724637683</v>
      </c>
      <c r="P93" s="313">
        <v>0.54166666666666663</v>
      </c>
      <c r="Q93" s="316">
        <f ca="1">INDIRECT(ADDRESS( $C93+1, A93+8,1, TRUE,"KPI2"))</f>
        <v>12</v>
      </c>
      <c r="R93" s="316">
        <v>16</v>
      </c>
      <c r="S93" s="316">
        <v>13</v>
      </c>
      <c r="T93" s="316">
        <v>10</v>
      </c>
      <c r="U93" s="632"/>
      <c r="AF93" s="29"/>
      <c r="AG93" s="29"/>
      <c r="AH93" s="29"/>
      <c r="AI93" s="29"/>
      <c r="AJ93" s="29"/>
      <c r="AK93" s="29"/>
    </row>
    <row r="94" spans="1:37">
      <c r="A94" s="453">
        <v>2</v>
      </c>
      <c r="B94" s="453">
        <f t="shared" si="3"/>
        <v>53</v>
      </c>
      <c r="C94" s="453">
        <f t="shared" si="3"/>
        <v>14</v>
      </c>
      <c r="D94" s="455">
        <f ca="1">INDIRECT(ADDRESS( C94, 2,1, TRUE,"KPI2"))</f>
        <v>25</v>
      </c>
      <c r="E94" s="455"/>
      <c r="F94" s="456"/>
      <c r="G94" s="457"/>
      <c r="H94" s="456"/>
      <c r="I94" s="456"/>
      <c r="J94" s="316" t="str">
        <f ca="1">INDIRECT(ADDRESS( A94, B94,1, TRUE,"Dati"))</f>
        <v>NESSUNO</v>
      </c>
      <c r="K94" s="319">
        <f ca="1">INDIRECT(ADDRESS( A94, B94+1,1, TRUE,"Dati"))</f>
        <v>0</v>
      </c>
      <c r="L94" s="313">
        <f ca="1">Q94/Q$88</f>
        <v>0</v>
      </c>
      <c r="M94" s="313">
        <f ca="1">L94-N94</f>
        <v>0</v>
      </c>
      <c r="N94" s="313">
        <v>0</v>
      </c>
      <c r="O94" s="313">
        <f>N94-P94</f>
        <v>0</v>
      </c>
      <c r="P94" s="313">
        <v>0</v>
      </c>
      <c r="Q94" s="475">
        <f ca="1">Q88-(Q92+Q93+Q95)</f>
        <v>0</v>
      </c>
      <c r="R94" s="475">
        <v>0</v>
      </c>
      <c r="S94" s="475">
        <v>0</v>
      </c>
      <c r="T94" s="316">
        <v>0</v>
      </c>
      <c r="U94" s="632"/>
      <c r="AF94" s="29"/>
      <c r="AG94" s="29"/>
      <c r="AH94" s="29"/>
      <c r="AI94" s="29"/>
      <c r="AJ94" s="29"/>
      <c r="AK94" s="29"/>
    </row>
    <row r="95" spans="1:37">
      <c r="A95" s="453">
        <v>1</v>
      </c>
      <c r="B95" s="453">
        <f t="shared" si="3"/>
        <v>53</v>
      </c>
      <c r="C95" s="453">
        <f t="shared" si="3"/>
        <v>14</v>
      </c>
      <c r="D95" s="455">
        <f ca="1">INDIRECT(ADDRESS( C95, 2,1, TRUE,"KPI2"))</f>
        <v>25</v>
      </c>
      <c r="E95" s="455"/>
      <c r="F95" s="456"/>
      <c r="G95" s="457"/>
      <c r="H95" s="456"/>
      <c r="I95" s="456"/>
      <c r="J95" s="316" t="str">
        <f ca="1">INDIRECT(ADDRESS( A95, B95,1, TRUE,"Dati"))</f>
        <v>--</v>
      </c>
      <c r="K95" s="319">
        <f ca="1">INDIRECT(ADDRESS( A95, B95+1,1, TRUE,"Dati"))</f>
        <v>0</v>
      </c>
      <c r="L95" s="313">
        <f ca="1">Q95/Q$88</f>
        <v>0.15789473684210525</v>
      </c>
      <c r="M95" s="313">
        <f ca="1">L95-N95</f>
        <v>7.0938215102974822E-2</v>
      </c>
      <c r="N95" s="313">
        <v>8.6956521739130432E-2</v>
      </c>
      <c r="O95" s="313">
        <f>N95-P95</f>
        <v>-3.8043478260869568E-2</v>
      </c>
      <c r="P95" s="313">
        <v>0.125</v>
      </c>
      <c r="Q95" s="316">
        <f ca="1">Q88-(Q93+Q92)</f>
        <v>3</v>
      </c>
      <c r="R95" s="316">
        <v>2</v>
      </c>
      <c r="S95" s="316">
        <v>3</v>
      </c>
      <c r="T95" s="316">
        <v>4</v>
      </c>
      <c r="U95" s="632"/>
      <c r="AF95" s="29"/>
      <c r="AG95" s="29"/>
      <c r="AH95" s="29"/>
      <c r="AI95" s="29"/>
      <c r="AJ95" s="29"/>
      <c r="AK95" s="29"/>
    </row>
    <row r="96" spans="1:37">
      <c r="A96" s="453"/>
      <c r="B96" s="453"/>
      <c r="C96" s="454"/>
      <c r="D96" s="455"/>
      <c r="E96" s="455"/>
      <c r="F96" s="456"/>
      <c r="G96" s="457"/>
      <c r="H96" s="456"/>
      <c r="I96" s="456"/>
      <c r="J96" s="314" t="s">
        <v>391</v>
      </c>
      <c r="K96" s="315"/>
      <c r="L96" s="313">
        <f ca="1">SUM(L92:L95)</f>
        <v>1</v>
      </c>
      <c r="M96" s="313"/>
      <c r="N96" s="313">
        <v>1</v>
      </c>
      <c r="O96" s="313"/>
      <c r="P96" s="313">
        <v>1</v>
      </c>
      <c r="Q96" s="315">
        <f ca="1">SUM(Q92:Q95)</f>
        <v>19</v>
      </c>
      <c r="R96" s="447">
        <v>23</v>
      </c>
      <c r="S96" s="447">
        <v>24</v>
      </c>
      <c r="T96" s="447">
        <v>25</v>
      </c>
      <c r="U96" s="463"/>
      <c r="AF96" s="29"/>
      <c r="AG96" s="29"/>
      <c r="AH96" s="29"/>
      <c r="AI96" s="29"/>
      <c r="AJ96" s="29"/>
      <c r="AK96" s="29"/>
    </row>
    <row r="97" spans="1:37">
      <c r="A97" s="453"/>
      <c r="B97" s="453"/>
      <c r="C97" s="454"/>
      <c r="D97" s="455"/>
      <c r="E97" s="455"/>
      <c r="F97" s="456"/>
      <c r="G97" s="457"/>
      <c r="H97" s="456"/>
      <c r="I97" s="456"/>
      <c r="J97" s="314"/>
      <c r="K97" s="315"/>
      <c r="L97" s="313"/>
      <c r="M97" s="313"/>
      <c r="N97" s="313"/>
      <c r="O97" s="313"/>
      <c r="P97" s="313"/>
      <c r="Q97" s="315"/>
      <c r="R97" s="447"/>
      <c r="S97" s="447"/>
      <c r="T97" s="316"/>
      <c r="U97" s="463"/>
      <c r="AF97" s="29"/>
      <c r="AG97" s="29"/>
      <c r="AH97" s="29"/>
      <c r="AI97" s="29"/>
      <c r="AJ97" s="29"/>
      <c r="AK97" s="29"/>
    </row>
    <row r="98" spans="1:37">
      <c r="A98" s="453">
        <v>3</v>
      </c>
      <c r="B98" s="453">
        <f>B95+2</f>
        <v>55</v>
      </c>
      <c r="C98" s="453">
        <f>C95+2</f>
        <v>16</v>
      </c>
      <c r="D98" s="455">
        <f ca="1">INDIRECT(ADDRESS( C98, 2,1, TRUE,"KPI2"))</f>
        <v>26</v>
      </c>
      <c r="E98" s="455" t="str">
        <f ca="1">INDIRECT(ADDRESS( C98, 3,1, TRUE,"KPI2"))</f>
        <v>KPI 2.6</v>
      </c>
      <c r="F98" s="464">
        <f ca="1">'Quesiti x SI'!S52</f>
        <v>7.7826086956521738</v>
      </c>
      <c r="G98" s="713">
        <f>'Risultati 2009'!$S$52</f>
        <v>7.6956521739130439</v>
      </c>
      <c r="H98" s="713">
        <f>'Risultati 2008'!$S$62</f>
        <v>6.2857142857142856</v>
      </c>
      <c r="I98" s="713">
        <f>'Risultati 2007'!$S$67</f>
        <v>6.5245901639344259</v>
      </c>
      <c r="J98" s="316" t="str">
        <f ca="1">INDIRECT(ADDRESS( A98, B98,1, TRUE,"Dati"))</f>
        <v>SI</v>
      </c>
      <c r="K98" s="319">
        <f ca="1">INDIRECT(ADDRESS( A98, B98+1,1, TRUE,"Dati"))</f>
        <v>0</v>
      </c>
      <c r="L98" s="313">
        <f ca="1">Q98/Q$101</f>
        <v>0.76086956521739135</v>
      </c>
      <c r="M98" s="313">
        <f t="shared" ref="M98:O104" ca="1" si="4">L98-N98</f>
        <v>2.1739130434782705E-2</v>
      </c>
      <c r="N98" s="313">
        <v>0.73913043478260865</v>
      </c>
      <c r="O98" s="313">
        <f t="shared" si="4"/>
        <v>0.16770186335403725</v>
      </c>
      <c r="P98" s="313">
        <v>0.5714285714285714</v>
      </c>
      <c r="Q98" s="316">
        <f ca="1">INDIRECT(ADDRESS( $C98+1, A98+8,1, TRUE,"KPI2"))</f>
        <v>35</v>
      </c>
      <c r="R98" s="316">
        <v>34</v>
      </c>
      <c r="S98" s="316">
        <v>32</v>
      </c>
      <c r="T98" s="316">
        <v>35</v>
      </c>
      <c r="U98" s="455" t="str">
        <f ca="1">INDIRECT(ADDRESS( C98, 4,1, TRUE,"KPI2"))</f>
        <v>Sono consentiti gli accessi alla rete interna da remoto ?</v>
      </c>
      <c r="AF98" s="29"/>
      <c r="AG98" s="29"/>
      <c r="AH98" s="29"/>
      <c r="AI98" s="29"/>
      <c r="AJ98" s="29"/>
      <c r="AK98" s="29"/>
    </row>
    <row r="99" spans="1:37">
      <c r="A99" s="453">
        <v>2</v>
      </c>
      <c r="B99" s="453">
        <f>B98</f>
        <v>55</v>
      </c>
      <c r="C99" s="454">
        <f>C98</f>
        <v>16</v>
      </c>
      <c r="D99" s="455"/>
      <c r="E99" s="455"/>
      <c r="F99" s="714">
        <f ca="1">(F98-G98)/G98</f>
        <v>1.1299435028248522E-2</v>
      </c>
      <c r="G99" s="714">
        <f>(G98-H98)/H98</f>
        <v>0.22430830039525701</v>
      </c>
      <c r="H99" s="714">
        <f>(H98-I98)/I98</f>
        <v>-3.6611629576453669E-2</v>
      </c>
      <c r="I99" s="456"/>
      <c r="J99" s="316" t="str">
        <f ca="1">INDIRECT(ADDRESS( A99, B99,1, TRUE,"Dati"))</f>
        <v>NO</v>
      </c>
      <c r="K99" s="319">
        <f ca="1">INDIRECT(ADDRESS( A99, B99+1,1, TRUE,"Dati"))</f>
        <v>6</v>
      </c>
      <c r="L99" s="313">
        <f ca="1">Q99/Q$101</f>
        <v>0.17391304347826086</v>
      </c>
      <c r="M99" s="313">
        <f t="shared" ca="1" si="4"/>
        <v>-2.1739130434782622E-2</v>
      </c>
      <c r="N99" s="313">
        <v>0.19565217391304349</v>
      </c>
      <c r="O99" s="313">
        <f t="shared" si="4"/>
        <v>-0.10791925465838506</v>
      </c>
      <c r="P99" s="313">
        <v>0.30357142857142855</v>
      </c>
      <c r="Q99" s="316">
        <f ca="1">INDIRECT(ADDRESS( $C99+1, A99+8,1, TRUE,"KPI2"))</f>
        <v>8</v>
      </c>
      <c r="R99" s="316">
        <v>9</v>
      </c>
      <c r="S99" s="316">
        <v>17</v>
      </c>
      <c r="T99" s="316">
        <v>18</v>
      </c>
      <c r="U99" s="463"/>
      <c r="AF99" s="29"/>
      <c r="AG99" s="29"/>
      <c r="AH99" s="29"/>
      <c r="AI99" s="29"/>
      <c r="AJ99" s="29"/>
      <c r="AK99" s="29"/>
    </row>
    <row r="100" spans="1:37">
      <c r="A100" s="453">
        <v>1</v>
      </c>
      <c r="B100" s="453">
        <f>B99</f>
        <v>55</v>
      </c>
      <c r="C100" s="454">
        <f>C99</f>
        <v>16</v>
      </c>
      <c r="D100" s="455"/>
      <c r="E100" s="455"/>
      <c r="F100" s="456"/>
      <c r="G100" s="457"/>
      <c r="H100" s="456"/>
      <c r="I100" s="456"/>
      <c r="J100" s="316" t="str">
        <f ca="1">INDIRECT(ADDRESS( A100, B100,1, TRUE,"Dati"))</f>
        <v>--</v>
      </c>
      <c r="K100" s="319">
        <f ca="1">INDIRECT(ADDRESS( A100, B100+1,1, TRUE,"Dati"))</f>
        <v>0</v>
      </c>
      <c r="L100" s="313">
        <f ca="1">Q100/Q$101</f>
        <v>6.5217391304347824E-2</v>
      </c>
      <c r="M100" s="313">
        <f t="shared" ca="1" si="4"/>
        <v>0</v>
      </c>
      <c r="N100" s="313">
        <v>6.5217391304347824E-2</v>
      </c>
      <c r="O100" s="313">
        <f t="shared" si="4"/>
        <v>-5.9782608695652176E-2</v>
      </c>
      <c r="P100" s="313">
        <v>0.125</v>
      </c>
      <c r="Q100" s="316">
        <f ca="1">INDIRECT(ADDRESS( $C100+1, A100+8,1, TRUE,"KPI2"))</f>
        <v>3</v>
      </c>
      <c r="R100" s="316">
        <v>3</v>
      </c>
      <c r="S100" s="316">
        <v>7</v>
      </c>
      <c r="T100" s="316">
        <v>8</v>
      </c>
      <c r="U100" s="463"/>
      <c r="AF100" s="29"/>
      <c r="AG100" s="29"/>
      <c r="AH100" s="29"/>
      <c r="AI100" s="29"/>
      <c r="AJ100" s="29"/>
      <c r="AK100" s="29"/>
    </row>
    <row r="101" spans="1:37">
      <c r="A101" s="453"/>
      <c r="B101" s="453"/>
      <c r="C101" s="454"/>
      <c r="D101" s="455"/>
      <c r="E101" s="455"/>
      <c r="F101" s="456"/>
      <c r="G101" s="457"/>
      <c r="H101" s="456"/>
      <c r="I101" s="456"/>
      <c r="J101" s="314" t="s">
        <v>391</v>
      </c>
      <c r="K101" s="315"/>
      <c r="L101" s="313">
        <f ca="1">SUM(L98:L100)</f>
        <v>1</v>
      </c>
      <c r="M101" s="313">
        <f t="shared" ca="1" si="4"/>
        <v>0</v>
      </c>
      <c r="N101" s="313">
        <v>0.99999999999999989</v>
      </c>
      <c r="O101" s="313">
        <f t="shared" si="4"/>
        <v>0</v>
      </c>
      <c r="P101" s="313">
        <v>1</v>
      </c>
      <c r="Q101" s="315">
        <f ca="1">SUM(Q98:Q100)</f>
        <v>46</v>
      </c>
      <c r="R101" s="447">
        <v>46</v>
      </c>
      <c r="S101" s="447">
        <v>56</v>
      </c>
      <c r="T101" s="316">
        <v>61</v>
      </c>
      <c r="U101" s="463"/>
      <c r="AF101" s="29"/>
      <c r="AG101" s="29"/>
      <c r="AH101" s="29"/>
      <c r="AI101" s="29"/>
      <c r="AJ101" s="29"/>
      <c r="AK101" s="29"/>
    </row>
    <row r="102" spans="1:37">
      <c r="A102" s="453">
        <v>3</v>
      </c>
      <c r="B102" s="453">
        <f>B100+2</f>
        <v>57</v>
      </c>
      <c r="C102" s="453">
        <f>C100+2</f>
        <v>18</v>
      </c>
      <c r="D102" s="455">
        <f ca="1">INDIRECT(ADDRESS( C102, 2,1, TRUE,"KPI2"))</f>
        <v>27</v>
      </c>
      <c r="E102" s="455" t="str">
        <f ca="1">INDIRECT(ADDRESS( C102, 3,1, TRUE,"KPI2"))</f>
        <v>KPI 2.6a</v>
      </c>
      <c r="F102" s="456"/>
      <c r="G102" s="457"/>
      <c r="H102" s="464"/>
      <c r="I102" s="464"/>
      <c r="J102" s="316" t="str">
        <f ca="1">INDIRECT(ADDRESS( A102, B102,1, TRUE,"Dati"))</f>
        <v>Accesso remoto senza  VPN</v>
      </c>
      <c r="K102" s="319">
        <f ca="1">INDIRECT(ADDRESS( A102, B102+1,1, TRUE,"Dati"))</f>
        <v>0</v>
      </c>
      <c r="L102" s="313">
        <f ca="1">Q102/Q$98</f>
        <v>5.7142857142857141E-2</v>
      </c>
      <c r="M102" s="313">
        <f t="shared" ca="1" si="4"/>
        <v>-6.0504201680672269E-2</v>
      </c>
      <c r="N102" s="313">
        <v>0.11764705882352941</v>
      </c>
      <c r="O102" s="313">
        <f t="shared" si="4"/>
        <v>-0.10110294117647059</v>
      </c>
      <c r="P102" s="313">
        <v>0.21875</v>
      </c>
      <c r="Q102" s="316">
        <f ca="1">INDIRECT(ADDRESS( $C102+1, A102+8,1, TRUE,"KPI2"))</f>
        <v>2</v>
      </c>
      <c r="R102" s="316">
        <v>4</v>
      </c>
      <c r="S102" s="316">
        <v>7</v>
      </c>
      <c r="T102" s="316">
        <v>6</v>
      </c>
      <c r="U102" s="631" t="str">
        <f ca="1">INDIRECT(ADDRESS( C102, 4,1, TRUE,"KPI2"))</f>
        <v>Nel caso sia consentito l'accesso alla rete interna da remoto, la modalità di connessione utilizza VPN ?</v>
      </c>
      <c r="AF102" s="29"/>
      <c r="AG102" s="29"/>
      <c r="AH102" s="29"/>
      <c r="AI102" s="29"/>
      <c r="AJ102" s="29"/>
      <c r="AK102" s="29"/>
    </row>
    <row r="103" spans="1:37">
      <c r="A103" s="453">
        <v>2</v>
      </c>
      <c r="B103" s="453">
        <f>B102</f>
        <v>57</v>
      </c>
      <c r="C103" s="453">
        <f>C102</f>
        <v>18</v>
      </c>
      <c r="D103" s="455">
        <f ca="1">INDIRECT(ADDRESS( C103, 2,1, TRUE,"KPI2"))</f>
        <v>27</v>
      </c>
      <c r="E103" s="455"/>
      <c r="F103" s="456"/>
      <c r="G103" s="457"/>
      <c r="H103" s="456"/>
      <c r="I103" s="456"/>
      <c r="J103" s="316" t="str">
        <f ca="1">INDIRECT(ADDRESS( A103, B103,1, TRUE,"Dati"))</f>
        <v>Accesso remoto mediante  VPN</v>
      </c>
      <c r="K103" s="319">
        <f ca="1">INDIRECT(ADDRESS( A103, B103+1,1, TRUE,"Dati"))</f>
        <v>10</v>
      </c>
      <c r="L103" s="313">
        <f ca="1">Q103/Q$98</f>
        <v>0.88571428571428568</v>
      </c>
      <c r="M103" s="313">
        <f t="shared" ca="1" si="4"/>
        <v>3.3613445378151141E-3</v>
      </c>
      <c r="N103" s="313">
        <v>0.88235294117647056</v>
      </c>
      <c r="O103" s="313">
        <f t="shared" si="4"/>
        <v>0.10110294117647056</v>
      </c>
      <c r="P103" s="313">
        <v>0.78125</v>
      </c>
      <c r="Q103" s="316">
        <f ca="1">INDIRECT(ADDRESS( $C103+1, A103+8,1, TRUE,"KPI2"))</f>
        <v>31</v>
      </c>
      <c r="R103" s="316">
        <v>30</v>
      </c>
      <c r="S103" s="316">
        <v>25</v>
      </c>
      <c r="T103" s="316">
        <v>29</v>
      </c>
      <c r="U103" s="632"/>
      <c r="AF103" s="29"/>
      <c r="AG103" s="29"/>
      <c r="AH103" s="29"/>
      <c r="AI103" s="29"/>
      <c r="AJ103" s="29"/>
      <c r="AK103" s="29"/>
    </row>
    <row r="104" spans="1:37">
      <c r="A104" s="453">
        <v>1</v>
      </c>
      <c r="B104" s="453">
        <f>B103</f>
        <v>57</v>
      </c>
      <c r="C104" s="453">
        <f>C103</f>
        <v>18</v>
      </c>
      <c r="D104" s="455">
        <f ca="1">INDIRECT(ADDRESS( C104, 2,1, TRUE,"KPI2"))</f>
        <v>27</v>
      </c>
      <c r="E104" s="455"/>
      <c r="F104" s="456"/>
      <c r="G104" s="457"/>
      <c r="H104" s="456"/>
      <c r="I104" s="456"/>
      <c r="J104" s="316" t="str">
        <f ca="1">INDIRECT(ADDRESS( A104, B104,1, TRUE,"Dati"))</f>
        <v>--</v>
      </c>
      <c r="K104" s="319">
        <f ca="1">INDIRECT(ADDRESS( A104, B104+1,1, TRUE,"Dati"))</f>
        <v>0</v>
      </c>
      <c r="L104" s="313">
        <f ca="1">Q104/Q$98</f>
        <v>5.7142857142857141E-2</v>
      </c>
      <c r="M104" s="313">
        <f t="shared" ca="1" si="4"/>
        <v>5.7142857142857141E-2</v>
      </c>
      <c r="N104" s="313">
        <v>0</v>
      </c>
      <c r="O104" s="313">
        <f t="shared" si="4"/>
        <v>0</v>
      </c>
      <c r="P104" s="313">
        <v>0</v>
      </c>
      <c r="Q104" s="316">
        <f ca="1">Q98-(Q102+Q103)</f>
        <v>2</v>
      </c>
      <c r="R104" s="316">
        <v>0</v>
      </c>
      <c r="S104" s="316">
        <v>0</v>
      </c>
      <c r="T104" s="316">
        <v>0</v>
      </c>
      <c r="U104" s="632"/>
      <c r="AF104" s="29"/>
      <c r="AG104" s="29"/>
      <c r="AH104" s="29"/>
      <c r="AI104" s="29"/>
      <c r="AJ104" s="29"/>
      <c r="AK104" s="29"/>
    </row>
    <row r="105" spans="1:37">
      <c r="A105" s="453"/>
      <c r="B105" s="453"/>
      <c r="C105" s="454"/>
      <c r="D105" s="455"/>
      <c r="E105" s="455"/>
      <c r="F105" s="456"/>
      <c r="G105" s="457"/>
      <c r="H105" s="456"/>
      <c r="I105" s="456"/>
      <c r="J105" s="314" t="s">
        <v>391</v>
      </c>
      <c r="K105" s="315"/>
      <c r="L105" s="313">
        <f ca="1">SUM(L102:L104)</f>
        <v>1</v>
      </c>
      <c r="M105" s="313"/>
      <c r="N105" s="313">
        <v>1</v>
      </c>
      <c r="O105" s="313"/>
      <c r="P105" s="313">
        <v>1</v>
      </c>
      <c r="Q105" s="315">
        <f ca="1">SUM(Q102:Q104)</f>
        <v>35</v>
      </c>
      <c r="R105" s="447">
        <v>34</v>
      </c>
      <c r="S105" s="447">
        <v>32</v>
      </c>
      <c r="T105" s="447">
        <v>35</v>
      </c>
      <c r="U105" s="463"/>
      <c r="AF105" s="29"/>
      <c r="AG105" s="29"/>
      <c r="AH105" s="29"/>
      <c r="AI105" s="29"/>
      <c r="AJ105" s="29"/>
      <c r="AK105" s="29"/>
    </row>
    <row r="106" spans="1:37">
      <c r="A106" s="453"/>
      <c r="B106" s="453"/>
      <c r="C106" s="454"/>
      <c r="D106" s="455"/>
      <c r="E106" s="455"/>
      <c r="F106" s="456"/>
      <c r="G106" s="457"/>
      <c r="H106" s="456"/>
      <c r="I106" s="456"/>
      <c r="J106" s="314"/>
      <c r="K106" s="315"/>
      <c r="L106" s="313"/>
      <c r="M106" s="313"/>
      <c r="N106" s="313"/>
      <c r="O106" s="313"/>
      <c r="P106" s="313"/>
      <c r="Q106" s="315"/>
      <c r="R106" s="447"/>
      <c r="S106" s="447"/>
      <c r="T106" s="316"/>
      <c r="U106" s="463"/>
      <c r="AF106" s="29"/>
      <c r="AG106" s="29"/>
      <c r="AH106" s="29"/>
      <c r="AI106" s="29"/>
      <c r="AJ106" s="29"/>
      <c r="AK106" s="29"/>
    </row>
    <row r="107" spans="1:37">
      <c r="A107" s="453">
        <v>3</v>
      </c>
      <c r="B107" s="453">
        <f>B104+2</f>
        <v>59</v>
      </c>
      <c r="C107" s="453">
        <f>C104+2</f>
        <v>20</v>
      </c>
      <c r="D107" s="455">
        <f ca="1">INDIRECT(ADDRESS( C107, 2,1, TRUE,"KPI2"))</f>
        <v>28</v>
      </c>
      <c r="E107" s="455" t="str">
        <f ca="1">INDIRECT(ADDRESS( C107, 3,1, TRUE,"KPI2"))</f>
        <v>KPI 2.7</v>
      </c>
      <c r="F107" s="464">
        <f ca="1">'Quesiti x SI'!T52</f>
        <v>9.2173913043478262</v>
      </c>
      <c r="G107" s="713">
        <f>'Risultati 2009'!$T$52</f>
        <v>9.1304347826086953</v>
      </c>
      <c r="H107" s="713">
        <f>'Risultati 2008'!$T$62</f>
        <v>8.8214285714285712</v>
      </c>
      <c r="I107" s="713">
        <f>'Risultati 2007'!$T$67</f>
        <v>8.7868852459016402</v>
      </c>
      <c r="J107" s="316" t="str">
        <f ca="1">INDIRECT(ADDRESS( A107, B107,1, TRUE,"Dati"))</f>
        <v>SI</v>
      </c>
      <c r="K107" s="319">
        <f ca="1">INDIRECT(ADDRESS( A107, B107+1,1, TRUE,"Dati"))</f>
        <v>6</v>
      </c>
      <c r="L107" s="313">
        <f ca="1">Q107/Q$77</f>
        <v>0.95652173913043481</v>
      </c>
      <c r="M107" s="313">
        <f t="shared" ref="M107:O113" ca="1" si="5">L107-N107</f>
        <v>0</v>
      </c>
      <c r="N107" s="313">
        <v>0.95652173913043481</v>
      </c>
      <c r="O107" s="313">
        <f t="shared" si="5"/>
        <v>4.5807453416149113E-2</v>
      </c>
      <c r="P107" s="313">
        <v>0.9107142857142857</v>
      </c>
      <c r="Q107" s="316">
        <f ca="1">INDIRECT(ADDRESS( $C107+1, A107+8,1, TRUE,"KPI2"))</f>
        <v>44</v>
      </c>
      <c r="R107" s="316">
        <v>44</v>
      </c>
      <c r="S107" s="316">
        <v>51</v>
      </c>
      <c r="T107" s="316">
        <v>56</v>
      </c>
      <c r="U107" s="631" t="str">
        <f ca="1">INDIRECT(ADDRESS( C107, 4,1, TRUE,"KPI2"))</f>
        <v>Viene utilizzato un firewall per la protezione delle connessioni alla rete pubblica?</v>
      </c>
      <c r="AF107" s="29"/>
      <c r="AG107" s="29"/>
      <c r="AH107" s="29"/>
      <c r="AI107" s="29"/>
      <c r="AJ107" s="29"/>
      <c r="AK107" s="29"/>
    </row>
    <row r="108" spans="1:37">
      <c r="A108" s="453">
        <v>2</v>
      </c>
      <c r="B108" s="453">
        <f>B107</f>
        <v>59</v>
      </c>
      <c r="C108" s="454">
        <f>C107</f>
        <v>20</v>
      </c>
      <c r="D108" s="455"/>
      <c r="E108" s="455"/>
      <c r="F108" s="714">
        <f ca="1">(F107-G107)/G107</f>
        <v>9.5238095238095663E-3</v>
      </c>
      <c r="G108" s="714">
        <f>(G107-H107)/H107</f>
        <v>3.5029044182362253E-2</v>
      </c>
      <c r="H108" s="714">
        <f>(H107-I107)/I107</f>
        <v>3.9312366737738582E-3</v>
      </c>
      <c r="I108" s="456"/>
      <c r="J108" s="316" t="str">
        <f ca="1">INDIRECT(ADDRESS( A108, B108,1, TRUE,"Dati"))</f>
        <v>NO</v>
      </c>
      <c r="K108" s="319">
        <f ca="1">INDIRECT(ADDRESS( A108, B108+1,1, TRUE,"Dati"))</f>
        <v>0</v>
      </c>
      <c r="L108" s="313">
        <f ca="1">Q108/Q$77</f>
        <v>0</v>
      </c>
      <c r="M108" s="313">
        <f t="shared" ca="1" si="5"/>
        <v>0</v>
      </c>
      <c r="N108" s="313">
        <v>0</v>
      </c>
      <c r="O108" s="313">
        <f t="shared" si="5"/>
        <v>0</v>
      </c>
      <c r="P108" s="313">
        <v>0</v>
      </c>
      <c r="Q108" s="316">
        <f ca="1">INDIRECT(ADDRESS( $C108+1, A108+8,1, TRUE,"KPI2"))</f>
        <v>0</v>
      </c>
      <c r="R108" s="316">
        <v>0</v>
      </c>
      <c r="S108" s="316">
        <v>0</v>
      </c>
      <c r="T108" s="316">
        <v>2</v>
      </c>
      <c r="U108" s="632"/>
      <c r="AF108" s="29"/>
      <c r="AG108" s="29"/>
      <c r="AH108" s="29"/>
      <c r="AI108" s="29"/>
      <c r="AJ108" s="29"/>
      <c r="AK108" s="29"/>
    </row>
    <row r="109" spans="1:37">
      <c r="A109" s="453">
        <v>1</v>
      </c>
      <c r="B109" s="453">
        <f>B108</f>
        <v>59</v>
      </c>
      <c r="C109" s="454">
        <f>C108</f>
        <v>20</v>
      </c>
      <c r="D109" s="455"/>
      <c r="E109" s="455"/>
      <c r="F109" s="456"/>
      <c r="G109" s="457"/>
      <c r="H109" s="456"/>
      <c r="I109" s="456"/>
      <c r="J109" s="316" t="str">
        <f ca="1">INDIRECT(ADDRESS( A109, B109,1, TRUE,"Dati"))</f>
        <v>--</v>
      </c>
      <c r="K109" s="319">
        <f ca="1">INDIRECT(ADDRESS( A109, B109+1,1, TRUE,"Dati"))</f>
        <v>0</v>
      </c>
      <c r="L109" s="313">
        <f ca="1">Q109/Q$77</f>
        <v>4.3478260869565216E-2</v>
      </c>
      <c r="M109" s="313">
        <f t="shared" ca="1" si="5"/>
        <v>0</v>
      </c>
      <c r="N109" s="313">
        <v>4.3478260869565216E-2</v>
      </c>
      <c r="O109" s="313">
        <f t="shared" si="5"/>
        <v>-4.5807453416149072E-2</v>
      </c>
      <c r="P109" s="313">
        <v>8.9285714285714288E-2</v>
      </c>
      <c r="Q109" s="316">
        <f ca="1">INDIRECT(ADDRESS( $C109+1, A109+8,1, TRUE,"KPI2"))</f>
        <v>2</v>
      </c>
      <c r="R109" s="316">
        <v>2</v>
      </c>
      <c r="S109" s="316">
        <v>5</v>
      </c>
      <c r="T109" s="316">
        <v>3</v>
      </c>
      <c r="U109" s="632"/>
      <c r="AF109" s="29"/>
      <c r="AG109" s="29"/>
      <c r="AH109" s="29"/>
      <c r="AI109" s="29"/>
      <c r="AJ109" s="29"/>
      <c r="AK109" s="29"/>
    </row>
    <row r="110" spans="1:37">
      <c r="A110" s="453"/>
      <c r="B110" s="453"/>
      <c r="C110" s="454"/>
      <c r="D110" s="455"/>
      <c r="E110" s="455"/>
      <c r="F110" s="456"/>
      <c r="G110" s="457"/>
      <c r="H110" s="456"/>
      <c r="I110" s="456"/>
      <c r="J110" s="314" t="s">
        <v>391</v>
      </c>
      <c r="K110" s="315"/>
      <c r="L110" s="313">
        <f ca="1">SUM(L107:L109)</f>
        <v>1</v>
      </c>
      <c r="M110" s="313">
        <f t="shared" ca="1" si="5"/>
        <v>0</v>
      </c>
      <c r="N110" s="313">
        <v>1</v>
      </c>
      <c r="O110" s="313">
        <f t="shared" si="5"/>
        <v>0</v>
      </c>
      <c r="P110" s="313">
        <v>1</v>
      </c>
      <c r="Q110" s="315">
        <f ca="1">SUM(Q107:Q109)</f>
        <v>46</v>
      </c>
      <c r="R110" s="447">
        <v>46</v>
      </c>
      <c r="S110" s="447">
        <v>56</v>
      </c>
      <c r="T110" s="316">
        <v>61</v>
      </c>
      <c r="U110" s="463"/>
      <c r="AF110" s="29"/>
      <c r="AG110" s="29"/>
      <c r="AH110" s="29"/>
      <c r="AI110" s="29"/>
      <c r="AJ110" s="29"/>
      <c r="AK110" s="29"/>
    </row>
    <row r="111" spans="1:37">
      <c r="A111" s="453">
        <v>3</v>
      </c>
      <c r="B111" s="453">
        <f>B109+2</f>
        <v>61</v>
      </c>
      <c r="C111" s="453">
        <f>C108+2</f>
        <v>22</v>
      </c>
      <c r="D111" s="455">
        <f ca="1">INDIRECT(ADDRESS( C111, 2,1, TRUE,"KPI2"))</f>
        <v>29</v>
      </c>
      <c r="E111" s="455" t="str">
        <f ca="1">INDIRECT(ADDRESS( C111, 3,1, TRUE,"KPI2"))</f>
        <v>KPI 2.7a</v>
      </c>
      <c r="F111" s="464"/>
      <c r="G111" s="466"/>
      <c r="H111" s="464"/>
      <c r="I111" s="464"/>
      <c r="J111" s="316" t="str">
        <f ca="1">INDIRECT(ADDRESS( A111, B111,1, TRUE,"Dati"))</f>
        <v>SI</v>
      </c>
      <c r="K111" s="319">
        <f ca="1">INDIRECT(ADDRESS( A111, B111+1,1, TRUE,"Dati"))</f>
        <v>4</v>
      </c>
      <c r="L111" s="313">
        <f ca="1">Q111/Q$107</f>
        <v>0.90909090909090906</v>
      </c>
      <c r="M111" s="313">
        <f t="shared" ca="1" si="5"/>
        <v>2.2727272727272707E-2</v>
      </c>
      <c r="N111" s="313">
        <v>0.88636363636363635</v>
      </c>
      <c r="O111" s="313">
        <f t="shared" si="5"/>
        <v>-3.5204991087343984E-2</v>
      </c>
      <c r="P111" s="313">
        <v>0.92156862745098034</v>
      </c>
      <c r="Q111" s="316">
        <f ca="1">INDIRECT(ADDRESS( $C111+1, A111+8,1, TRUE,"KPI2"))</f>
        <v>40</v>
      </c>
      <c r="R111" s="316">
        <v>39</v>
      </c>
      <c r="S111" s="316">
        <v>47</v>
      </c>
      <c r="T111" s="316">
        <v>50</v>
      </c>
      <c r="U111" s="631" t="str">
        <f ca="1">INDIRECT(ADDRESS( C111, 4,1, TRUE,"KPI2"))</f>
        <v>Nel caso vengano utilizzati firewall, la configurazione dei firewall per l'accesso alla rete pubblica prevede una o più DMZ (Demilitarized Zone) per il posizionamento dei server direttamente accessibilità da internet?</v>
      </c>
      <c r="AF111" s="29"/>
      <c r="AG111" s="29"/>
      <c r="AH111" s="29"/>
      <c r="AI111" s="29"/>
      <c r="AJ111" s="29"/>
      <c r="AK111" s="29"/>
    </row>
    <row r="112" spans="1:37">
      <c r="A112" s="453">
        <v>2</v>
      </c>
      <c r="B112" s="453">
        <f>B111</f>
        <v>61</v>
      </c>
      <c r="C112" s="454">
        <f>C111</f>
        <v>22</v>
      </c>
      <c r="D112" s="455"/>
      <c r="E112" s="455"/>
      <c r="F112" s="456"/>
      <c r="G112" s="457"/>
      <c r="H112" s="456"/>
      <c r="I112" s="456"/>
      <c r="J112" s="316" t="str">
        <f ca="1">INDIRECT(ADDRESS( A112, B112,1, TRUE,"Dati"))</f>
        <v>NO</v>
      </c>
      <c r="K112" s="319">
        <f ca="1">INDIRECT(ADDRESS( A112, B112+1,1, TRUE,"Dati"))</f>
        <v>0</v>
      </c>
      <c r="L112" s="313">
        <f ca="1">Q112/Q$107</f>
        <v>4.5454545454545456E-2</v>
      </c>
      <c r="M112" s="313">
        <f t="shared" ca="1" si="5"/>
        <v>-2.2727272727272721E-2</v>
      </c>
      <c r="N112" s="313">
        <v>6.8181818181818177E-2</v>
      </c>
      <c r="O112" s="313">
        <f t="shared" si="5"/>
        <v>9.3582887700534717E-3</v>
      </c>
      <c r="P112" s="313">
        <v>5.8823529411764705E-2</v>
      </c>
      <c r="Q112" s="316">
        <f ca="1">INDIRECT(ADDRESS( $C112+1, A112+8,1, TRUE,"KPI2"))</f>
        <v>2</v>
      </c>
      <c r="R112" s="316">
        <v>3</v>
      </c>
      <c r="S112" s="316">
        <v>3</v>
      </c>
      <c r="T112" s="316">
        <v>1</v>
      </c>
      <c r="U112" s="632"/>
      <c r="AF112" s="29"/>
      <c r="AG112" s="29"/>
      <c r="AH112" s="29"/>
      <c r="AI112" s="29"/>
      <c r="AJ112" s="29"/>
      <c r="AK112" s="29"/>
    </row>
    <row r="113" spans="1:37">
      <c r="A113" s="453">
        <v>1</v>
      </c>
      <c r="B113" s="453">
        <f>B112</f>
        <v>61</v>
      </c>
      <c r="C113" s="454">
        <f>C112</f>
        <v>22</v>
      </c>
      <c r="D113" s="455"/>
      <c r="E113" s="455"/>
      <c r="F113" s="456"/>
      <c r="G113" s="457"/>
      <c r="H113" s="456"/>
      <c r="I113" s="456"/>
      <c r="J113" s="316" t="str">
        <f ca="1">INDIRECT(ADDRESS( A113, B113,1, TRUE,"Dati"))</f>
        <v>--</v>
      </c>
      <c r="K113" s="319">
        <f ca="1">INDIRECT(ADDRESS( A113, B113+1,1, TRUE,"Dati"))</f>
        <v>0</v>
      </c>
      <c r="L113" s="313">
        <f ca="1">Q113/Q$107</f>
        <v>4.5454545454545456E-2</v>
      </c>
      <c r="M113" s="313">
        <f t="shared" ca="1" si="5"/>
        <v>0</v>
      </c>
      <c r="N113" s="313">
        <v>4.5454545454545456E-2</v>
      </c>
      <c r="O113" s="313">
        <f t="shared" si="5"/>
        <v>2.5846702317290554E-2</v>
      </c>
      <c r="P113" s="313">
        <v>1.9607843137254902E-2</v>
      </c>
      <c r="Q113" s="316">
        <f ca="1">Q107-(Q111+Q112)</f>
        <v>2</v>
      </c>
      <c r="R113" s="316">
        <v>2</v>
      </c>
      <c r="S113" s="316">
        <v>1</v>
      </c>
      <c r="T113" s="316">
        <v>5</v>
      </c>
      <c r="U113" s="632"/>
      <c r="AF113" s="29"/>
      <c r="AG113" s="29"/>
      <c r="AH113" s="29"/>
      <c r="AI113" s="29"/>
      <c r="AJ113" s="29"/>
      <c r="AK113" s="29"/>
    </row>
    <row r="114" spans="1:37">
      <c r="A114" s="453"/>
      <c r="B114" s="453"/>
      <c r="C114" s="454"/>
      <c r="D114" s="455"/>
      <c r="E114" s="455"/>
      <c r="F114" s="456"/>
      <c r="G114" s="457"/>
      <c r="H114" s="456"/>
      <c r="I114" s="456"/>
      <c r="J114" s="314" t="s">
        <v>391</v>
      </c>
      <c r="K114" s="315"/>
      <c r="L114" s="313">
        <f ca="1">SUM(L111:L113)</f>
        <v>0.99999999999999989</v>
      </c>
      <c r="M114" s="313"/>
      <c r="N114" s="313">
        <v>1</v>
      </c>
      <c r="O114" s="313"/>
      <c r="P114" s="313">
        <v>1</v>
      </c>
      <c r="Q114" s="315">
        <f ca="1">SUM(Q111:Q113)</f>
        <v>44</v>
      </c>
      <c r="R114" s="447">
        <v>44</v>
      </c>
      <c r="S114" s="447">
        <v>51</v>
      </c>
      <c r="T114" s="447">
        <v>56</v>
      </c>
      <c r="U114" s="463"/>
      <c r="AF114" s="29"/>
      <c r="AG114" s="29"/>
      <c r="AH114" s="29"/>
      <c r="AI114" s="29"/>
      <c r="AJ114" s="29"/>
      <c r="AK114" s="29"/>
    </row>
    <row r="115" spans="1:37">
      <c r="A115" s="453"/>
      <c r="B115" s="453"/>
      <c r="C115" s="454"/>
      <c r="D115" s="455"/>
      <c r="E115" s="455"/>
      <c r="F115" s="456"/>
      <c r="G115" s="457"/>
      <c r="H115" s="456"/>
      <c r="I115" s="456"/>
      <c r="J115" s="314"/>
      <c r="K115" s="315"/>
      <c r="L115" s="313"/>
      <c r="M115" s="313"/>
      <c r="N115" s="313"/>
      <c r="O115" s="313"/>
      <c r="P115" s="313"/>
      <c r="Q115" s="315"/>
      <c r="R115" s="447"/>
      <c r="S115" s="447"/>
      <c r="T115" s="316"/>
      <c r="U115" s="463"/>
      <c r="AF115" s="29"/>
      <c r="AG115" s="29"/>
      <c r="AH115" s="29"/>
      <c r="AI115" s="29"/>
      <c r="AJ115" s="29"/>
      <c r="AK115" s="29"/>
    </row>
    <row r="116" spans="1:37">
      <c r="A116" s="453">
        <v>3</v>
      </c>
      <c r="B116" s="453">
        <f>B113+2</f>
        <v>63</v>
      </c>
      <c r="C116" s="453">
        <f>C113+2</f>
        <v>24</v>
      </c>
      <c r="D116" s="455">
        <f ca="1">INDIRECT(ADDRESS( C116, 2,1, TRUE,"KPI2"))</f>
        <v>30</v>
      </c>
      <c r="E116" s="455" t="str">
        <f ca="1">INDIRECT(ADDRESS( C116, 3,1, TRUE,"KPI2"))</f>
        <v>KPI 2.8</v>
      </c>
      <c r="F116" s="464">
        <f ca="1">'Quesiti x SI'!U52</f>
        <v>7.3913043478260869</v>
      </c>
      <c r="G116" s="713">
        <f>'Risultati 2009'!$U$52</f>
        <v>7.1739130434782608</v>
      </c>
      <c r="H116" s="713">
        <f>'Risultati 2008'!$U$62</f>
        <v>6.6071428571428568</v>
      </c>
      <c r="I116" s="713">
        <f>'Risultati 2007'!$U$67</f>
        <v>6.0655737704918034</v>
      </c>
      <c r="J116" s="316" t="str">
        <f ca="1">INDIRECT(ADDRESS( A116, B116,1, TRUE,"Dati"))</f>
        <v>SI</v>
      </c>
      <c r="K116" s="319">
        <f ca="1">INDIRECT(ADDRESS( A116, B116+1,1, TRUE,"Dati"))</f>
        <v>10</v>
      </c>
      <c r="L116" s="313">
        <f ca="1">Q116/Q$119</f>
        <v>0.73913043478260865</v>
      </c>
      <c r="M116" s="313">
        <f ca="1">L116-N116</f>
        <v>2.1739130434782594E-2</v>
      </c>
      <c r="N116" s="313">
        <v>0.71739130434782605</v>
      </c>
      <c r="O116" s="313">
        <f>N116-P116</f>
        <v>5.6677018633540355E-2</v>
      </c>
      <c r="P116" s="313">
        <v>0.6607142857142857</v>
      </c>
      <c r="Q116" s="316">
        <f ca="1">INDIRECT(ADDRESS( $C116+1, A116+8,1, TRUE,"KPI2"))</f>
        <v>34</v>
      </c>
      <c r="R116" s="316">
        <v>33</v>
      </c>
      <c r="S116" s="316">
        <v>37</v>
      </c>
      <c r="T116" s="316">
        <v>37</v>
      </c>
      <c r="U116" s="631" t="str">
        <f ca="1">INDIRECT(ADDRESS( C116, 4,1, TRUE,"KPI2"))</f>
        <v>Viene utilizzato un IDS/IPS per la protezione delle connessioni alla rete pubblica?</v>
      </c>
      <c r="AF116" s="29"/>
      <c r="AG116" s="29"/>
      <c r="AH116" s="29"/>
      <c r="AI116" s="29"/>
      <c r="AJ116" s="29"/>
      <c r="AK116" s="29"/>
    </row>
    <row r="117" spans="1:37">
      <c r="A117" s="453">
        <v>2</v>
      </c>
      <c r="B117" s="453">
        <f>B116</f>
        <v>63</v>
      </c>
      <c r="C117" s="454">
        <f>C116</f>
        <v>24</v>
      </c>
      <c r="D117" s="455"/>
      <c r="E117" s="455"/>
      <c r="F117" s="714">
        <f ca="1">(F116-G116)/G116</f>
        <v>3.0303030303030314E-2</v>
      </c>
      <c r="G117" s="714">
        <f>(G116-H116)/H116</f>
        <v>8.5781433607520607E-2</v>
      </c>
      <c r="H117" s="714">
        <f>(H116-I116)/I116</f>
        <v>8.9285714285714204E-2</v>
      </c>
      <c r="I117" s="456"/>
      <c r="J117" s="316" t="str">
        <f ca="1">INDIRECT(ADDRESS( A117, B117,1, TRUE,"Dati"))</f>
        <v>NO</v>
      </c>
      <c r="K117" s="319">
        <f ca="1">INDIRECT(ADDRESS( A117, B117+1,1, TRUE,"Dati"))</f>
        <v>0</v>
      </c>
      <c r="L117" s="313">
        <f ca="1">Q117/Q$119</f>
        <v>0.10869565217391304</v>
      </c>
      <c r="M117" s="313">
        <f ca="1">L117-N117</f>
        <v>-6.5217391304347824E-2</v>
      </c>
      <c r="N117" s="313">
        <v>0.17391304347826086</v>
      </c>
      <c r="O117" s="313">
        <f>N117-P117</f>
        <v>-4.0372670807453409E-2</v>
      </c>
      <c r="P117" s="313">
        <v>0.21428571428571427</v>
      </c>
      <c r="Q117" s="316">
        <f ca="1">INDIRECT(ADDRESS( $C117+1, A117+8,1, TRUE,"KPI2"))</f>
        <v>5</v>
      </c>
      <c r="R117" s="316">
        <v>8</v>
      </c>
      <c r="S117" s="316">
        <v>12</v>
      </c>
      <c r="T117" s="316">
        <v>14</v>
      </c>
      <c r="U117" s="632"/>
      <c r="AF117" s="29"/>
      <c r="AG117" s="29"/>
      <c r="AH117" s="29"/>
      <c r="AI117" s="29"/>
      <c r="AJ117" s="29"/>
      <c r="AK117" s="29"/>
    </row>
    <row r="118" spans="1:37">
      <c r="A118" s="453">
        <v>1</v>
      </c>
      <c r="B118" s="453">
        <f>B117</f>
        <v>63</v>
      </c>
      <c r="C118" s="454">
        <f>C117</f>
        <v>24</v>
      </c>
      <c r="D118" s="455"/>
      <c r="E118" s="455"/>
      <c r="F118" s="456"/>
      <c r="G118" s="457"/>
      <c r="H118" s="456"/>
      <c r="I118" s="456"/>
      <c r="J118" s="316" t="str">
        <f ca="1">INDIRECT(ADDRESS( A118, B118,1, TRUE,"Dati"))</f>
        <v>--</v>
      </c>
      <c r="K118" s="319">
        <f ca="1">INDIRECT(ADDRESS( A118, B118+1,1, TRUE,"Dati"))</f>
        <v>0</v>
      </c>
      <c r="L118" s="313">
        <f ca="1">Q118/Q$119</f>
        <v>0.15217391304347827</v>
      </c>
      <c r="M118" s="313">
        <f ca="1">L118-N118</f>
        <v>4.347826086956523E-2</v>
      </c>
      <c r="N118" s="313">
        <v>0.10869565217391304</v>
      </c>
      <c r="O118" s="313">
        <f>N118-P118</f>
        <v>-1.630434782608696E-2</v>
      </c>
      <c r="P118" s="313">
        <v>0.125</v>
      </c>
      <c r="Q118" s="316">
        <f ca="1">INDIRECT(ADDRESS( $C118+1, A118+8,1, TRUE,"KPI2"))</f>
        <v>7</v>
      </c>
      <c r="R118" s="316">
        <v>5</v>
      </c>
      <c r="S118" s="316">
        <v>7</v>
      </c>
      <c r="T118" s="316">
        <v>10</v>
      </c>
      <c r="U118" s="632"/>
      <c r="AF118" s="29"/>
      <c r="AG118" s="29"/>
      <c r="AH118" s="29"/>
      <c r="AI118" s="29"/>
      <c r="AJ118" s="29"/>
      <c r="AK118" s="29"/>
    </row>
    <row r="119" spans="1:37">
      <c r="A119" s="453"/>
      <c r="B119" s="453"/>
      <c r="C119" s="454"/>
      <c r="D119" s="455"/>
      <c r="E119" s="455"/>
      <c r="F119" s="456"/>
      <c r="G119" s="457"/>
      <c r="H119" s="456"/>
      <c r="I119" s="456"/>
      <c r="J119" s="314" t="s">
        <v>391</v>
      </c>
      <c r="K119" s="315"/>
      <c r="L119" s="313">
        <f ca="1">SUM(L116:L118)</f>
        <v>1</v>
      </c>
      <c r="M119" s="313"/>
      <c r="N119" s="313">
        <v>1</v>
      </c>
      <c r="O119" s="313"/>
      <c r="P119" s="313">
        <v>1</v>
      </c>
      <c r="Q119" s="315">
        <f ca="1">SUM(Q116:Q118)</f>
        <v>46</v>
      </c>
      <c r="R119" s="447">
        <v>46</v>
      </c>
      <c r="S119" s="447">
        <v>56</v>
      </c>
      <c r="T119" s="447">
        <v>61</v>
      </c>
      <c r="U119" s="463"/>
      <c r="AF119" s="29"/>
      <c r="AG119" s="29"/>
      <c r="AH119" s="29"/>
      <c r="AI119" s="29"/>
      <c r="AJ119" s="29"/>
      <c r="AK119" s="29"/>
    </row>
    <row r="120" spans="1:37">
      <c r="A120" s="453"/>
      <c r="B120" s="453"/>
      <c r="C120" s="454"/>
      <c r="D120" s="455"/>
      <c r="E120" s="455"/>
      <c r="F120" s="456"/>
      <c r="G120" s="457"/>
      <c r="H120" s="456"/>
      <c r="I120" s="456"/>
      <c r="J120" s="314"/>
      <c r="K120" s="315"/>
      <c r="L120" s="313"/>
      <c r="M120" s="313"/>
      <c r="N120" s="313"/>
      <c r="O120" s="313"/>
      <c r="P120" s="313"/>
      <c r="Q120" s="315"/>
      <c r="R120" s="447"/>
      <c r="S120" s="447"/>
      <c r="T120" s="316"/>
      <c r="U120" s="463"/>
      <c r="AF120" s="29"/>
      <c r="AG120" s="29"/>
      <c r="AH120" s="29"/>
      <c r="AI120" s="29"/>
      <c r="AJ120" s="29"/>
      <c r="AK120" s="29"/>
    </row>
    <row r="121" spans="1:37">
      <c r="A121" s="453">
        <v>3</v>
      </c>
      <c r="B121" s="453">
        <f>B118+2</f>
        <v>65</v>
      </c>
      <c r="C121" s="453">
        <f>C118+2</f>
        <v>26</v>
      </c>
      <c r="D121" s="455">
        <f ca="1">INDIRECT(ADDRESS( C121, 2,1, TRUE,"KPI2"))</f>
        <v>31</v>
      </c>
      <c r="E121" s="455" t="str">
        <f ca="1">INDIRECT(ADDRESS( C121, 3,1, TRUE,"KPI2"))</f>
        <v>KPI 2.9</v>
      </c>
      <c r="F121" s="464">
        <f ca="1">'Quesiti x SI'!V52</f>
        <v>8.9565217391304355</v>
      </c>
      <c r="G121" s="713">
        <f>'Risultati 2009'!$V$52</f>
        <v>8.7826086956521738</v>
      </c>
      <c r="H121" s="713">
        <f>'Risultati 2008'!$V$62</f>
        <v>7.9285714285714288</v>
      </c>
      <c r="I121" s="713">
        <f>'Risultati 2007'!$V$67</f>
        <v>8.1311475409836067</v>
      </c>
      <c r="J121" s="316" t="str">
        <f ca="1">INDIRECT(ADDRESS( A121, B121,1, TRUE,"Dati"))</f>
        <v>Sì, centralizzato</v>
      </c>
      <c r="K121" s="319">
        <f ca="1">INDIRECT(ADDRESS( A121, B121+1,1, TRUE,"Dati"))</f>
        <v>10</v>
      </c>
      <c r="L121" s="313">
        <f ca="1">Q121/Q$125</f>
        <v>0.80434782608695654</v>
      </c>
      <c r="M121" s="313">
        <f ca="1">L121-N121</f>
        <v>4.3478260869565188E-2</v>
      </c>
      <c r="N121" s="313">
        <v>0.76086956521739135</v>
      </c>
      <c r="O121" s="313">
        <f>N121-P121</f>
        <v>6.4440993788819956E-2</v>
      </c>
      <c r="P121" s="313">
        <v>0.6964285714285714</v>
      </c>
      <c r="Q121" s="316">
        <f ca="1">INDIRECT(ADDRESS( $C121+1, A121+8,1, TRUE,"KPI2"))</f>
        <v>37</v>
      </c>
      <c r="R121" s="316">
        <v>35</v>
      </c>
      <c r="S121" s="316">
        <v>39</v>
      </c>
      <c r="T121" s="316">
        <v>46</v>
      </c>
      <c r="U121" s="631" t="str">
        <f ca="1">INDIRECT(ADDRESS( C121, 4,1, TRUE,"KPI2"))</f>
        <v>Esiste un sistema centralizzato per la raccolta ed il salvataggio delle informazioni critiche (system log, accounting, autorizzazione, autenticazione, tracciamento,IDS) quali accesso ai sistemi, alla rete, alle procedure, ai dati, ecc?</v>
      </c>
      <c r="AF121" s="29"/>
      <c r="AG121" s="29"/>
      <c r="AH121" s="29"/>
      <c r="AI121" s="29"/>
      <c r="AJ121" s="29"/>
      <c r="AK121" s="29"/>
    </row>
    <row r="122" spans="1:37">
      <c r="A122" s="453">
        <v>4</v>
      </c>
      <c r="B122" s="453">
        <f>B121</f>
        <v>65</v>
      </c>
      <c r="C122" s="454">
        <f>C121</f>
        <v>26</v>
      </c>
      <c r="D122" s="455"/>
      <c r="E122" s="455"/>
      <c r="F122" s="714">
        <f ca="1">(F121-G121)/G121</f>
        <v>1.9801980198019889E-2</v>
      </c>
      <c r="G122" s="714">
        <f>(G121-H121)/H121</f>
        <v>0.10771641206423811</v>
      </c>
      <c r="H122" s="714">
        <f>(H121-I121)/I121</f>
        <v>-2.4913594470046069E-2</v>
      </c>
      <c r="I122" s="456"/>
      <c r="J122" s="316" t="str">
        <f ca="1">INDIRECT(ADDRESS( A122, B122,1, TRUE,"Dati"))</f>
        <v>Sì, non centralizzato</v>
      </c>
      <c r="K122" s="319">
        <f ca="1">INDIRECT(ADDRESS( A122, B122+1,1, TRUE,"Dati"))</f>
        <v>6</v>
      </c>
      <c r="L122" s="313">
        <f ca="1">Q122/Q$125</f>
        <v>0.15217391304347827</v>
      </c>
      <c r="M122" s="313">
        <f ca="1">L122-N122</f>
        <v>-4.3478260869565216E-2</v>
      </c>
      <c r="N122" s="313">
        <v>0.19565217391304349</v>
      </c>
      <c r="O122" s="313">
        <f>N122-P122</f>
        <v>3.4937888198757761E-2</v>
      </c>
      <c r="P122" s="313">
        <v>0.16071428571428573</v>
      </c>
      <c r="Q122" s="316">
        <f ca="1">INDIRECT(ADDRESS( $C122+1, A122+8,1, TRUE,"KPI2"))</f>
        <v>7</v>
      </c>
      <c r="R122" s="316">
        <v>9</v>
      </c>
      <c r="S122" s="316">
        <v>9</v>
      </c>
      <c r="T122" s="316">
        <v>6</v>
      </c>
      <c r="U122" s="632"/>
      <c r="AF122" s="29"/>
      <c r="AG122" s="29"/>
      <c r="AH122" s="29"/>
      <c r="AI122" s="29"/>
      <c r="AJ122" s="29"/>
      <c r="AK122" s="29"/>
    </row>
    <row r="123" spans="1:37">
      <c r="A123" s="453">
        <v>2</v>
      </c>
      <c r="B123" s="453">
        <f>B122</f>
        <v>65</v>
      </c>
      <c r="C123" s="454">
        <f>C122</f>
        <v>26</v>
      </c>
      <c r="D123" s="455"/>
      <c r="E123" s="455"/>
      <c r="F123" s="456"/>
      <c r="G123" s="457"/>
      <c r="H123" s="456"/>
      <c r="I123" s="456"/>
      <c r="J123" s="316" t="str">
        <f ca="1">INDIRECT(ADDRESS( A123, B123,1, TRUE,"Dati"))</f>
        <v>NO</v>
      </c>
      <c r="K123" s="319">
        <f ca="1">INDIRECT(ADDRESS( A123, B123+1,1, TRUE,"Dati"))</f>
        <v>0</v>
      </c>
      <c r="L123" s="313">
        <f ca="1">Q123/Q$125</f>
        <v>4.3478260869565216E-2</v>
      </c>
      <c r="M123" s="313">
        <f ca="1">L123-N123</f>
        <v>0</v>
      </c>
      <c r="N123" s="313">
        <v>4.3478260869565216E-2</v>
      </c>
      <c r="O123" s="313">
        <f>N123-P123</f>
        <v>-8.1521739130434784E-2</v>
      </c>
      <c r="P123" s="313">
        <v>0.125</v>
      </c>
      <c r="Q123" s="316">
        <f ca="1">INDIRECT(ADDRESS( $C123+1, A123+8,1, TRUE,"KPI2"))</f>
        <v>2</v>
      </c>
      <c r="R123" s="316">
        <v>2</v>
      </c>
      <c r="S123" s="316">
        <v>7</v>
      </c>
      <c r="T123" s="316">
        <v>9</v>
      </c>
      <c r="U123" s="632"/>
      <c r="AF123" s="29"/>
      <c r="AG123" s="29"/>
      <c r="AH123" s="29"/>
      <c r="AI123" s="29"/>
      <c r="AJ123" s="29"/>
      <c r="AK123" s="29"/>
    </row>
    <row r="124" spans="1:37">
      <c r="A124" s="453">
        <v>1</v>
      </c>
      <c r="B124" s="453">
        <f>B121</f>
        <v>65</v>
      </c>
      <c r="C124" s="454">
        <f>C121</f>
        <v>26</v>
      </c>
      <c r="D124" s="455"/>
      <c r="E124" s="455"/>
      <c r="F124" s="456"/>
      <c r="G124" s="457"/>
      <c r="H124" s="456"/>
      <c r="I124" s="456"/>
      <c r="J124" s="316" t="str">
        <f ca="1">INDIRECT(ADDRESS( A124, B124,1, TRUE,"Dati"))</f>
        <v>--</v>
      </c>
      <c r="K124" s="319">
        <f ca="1">INDIRECT(ADDRESS( A124, B124+1,1, TRUE,"Dati"))</f>
        <v>0</v>
      </c>
      <c r="L124" s="313">
        <f ca="1">Q124/Q$125</f>
        <v>0</v>
      </c>
      <c r="M124" s="313">
        <f ca="1">L124-N124</f>
        <v>0</v>
      </c>
      <c r="N124" s="313">
        <v>0</v>
      </c>
      <c r="O124" s="313">
        <f>N124-P124</f>
        <v>-1.7857142857142856E-2</v>
      </c>
      <c r="P124" s="313">
        <v>1.7857142857142856E-2</v>
      </c>
      <c r="Q124" s="316">
        <f ca="1">INDIRECT(ADDRESS( $C124+1, A124+8,1, TRUE,"KPI2"))</f>
        <v>0</v>
      </c>
      <c r="R124" s="316">
        <v>0</v>
      </c>
      <c r="S124" s="316">
        <v>1</v>
      </c>
      <c r="T124" s="316">
        <v>0</v>
      </c>
      <c r="U124" s="632"/>
      <c r="AF124" s="29"/>
      <c r="AG124" s="29"/>
      <c r="AH124" s="29"/>
      <c r="AI124" s="29"/>
      <c r="AJ124" s="29"/>
      <c r="AK124" s="29"/>
    </row>
    <row r="125" spans="1:37">
      <c r="A125" s="453"/>
      <c r="B125" s="453"/>
      <c r="C125" s="454"/>
      <c r="D125" s="455"/>
      <c r="E125" s="455"/>
      <c r="F125" s="456"/>
      <c r="G125" s="457"/>
      <c r="H125" s="456"/>
      <c r="I125" s="456"/>
      <c r="J125" s="314" t="s">
        <v>391</v>
      </c>
      <c r="K125" s="315"/>
      <c r="L125" s="313">
        <f ca="1">SUM(L121:L124)</f>
        <v>1</v>
      </c>
      <c r="M125" s="313"/>
      <c r="N125" s="313">
        <v>1</v>
      </c>
      <c r="O125" s="313"/>
      <c r="P125" s="313">
        <v>1</v>
      </c>
      <c r="Q125" s="315">
        <f ca="1">SUM(Q121:Q124)</f>
        <v>46</v>
      </c>
      <c r="R125" s="447">
        <v>46</v>
      </c>
      <c r="S125" s="447">
        <v>56</v>
      </c>
      <c r="T125" s="447">
        <v>61</v>
      </c>
      <c r="U125" s="463"/>
      <c r="AF125" s="29"/>
      <c r="AG125" s="29"/>
      <c r="AH125" s="29"/>
      <c r="AI125" s="29"/>
      <c r="AJ125" s="29"/>
      <c r="AK125" s="29"/>
    </row>
    <row r="126" spans="1:37">
      <c r="A126" s="453"/>
      <c r="B126" s="453"/>
      <c r="C126" s="454"/>
      <c r="D126" s="455"/>
      <c r="E126" s="455"/>
      <c r="F126" s="456"/>
      <c r="G126" s="457"/>
      <c r="H126" s="456"/>
      <c r="I126" s="456"/>
      <c r="J126" s="476"/>
      <c r="K126" s="447"/>
      <c r="L126" s="470"/>
      <c r="M126" s="313"/>
      <c r="N126" s="313"/>
      <c r="O126" s="313"/>
      <c r="P126" s="313"/>
      <c r="Q126" s="477"/>
      <c r="R126" s="477"/>
      <c r="S126" s="477"/>
      <c r="T126" s="316"/>
      <c r="U126" s="463"/>
      <c r="AF126" s="29"/>
      <c r="AG126" s="29"/>
      <c r="AH126" s="29"/>
      <c r="AI126" s="29"/>
      <c r="AJ126" s="29"/>
      <c r="AK126" s="29"/>
    </row>
    <row r="127" spans="1:37">
      <c r="A127" s="453"/>
      <c r="B127" s="453"/>
      <c r="C127" s="454"/>
      <c r="D127" s="455"/>
      <c r="E127" s="455"/>
      <c r="F127" s="456"/>
      <c r="G127" s="457"/>
      <c r="H127" s="456"/>
      <c r="I127" s="456"/>
      <c r="J127" s="472"/>
      <c r="K127" s="459"/>
      <c r="L127" s="470"/>
      <c r="M127" s="313"/>
      <c r="N127" s="313"/>
      <c r="O127" s="313"/>
      <c r="P127" s="313"/>
      <c r="Q127" s="471"/>
      <c r="R127" s="316"/>
      <c r="S127" s="316"/>
      <c r="T127" s="316"/>
      <c r="U127" s="463"/>
      <c r="AF127" s="29"/>
      <c r="AG127" s="29"/>
      <c r="AH127" s="29"/>
      <c r="AI127" s="29"/>
      <c r="AJ127" s="29"/>
      <c r="AK127" s="29"/>
    </row>
    <row r="128" spans="1:37" ht="37" customHeight="1">
      <c r="A128" s="453"/>
      <c r="B128" s="453"/>
      <c r="C128" s="454"/>
      <c r="D128" s="455"/>
      <c r="E128" s="455"/>
      <c r="F128" s="456"/>
      <c r="G128" s="457"/>
      <c r="H128" s="456"/>
      <c r="I128" s="456"/>
      <c r="J128" s="458" t="str">
        <f>Dati!$BR$14</f>
        <v>KPI 3  -  Sicurezza Servizi</v>
      </c>
      <c r="K128" s="447"/>
      <c r="L128" s="470"/>
      <c r="M128" s="313"/>
      <c r="N128" s="313"/>
      <c r="O128" s="313"/>
      <c r="P128" s="313"/>
      <c r="Q128" s="471"/>
      <c r="R128" s="316"/>
      <c r="S128" s="316"/>
      <c r="T128" s="316"/>
      <c r="U128" s="463"/>
      <c r="AF128" s="29"/>
      <c r="AG128" s="29"/>
      <c r="AH128" s="29"/>
      <c r="AI128" s="29"/>
      <c r="AJ128" s="29"/>
      <c r="AK128" s="29"/>
    </row>
    <row r="129" spans="1:37">
      <c r="A129" s="453">
        <v>3</v>
      </c>
      <c r="B129" s="453">
        <f>B124+3</f>
        <v>68</v>
      </c>
      <c r="C129" s="453">
        <v>4</v>
      </c>
      <c r="D129" s="455">
        <f ca="1">INDIRECT(ADDRESS( C129, 2,1, TRUE,"KPI3"))</f>
        <v>32</v>
      </c>
      <c r="E129" s="455" t="str">
        <f ca="1">INDIRECT(ADDRESS( C129, 3,1, TRUE,"KPI3"))</f>
        <v>KPI 3.1</v>
      </c>
      <c r="F129" s="464">
        <f ca="1">'Quesiti x SI'!X52</f>
        <v>4.3478260869565215</v>
      </c>
      <c r="G129" s="713">
        <f>'Risultati 2009'!$X$52</f>
        <v>3.7209302325581395</v>
      </c>
      <c r="H129" s="713">
        <f>'Risultati 2008'!$X$62</f>
        <v>3.2142857142857144</v>
      </c>
      <c r="I129" s="713">
        <f>'Risultati 2007'!$X$67</f>
        <v>3.442622950819672</v>
      </c>
      <c r="J129" s="316" t="str">
        <f ca="1">INDIRECT(ADDRESS( A129, B129,1, TRUE,"Dati"))</f>
        <v>SI</v>
      </c>
      <c r="K129" s="319">
        <f ca="1">INDIRECT(ADDRESS( A129, B129+1,1, TRUE,"Dati"))</f>
        <v>10</v>
      </c>
      <c r="L129" s="313">
        <f ca="1">Q129/Q$132</f>
        <v>0.43478260869565216</v>
      </c>
      <c r="M129" s="313">
        <f ca="1">L129-N129</f>
        <v>6.2689585439838214E-2</v>
      </c>
      <c r="N129" s="313">
        <v>0.37209302325581395</v>
      </c>
      <c r="O129" s="313">
        <f>N129-P129</f>
        <v>5.0664451827242496E-2</v>
      </c>
      <c r="P129" s="313">
        <v>0.32142857142857145</v>
      </c>
      <c r="Q129" s="316">
        <f ca="1">INDIRECT(ADDRESS( $C129+1, A129+8,1, TRUE,"KPI3"))</f>
        <v>20</v>
      </c>
      <c r="R129" s="316">
        <v>16</v>
      </c>
      <c r="S129" s="316">
        <v>18</v>
      </c>
      <c r="T129" s="316">
        <v>21</v>
      </c>
      <c r="U129" s="455" t="str">
        <f ca="1">INDIRECT(ADDRESS( C129, 4,1, TRUE,"KPI3"))</f>
        <v>Esiste un piano formalizzato per la continuità operativa ?</v>
      </c>
      <c r="AF129" s="29"/>
      <c r="AG129" s="29"/>
      <c r="AH129" s="29"/>
      <c r="AI129" s="29"/>
      <c r="AJ129" s="29"/>
      <c r="AK129" s="29"/>
    </row>
    <row r="130" spans="1:37">
      <c r="A130" s="453">
        <v>2</v>
      </c>
      <c r="B130" s="453">
        <f>B129</f>
        <v>68</v>
      </c>
      <c r="C130" s="454">
        <f>C129</f>
        <v>4</v>
      </c>
      <c r="D130" s="455"/>
      <c r="E130" s="455"/>
      <c r="F130" s="714">
        <f ca="1">(F129-G129)/G129</f>
        <v>0.16847826086956516</v>
      </c>
      <c r="G130" s="714">
        <f>(G129-H129)/H129</f>
        <v>0.15762273901808779</v>
      </c>
      <c r="H130" s="714">
        <f>(H129-I129)/I129</f>
        <v>-6.6326530612244819E-2</v>
      </c>
      <c r="I130" s="456"/>
      <c r="J130" s="316" t="str">
        <f ca="1">INDIRECT(ADDRESS( A130, B130,1, TRUE,"Dati"))</f>
        <v>NO</v>
      </c>
      <c r="K130" s="319">
        <f ca="1">INDIRECT(ADDRESS( A130, B130+1,1, TRUE,"Dati"))</f>
        <v>0</v>
      </c>
      <c r="L130" s="313">
        <f ca="1">Q130/Q$132</f>
        <v>0.47826086956521741</v>
      </c>
      <c r="M130" s="313">
        <f ca="1">L130-N130</f>
        <v>-5.6622851365015103E-2</v>
      </c>
      <c r="N130" s="313">
        <v>0.53488372093023251</v>
      </c>
      <c r="O130" s="313">
        <f>N130-P130</f>
        <v>5.2740863787375358E-2</v>
      </c>
      <c r="P130" s="313">
        <v>0.48214285714285715</v>
      </c>
      <c r="Q130" s="316">
        <f ca="1">INDIRECT(ADDRESS( $C130+1, A130+8,1, TRUE,"KPI3"))</f>
        <v>22</v>
      </c>
      <c r="R130" s="316">
        <v>23</v>
      </c>
      <c r="S130" s="316">
        <v>27</v>
      </c>
      <c r="T130" s="316">
        <v>32</v>
      </c>
      <c r="U130" s="463"/>
      <c r="AF130" s="29"/>
      <c r="AG130" s="29"/>
      <c r="AH130" s="29"/>
      <c r="AI130" s="29"/>
      <c r="AJ130" s="29"/>
      <c r="AK130" s="29"/>
    </row>
    <row r="131" spans="1:37">
      <c r="A131" s="453">
        <v>1</v>
      </c>
      <c r="B131" s="453">
        <f>B130</f>
        <v>68</v>
      </c>
      <c r="C131" s="454">
        <f>C130</f>
        <v>4</v>
      </c>
      <c r="D131" s="455"/>
      <c r="E131" s="455"/>
      <c r="F131" s="456"/>
      <c r="G131" s="457"/>
      <c r="H131" s="456"/>
      <c r="I131" s="456"/>
      <c r="J131" s="316" t="str">
        <f ca="1">INDIRECT(ADDRESS( A131, B131,1, TRUE,"Dati"))</f>
        <v>--</v>
      </c>
      <c r="K131" s="319">
        <f ca="1">INDIRECT(ADDRESS( A131, B131+1,1, TRUE,"Dati"))</f>
        <v>0</v>
      </c>
      <c r="L131" s="313">
        <f ca="1">Q131/Q$132</f>
        <v>8.6956521739130432E-2</v>
      </c>
      <c r="M131" s="313">
        <f ca="1">L131-N131</f>
        <v>-6.0667340748230547E-3</v>
      </c>
      <c r="N131" s="313">
        <v>9.3023255813953487E-2</v>
      </c>
      <c r="O131" s="313">
        <f>N131-P131</f>
        <v>-0.10340531561461794</v>
      </c>
      <c r="P131" s="313">
        <v>0.19642857142857142</v>
      </c>
      <c r="Q131" s="316">
        <f ca="1">INDIRECT(ADDRESS( $C131+1, A131+8,1, TRUE,"KPI3"))</f>
        <v>4</v>
      </c>
      <c r="R131" s="316">
        <v>4</v>
      </c>
      <c r="S131" s="316">
        <v>11</v>
      </c>
      <c r="T131" s="316">
        <v>8</v>
      </c>
      <c r="U131" s="463"/>
      <c r="AF131" s="29"/>
      <c r="AG131" s="29"/>
      <c r="AH131" s="29"/>
      <c r="AI131" s="29"/>
      <c r="AJ131" s="29"/>
      <c r="AK131" s="29"/>
    </row>
    <row r="132" spans="1:37">
      <c r="A132" s="453"/>
      <c r="B132" s="453"/>
      <c r="C132" s="454"/>
      <c r="D132" s="455"/>
      <c r="E132" s="455"/>
      <c r="F132" s="456"/>
      <c r="G132" s="457"/>
      <c r="H132" s="456"/>
      <c r="I132" s="456"/>
      <c r="J132" s="314" t="s">
        <v>391</v>
      </c>
      <c r="K132" s="315"/>
      <c r="L132" s="313">
        <f ca="1">SUM(L129:L131)</f>
        <v>1</v>
      </c>
      <c r="M132" s="313"/>
      <c r="N132" s="313">
        <v>1</v>
      </c>
      <c r="O132" s="313"/>
      <c r="P132" s="313">
        <v>1</v>
      </c>
      <c r="Q132" s="315">
        <f ca="1">SUM(Q129:Q131)</f>
        <v>46</v>
      </c>
      <c r="R132" s="447">
        <v>43</v>
      </c>
      <c r="S132" s="447">
        <v>56</v>
      </c>
      <c r="T132" s="447">
        <v>61</v>
      </c>
      <c r="U132" s="463"/>
      <c r="AF132" s="29"/>
      <c r="AG132" s="29"/>
      <c r="AH132" s="29"/>
      <c r="AI132" s="29"/>
      <c r="AJ132" s="29"/>
      <c r="AK132" s="29"/>
    </row>
    <row r="133" spans="1:37">
      <c r="A133" s="453"/>
      <c r="B133" s="453"/>
      <c r="C133" s="454"/>
      <c r="D133" s="455"/>
      <c r="E133" s="455"/>
      <c r="F133" s="456"/>
      <c r="G133" s="457"/>
      <c r="H133" s="456"/>
      <c r="I133" s="456"/>
      <c r="J133" s="314"/>
      <c r="K133" s="315"/>
      <c r="L133" s="313"/>
      <c r="M133" s="313"/>
      <c r="N133" s="313"/>
      <c r="O133" s="313"/>
      <c r="P133" s="313"/>
      <c r="Q133" s="315"/>
      <c r="R133" s="447"/>
      <c r="S133" s="447"/>
      <c r="T133" s="316"/>
      <c r="U133" s="463"/>
      <c r="AF133" s="29"/>
      <c r="AG133" s="29"/>
      <c r="AH133" s="29"/>
      <c r="AI133" s="29"/>
      <c r="AJ133" s="29"/>
      <c r="AK133" s="29"/>
    </row>
    <row r="134" spans="1:37">
      <c r="A134" s="453">
        <v>3</v>
      </c>
      <c r="B134" s="453">
        <f>B131+2</f>
        <v>70</v>
      </c>
      <c r="C134" s="453">
        <f>C131+2</f>
        <v>6</v>
      </c>
      <c r="D134" s="455">
        <f ca="1">INDIRECT(ADDRESS( C134, 2,1, TRUE,"KPI3"))</f>
        <v>33</v>
      </c>
      <c r="E134" s="455" t="str">
        <f ca="1">INDIRECT(ADDRESS( C134, 3,1, TRUE,"KPI3"))</f>
        <v>KPI 3.2</v>
      </c>
      <c r="F134" s="464">
        <f ca="1">'Quesiti x SI'!Y52</f>
        <v>5.3043478260869561</v>
      </c>
      <c r="G134" s="713">
        <f>'Risultati 2009'!$Y$52</f>
        <v>5.0232558139534884</v>
      </c>
      <c r="H134" s="713">
        <f>'Risultati 2008'!$Y$62</f>
        <v>4.2857142857142856</v>
      </c>
      <c r="I134" s="713">
        <f>'Risultati 2007'!$Y$67</f>
        <v>4.360655737704918</v>
      </c>
      <c r="J134" s="316" t="str">
        <f ca="1">INDIRECT(ADDRESS( A134, B134,1, TRUE,"Dati"))</f>
        <v>Sì, senza specificazione della copertura</v>
      </c>
      <c r="K134" s="319">
        <f ca="1">INDIRECT(ADDRESS( A134, B134+1,1, TRUE,"Dati"))</f>
        <v>10</v>
      </c>
      <c r="L134" s="313">
        <f ca="1">Q134/Q$138</f>
        <v>0.21739130434782608</v>
      </c>
      <c r="M134" s="313">
        <f ca="1">L134-N134</f>
        <v>7.785642062689585E-2</v>
      </c>
      <c r="N134" s="313">
        <v>0.13953488372093023</v>
      </c>
      <c r="O134" s="313">
        <f>N134-P134</f>
        <v>-2.1179401993355496E-2</v>
      </c>
      <c r="P134" s="313">
        <v>0.16071428571428573</v>
      </c>
      <c r="Q134" s="316">
        <f ca="1">INDIRECT(ADDRESS( $C134+1, A134+8,1, TRUE,"KPI3"))</f>
        <v>10</v>
      </c>
      <c r="R134" s="316">
        <v>6</v>
      </c>
      <c r="S134" s="316">
        <v>9</v>
      </c>
      <c r="T134" s="316">
        <v>11</v>
      </c>
      <c r="U134" s="631" t="str">
        <f ca="1">INDIRECT(ADDRESS( C134, 4,1, TRUE,"KPI3"))</f>
        <v>Esistono procedure operative da attivare in  caso di indisponibilità parziale dei servizi applicativi ?</v>
      </c>
      <c r="AF134" s="29"/>
      <c r="AG134" s="29"/>
      <c r="AH134" s="29"/>
      <c r="AI134" s="29"/>
      <c r="AJ134" s="29"/>
      <c r="AK134" s="29"/>
    </row>
    <row r="135" spans="1:37">
      <c r="A135" s="453">
        <v>4</v>
      </c>
      <c r="B135" s="453">
        <f t="shared" ref="B135:C137" si="6">B134</f>
        <v>70</v>
      </c>
      <c r="C135" s="454">
        <f t="shared" si="6"/>
        <v>6</v>
      </c>
      <c r="D135" s="455"/>
      <c r="E135" s="455"/>
      <c r="F135" s="714">
        <f ca="1">(F134-G134)/G134</f>
        <v>5.5958132045088475E-2</v>
      </c>
      <c r="G135" s="714">
        <f>(G134-H134)/H134</f>
        <v>0.17209302325581399</v>
      </c>
      <c r="H135" s="714">
        <f>(H134-I134)/I134</f>
        <v>-1.7185821697099913E-2</v>
      </c>
      <c r="I135" s="456"/>
      <c r="J135" s="316" t="str">
        <f ca="1">INDIRECT(ADDRESS( A135, B135,1, TRUE,"Dati"))</f>
        <v>Sì, solo per le applicazioni più importanti</v>
      </c>
      <c r="K135" s="319">
        <f ca="1">INDIRECT(ADDRESS( A135, B135+1,1, TRUE,"Dati"))</f>
        <v>6</v>
      </c>
      <c r="L135" s="313">
        <f ca="1">Q135/Q$138</f>
        <v>0.52173913043478259</v>
      </c>
      <c r="M135" s="313">
        <f ca="1">L135-N135</f>
        <v>-8.2912032355915044E-2</v>
      </c>
      <c r="N135" s="313">
        <v>0.60465116279069764</v>
      </c>
      <c r="O135" s="313">
        <f>N135-P135</f>
        <v>0.15822259136212619</v>
      </c>
      <c r="P135" s="313">
        <v>0.44642857142857145</v>
      </c>
      <c r="Q135" s="316">
        <f ca="1">INDIRECT(ADDRESS( $C135+1, A135+8,1, TRUE,"KPI3"))</f>
        <v>24</v>
      </c>
      <c r="R135" s="316">
        <v>26</v>
      </c>
      <c r="S135" s="316">
        <v>25</v>
      </c>
      <c r="T135" s="316">
        <v>26</v>
      </c>
      <c r="U135" s="632"/>
      <c r="AF135" s="29"/>
      <c r="AG135" s="29"/>
      <c r="AH135" s="29"/>
      <c r="AI135" s="29"/>
      <c r="AJ135" s="29"/>
      <c r="AK135" s="29"/>
    </row>
    <row r="136" spans="1:37">
      <c r="A136" s="453">
        <v>2</v>
      </c>
      <c r="B136" s="453">
        <f t="shared" si="6"/>
        <v>70</v>
      </c>
      <c r="C136" s="454">
        <f t="shared" si="6"/>
        <v>6</v>
      </c>
      <c r="D136" s="455"/>
      <c r="E136" s="455"/>
      <c r="F136" s="456"/>
      <c r="G136" s="457"/>
      <c r="H136" s="456"/>
      <c r="I136" s="456"/>
      <c r="J136" s="316" t="str">
        <f ca="1">INDIRECT(ADDRESS( A136, B136,1, TRUE,"Dati"))</f>
        <v>NO</v>
      </c>
      <c r="K136" s="319">
        <f ca="1">INDIRECT(ADDRESS( A136, B136+1,1, TRUE,"Dati"))</f>
        <v>0</v>
      </c>
      <c r="L136" s="313">
        <f ca="1">Q136/Q$138</f>
        <v>0.13043478260869565</v>
      </c>
      <c r="M136" s="313">
        <f ca="1">L136-N136</f>
        <v>-3.2355915065722968E-2</v>
      </c>
      <c r="N136" s="313">
        <v>0.16279069767441862</v>
      </c>
      <c r="O136" s="313">
        <f>N136-P136</f>
        <v>-6.9352159468438535E-2</v>
      </c>
      <c r="P136" s="313">
        <v>0.23214285714285715</v>
      </c>
      <c r="Q136" s="316">
        <f ca="1">INDIRECT(ADDRESS( $C136+1, A136+8,1, TRUE,"KPI3"))</f>
        <v>6</v>
      </c>
      <c r="R136" s="316">
        <v>7</v>
      </c>
      <c r="S136" s="316">
        <v>13</v>
      </c>
      <c r="T136" s="316">
        <v>15</v>
      </c>
      <c r="U136" s="632"/>
      <c r="AF136" s="29"/>
      <c r="AG136" s="29"/>
      <c r="AH136" s="29"/>
      <c r="AI136" s="29"/>
      <c r="AJ136" s="29"/>
      <c r="AK136" s="29"/>
    </row>
    <row r="137" spans="1:37">
      <c r="A137" s="453">
        <v>1</v>
      </c>
      <c r="B137" s="453">
        <f t="shared" si="6"/>
        <v>70</v>
      </c>
      <c r="C137" s="454">
        <f t="shared" si="6"/>
        <v>6</v>
      </c>
      <c r="D137" s="455"/>
      <c r="E137" s="455"/>
      <c r="F137" s="456"/>
      <c r="G137" s="457"/>
      <c r="H137" s="456"/>
      <c r="I137" s="456"/>
      <c r="J137" s="316" t="str">
        <f ca="1">INDIRECT(ADDRESS( A137, B137,1, TRUE,"Dati"))</f>
        <v>--</v>
      </c>
      <c r="K137" s="319">
        <f ca="1">INDIRECT(ADDRESS( A137, B137+1,1, TRUE,"Dati"))</f>
        <v>0</v>
      </c>
      <c r="L137" s="313">
        <f ca="1">Q137/Q$138</f>
        <v>0.13043478260869565</v>
      </c>
      <c r="M137" s="313">
        <f ca="1">L137-N137</f>
        <v>3.7411526794742161E-2</v>
      </c>
      <c r="N137" s="313">
        <v>9.3023255813953487E-2</v>
      </c>
      <c r="O137" s="313">
        <f>N137-P137</f>
        <v>-6.7691029900332239E-2</v>
      </c>
      <c r="P137" s="313">
        <v>0.16071428571428573</v>
      </c>
      <c r="Q137" s="316">
        <f ca="1">INDIRECT(ADDRESS( $C137+1, A137+8,1, TRUE,"KPI3"))</f>
        <v>6</v>
      </c>
      <c r="R137" s="316">
        <v>4</v>
      </c>
      <c r="S137" s="316">
        <v>9</v>
      </c>
      <c r="T137" s="316">
        <v>9</v>
      </c>
      <c r="U137" s="632"/>
      <c r="AF137" s="29"/>
      <c r="AG137" s="29"/>
      <c r="AH137" s="29"/>
      <c r="AI137" s="29"/>
      <c r="AJ137" s="29"/>
      <c r="AK137" s="29"/>
    </row>
    <row r="138" spans="1:37">
      <c r="A138" s="453"/>
      <c r="B138" s="453"/>
      <c r="C138" s="454"/>
      <c r="D138" s="455"/>
      <c r="E138" s="455"/>
      <c r="F138" s="456"/>
      <c r="G138" s="457"/>
      <c r="H138" s="456"/>
      <c r="I138" s="456"/>
      <c r="J138" s="314" t="s">
        <v>391</v>
      </c>
      <c r="K138" s="315"/>
      <c r="L138" s="313">
        <f ca="1">SUM(L134:L137)</f>
        <v>1</v>
      </c>
      <c r="M138" s="313"/>
      <c r="N138" s="313">
        <v>1</v>
      </c>
      <c r="O138" s="313"/>
      <c r="P138" s="313">
        <v>1.0000000000000002</v>
      </c>
      <c r="Q138" s="315">
        <f ca="1">SUM(Q134:Q137)</f>
        <v>46</v>
      </c>
      <c r="R138" s="447">
        <v>43</v>
      </c>
      <c r="S138" s="447">
        <v>56</v>
      </c>
      <c r="T138" s="447">
        <v>61</v>
      </c>
      <c r="U138" s="463"/>
      <c r="AF138" s="29"/>
      <c r="AG138" s="29"/>
      <c r="AH138" s="29"/>
      <c r="AI138" s="29"/>
      <c r="AJ138" s="29"/>
      <c r="AK138" s="29"/>
    </row>
    <row r="139" spans="1:37">
      <c r="A139" s="453"/>
      <c r="B139" s="453"/>
      <c r="C139" s="454"/>
      <c r="D139" s="455"/>
      <c r="E139" s="455"/>
      <c r="F139" s="456"/>
      <c r="G139" s="457"/>
      <c r="H139" s="456"/>
      <c r="I139" s="456"/>
      <c r="J139" s="478"/>
      <c r="K139" s="319"/>
      <c r="L139" s="313"/>
      <c r="M139" s="313"/>
      <c r="N139" s="313"/>
      <c r="O139" s="313"/>
      <c r="P139" s="313"/>
      <c r="Q139" s="316"/>
      <c r="R139" s="316"/>
      <c r="S139" s="316"/>
      <c r="T139" s="316"/>
      <c r="U139" s="463"/>
      <c r="AF139" s="29"/>
      <c r="AG139" s="29"/>
      <c r="AH139" s="29"/>
      <c r="AI139" s="29"/>
      <c r="AJ139" s="29"/>
      <c r="AK139" s="29"/>
    </row>
    <row r="140" spans="1:37">
      <c r="A140" s="453">
        <v>3</v>
      </c>
      <c r="B140" s="453">
        <f>B137+2</f>
        <v>72</v>
      </c>
      <c r="C140" s="453">
        <f>C137+2</f>
        <v>8</v>
      </c>
      <c r="D140" s="455">
        <f ca="1">INDIRECT(ADDRESS( C140, 2,1, TRUE,"KPI3"))</f>
        <v>34</v>
      </c>
      <c r="E140" s="455" t="str">
        <f ca="1">INDIRECT(ADDRESS( C140, 3,1, TRUE,"KPI3"))</f>
        <v>KPI 3.3</v>
      </c>
      <c r="F140" s="464">
        <f ca="1">'Quesiti x SI'!Z52</f>
        <v>4</v>
      </c>
      <c r="G140" s="713">
        <f>'Risultati 2009'!$Z$52</f>
        <v>2.9767441860465116</v>
      </c>
      <c r="H140" s="713">
        <f>'Risultati 2008'!$Z$62</f>
        <v>2.4285714285714284</v>
      </c>
      <c r="I140" s="713">
        <f>'Risultati 2007'!$Z$67</f>
        <v>2.557377049180328</v>
      </c>
      <c r="J140" s="316" t="str">
        <f ca="1">INDIRECT(ADDRESS( A140, B140,1, TRUE,"Dati"))</f>
        <v>Sì, senza specificazione della copertura</v>
      </c>
      <c r="K140" s="319">
        <f ca="1">INDIRECT(ADDRESS( A140, B140+1,1, TRUE,"Dati"))</f>
        <v>10</v>
      </c>
      <c r="L140" s="313">
        <f ca="1">Q140/Q$144</f>
        <v>0.15217391304347827</v>
      </c>
      <c r="M140" s="313">
        <f ca="1">L140-N140</f>
        <v>3.5894843276036412E-2</v>
      </c>
      <c r="N140" s="313">
        <v>0.11627906976744186</v>
      </c>
      <c r="O140" s="313">
        <f>N140-P140</f>
        <v>4.4850498338870434E-2</v>
      </c>
      <c r="P140" s="313">
        <v>7.1428571428571425E-2</v>
      </c>
      <c r="Q140" s="316">
        <f ca="1">INDIRECT(ADDRESS( $C140+1, A140+8,1, TRUE,"KPI3"))</f>
        <v>7</v>
      </c>
      <c r="R140" s="316">
        <v>5</v>
      </c>
      <c r="S140" s="316">
        <v>4</v>
      </c>
      <c r="T140" s="316">
        <v>6</v>
      </c>
      <c r="U140" s="631" t="str">
        <f ca="1">INDIRECT(ADDRESS( C140, 4,1, TRUE,"KPI3"))</f>
        <v>E' stato definito in modo formale il piano di disaster recovery ?</v>
      </c>
      <c r="AF140" s="29"/>
      <c r="AG140" s="29"/>
      <c r="AH140" s="29"/>
      <c r="AI140" s="29"/>
      <c r="AJ140" s="29"/>
      <c r="AK140" s="29"/>
    </row>
    <row r="141" spans="1:37">
      <c r="A141" s="453">
        <v>4</v>
      </c>
      <c r="B141" s="453">
        <f t="shared" ref="B141:C143" si="7">B140</f>
        <v>72</v>
      </c>
      <c r="C141" s="454">
        <f t="shared" si="7"/>
        <v>8</v>
      </c>
      <c r="D141" s="455"/>
      <c r="E141" s="455"/>
      <c r="F141" s="714">
        <f ca="1">(F140-G140)/G140</f>
        <v>0.34375</v>
      </c>
      <c r="G141" s="714">
        <f>(G140-H140)/H140</f>
        <v>0.22571819425444603</v>
      </c>
      <c r="H141" s="714">
        <f>(H140-I140)/I140</f>
        <v>-5.0366300366300507E-2</v>
      </c>
      <c r="I141" s="456"/>
      <c r="J141" s="316" t="str">
        <f ca="1">INDIRECT(ADDRESS( A141, B141,1, TRUE,"Dati"))</f>
        <v>Sì, solo per le applicazioni più importanti</v>
      </c>
      <c r="K141" s="319">
        <f ca="1">INDIRECT(ADDRESS( A141, B141+1,1, TRUE,"Dati"))</f>
        <v>6</v>
      </c>
      <c r="L141" s="313">
        <f ca="1">Q141/Q$144</f>
        <v>0.41304347826086957</v>
      </c>
      <c r="M141" s="313">
        <f ca="1">L141-N141</f>
        <v>0.11071789686552075</v>
      </c>
      <c r="N141" s="313">
        <v>0.30232558139534882</v>
      </c>
      <c r="O141" s="313">
        <f>N141-P141</f>
        <v>1.6611295681063121E-2</v>
      </c>
      <c r="P141" s="313">
        <v>0.2857142857142857</v>
      </c>
      <c r="Q141" s="316">
        <f ca="1">INDIRECT(ADDRESS( $C141+1, A141+8,1, TRUE,"KPI3"))</f>
        <v>19</v>
      </c>
      <c r="R141" s="316">
        <v>13</v>
      </c>
      <c r="S141" s="316">
        <v>16</v>
      </c>
      <c r="T141" s="316">
        <v>16</v>
      </c>
      <c r="U141" s="632"/>
      <c r="AF141" s="29"/>
      <c r="AG141" s="29"/>
      <c r="AH141" s="29"/>
      <c r="AI141" s="29"/>
      <c r="AJ141" s="29"/>
      <c r="AK141" s="29"/>
    </row>
    <row r="142" spans="1:37">
      <c r="A142" s="453">
        <v>2</v>
      </c>
      <c r="B142" s="453">
        <f t="shared" si="7"/>
        <v>72</v>
      </c>
      <c r="C142" s="454">
        <f t="shared" si="7"/>
        <v>8</v>
      </c>
      <c r="D142" s="455"/>
      <c r="E142" s="455"/>
      <c r="F142" s="456"/>
      <c r="G142" s="457"/>
      <c r="H142" s="456"/>
      <c r="I142" s="456"/>
      <c r="J142" s="316" t="str">
        <f ca="1">INDIRECT(ADDRESS( A142, B142,1, TRUE,"Dati"))</f>
        <v>NO</v>
      </c>
      <c r="K142" s="319">
        <f ca="1">INDIRECT(ADDRESS( A142, B142+1,1, TRUE,"Dati"))</f>
        <v>0</v>
      </c>
      <c r="L142" s="313">
        <f ca="1">Q142/Q$144</f>
        <v>0.30434782608695654</v>
      </c>
      <c r="M142" s="313">
        <f ca="1">L142-N142</f>
        <v>-0.11425682507583418</v>
      </c>
      <c r="N142" s="313">
        <v>0.41860465116279072</v>
      </c>
      <c r="O142" s="313">
        <f>N142-P142</f>
        <v>-2.7823920265780733E-2</v>
      </c>
      <c r="P142" s="313">
        <v>0.44642857142857145</v>
      </c>
      <c r="Q142" s="316">
        <f ca="1">INDIRECT(ADDRESS( $C142+1, A142+8,1, TRUE,"KPI3"))</f>
        <v>14</v>
      </c>
      <c r="R142" s="316">
        <v>18</v>
      </c>
      <c r="S142" s="316">
        <v>25</v>
      </c>
      <c r="T142" s="316">
        <v>31</v>
      </c>
      <c r="U142" s="632"/>
      <c r="AF142" s="29"/>
      <c r="AG142" s="29"/>
      <c r="AH142" s="29"/>
      <c r="AI142" s="29"/>
      <c r="AJ142" s="29"/>
      <c r="AK142" s="29"/>
    </row>
    <row r="143" spans="1:37">
      <c r="A143" s="453">
        <v>1</v>
      </c>
      <c r="B143" s="453">
        <f t="shared" si="7"/>
        <v>72</v>
      </c>
      <c r="C143" s="454">
        <f t="shared" si="7"/>
        <v>8</v>
      </c>
      <c r="D143" s="455"/>
      <c r="E143" s="455"/>
      <c r="F143" s="456"/>
      <c r="G143" s="457"/>
      <c r="H143" s="456"/>
      <c r="I143" s="456"/>
      <c r="J143" s="316" t="str">
        <f ca="1">INDIRECT(ADDRESS( A143, B143,1, TRUE,"Dati"))</f>
        <v>--</v>
      </c>
      <c r="K143" s="319">
        <f ca="1">INDIRECT(ADDRESS( A143, B143+1,1, TRUE,"Dati"))</f>
        <v>0</v>
      </c>
      <c r="L143" s="313">
        <f ca="1">Q143/Q$144</f>
        <v>0.13043478260869565</v>
      </c>
      <c r="M143" s="313">
        <f ca="1">L143-N143</f>
        <v>-3.2355915065722968E-2</v>
      </c>
      <c r="N143" s="313">
        <v>0.16279069767441862</v>
      </c>
      <c r="O143" s="313">
        <f>N143-P143</f>
        <v>-3.3637873754152808E-2</v>
      </c>
      <c r="P143" s="313">
        <v>0.19642857142857142</v>
      </c>
      <c r="Q143" s="316">
        <f ca="1">INDIRECT(ADDRESS( $C143+1, A143+8,1, TRUE,"KPI3"))</f>
        <v>6</v>
      </c>
      <c r="R143" s="316">
        <v>7</v>
      </c>
      <c r="S143" s="316">
        <v>11</v>
      </c>
      <c r="T143" s="316">
        <v>8</v>
      </c>
      <c r="U143" s="632"/>
      <c r="AF143" s="29"/>
      <c r="AG143" s="29"/>
      <c r="AH143" s="29"/>
      <c r="AI143" s="29"/>
      <c r="AJ143" s="29"/>
      <c r="AK143" s="29"/>
    </row>
    <row r="144" spans="1:37">
      <c r="A144" s="453"/>
      <c r="B144" s="453"/>
      <c r="C144" s="454"/>
      <c r="D144" s="455"/>
      <c r="E144" s="455"/>
      <c r="F144" s="456"/>
      <c r="G144" s="457"/>
      <c r="H144" s="456"/>
      <c r="I144" s="456"/>
      <c r="J144" s="314" t="s">
        <v>391</v>
      </c>
      <c r="K144" s="315"/>
      <c r="L144" s="313">
        <f ca="1">SUM(L140:L143)</f>
        <v>1</v>
      </c>
      <c r="M144" s="313"/>
      <c r="N144" s="313">
        <v>1</v>
      </c>
      <c r="O144" s="313"/>
      <c r="P144" s="313">
        <v>1</v>
      </c>
      <c r="Q144" s="315">
        <f ca="1">SUM(Q140:Q143)</f>
        <v>46</v>
      </c>
      <c r="R144" s="447">
        <v>43</v>
      </c>
      <c r="S144" s="447">
        <v>56</v>
      </c>
      <c r="T144" s="447">
        <v>61</v>
      </c>
      <c r="U144" s="463"/>
      <c r="AF144" s="29"/>
      <c r="AG144" s="29"/>
      <c r="AH144" s="29"/>
      <c r="AI144" s="29"/>
      <c r="AJ144" s="29"/>
      <c r="AK144" s="29"/>
    </row>
    <row r="145" spans="1:37">
      <c r="A145" s="453"/>
      <c r="B145" s="453"/>
      <c r="C145" s="454"/>
      <c r="D145" s="455"/>
      <c r="E145" s="455"/>
      <c r="F145" s="456"/>
      <c r="G145" s="457"/>
      <c r="H145" s="456"/>
      <c r="I145" s="456"/>
      <c r="J145" s="478"/>
      <c r="K145" s="319"/>
      <c r="L145" s="313"/>
      <c r="M145" s="313"/>
      <c r="N145" s="313"/>
      <c r="O145" s="313"/>
      <c r="P145" s="313"/>
      <c r="Q145" s="316"/>
      <c r="R145" s="316"/>
      <c r="S145" s="316"/>
      <c r="T145" s="316"/>
      <c r="U145" s="463"/>
      <c r="AF145" s="29"/>
      <c r="AG145" s="29"/>
      <c r="AH145" s="29"/>
      <c r="AI145" s="29"/>
      <c r="AJ145" s="29"/>
      <c r="AK145" s="29"/>
    </row>
    <row r="146" spans="1:37">
      <c r="A146" s="453">
        <v>3</v>
      </c>
      <c r="B146" s="453">
        <f>B143+2</f>
        <v>74</v>
      </c>
      <c r="C146" s="453">
        <f>C143+2</f>
        <v>10</v>
      </c>
      <c r="D146" s="455">
        <f ca="1">INDIRECT(ADDRESS( C146, 2,1, TRUE,"KPI3"))</f>
        <v>35</v>
      </c>
      <c r="E146" s="455" t="str">
        <f ca="1">INDIRECT(ADDRESS( C146, 3,1, TRUE,"KPI3"))</f>
        <v>KPI 3.4</v>
      </c>
      <c r="F146" s="464">
        <f ca="1">'Quesiti x SI'!AA52</f>
        <v>6.5217391304347823</v>
      </c>
      <c r="G146" s="713">
        <f>'Risultati 2009'!$AA$52</f>
        <v>6.0465116279069768</v>
      </c>
      <c r="H146" s="713">
        <f>'Risultati 2008'!$AA$62</f>
        <v>6.0714285714285712</v>
      </c>
      <c r="I146" s="713">
        <f>'Risultati 2007'!$AA$67</f>
        <v>6.8852459016393439</v>
      </c>
      <c r="J146" s="316" t="str">
        <f ca="1">INDIRECT(ADDRESS( A146, B146,1, TRUE,"Dati"))</f>
        <v>SI</v>
      </c>
      <c r="K146" s="319">
        <f ca="1">INDIRECT(ADDRESS( A146, B146+1,1, TRUE,"Dati"))</f>
        <v>10</v>
      </c>
      <c r="L146" s="313">
        <f ca="1">Q146/Q$149</f>
        <v>0.65217391304347827</v>
      </c>
      <c r="M146" s="313">
        <f ca="1">L146-N146</f>
        <v>4.7522750252780632E-2</v>
      </c>
      <c r="N146" s="313">
        <v>0.60465116279069764</v>
      </c>
      <c r="O146" s="313">
        <f>N146-P146</f>
        <v>-2.491694352159457E-3</v>
      </c>
      <c r="P146" s="313">
        <v>0.6071428571428571</v>
      </c>
      <c r="Q146" s="316">
        <f ca="1">INDIRECT(ADDRESS( $C146+1, A146+8,1, TRUE,"KPI3"))</f>
        <v>30</v>
      </c>
      <c r="R146" s="316">
        <v>26</v>
      </c>
      <c r="S146" s="316">
        <v>34</v>
      </c>
      <c r="T146" s="316">
        <v>42</v>
      </c>
      <c r="U146" s="631" t="str">
        <f ca="1">INDIRECT(ADDRESS( C146, 4,1, TRUE,"KPI3"))</f>
        <v>Nello sviluppo di applicazioni, vengono seguiti dei criteri per ridurre la vulnerabilità del software ?</v>
      </c>
      <c r="AF146" s="29"/>
      <c r="AG146" s="29"/>
      <c r="AH146" s="29"/>
      <c r="AI146" s="29"/>
      <c r="AJ146" s="29"/>
      <c r="AK146" s="29"/>
    </row>
    <row r="147" spans="1:37">
      <c r="A147" s="453">
        <v>2</v>
      </c>
      <c r="B147" s="453">
        <f>B146</f>
        <v>74</v>
      </c>
      <c r="C147" s="454">
        <f>C146</f>
        <v>10</v>
      </c>
      <c r="D147" s="455"/>
      <c r="E147" s="455"/>
      <c r="F147" s="714">
        <f ca="1">(F146-G146)/G146</f>
        <v>7.8595317725752442E-2</v>
      </c>
      <c r="G147" s="714">
        <f>(G146-H146)/H146</f>
        <v>-4.1039671682625983E-3</v>
      </c>
      <c r="H147" s="714">
        <f>(H146-I146)/I146</f>
        <v>-0.11819727891156462</v>
      </c>
      <c r="I147" s="456"/>
      <c r="J147" s="316" t="str">
        <f ca="1">INDIRECT(ADDRESS( A147, B147,1, TRUE,"Dati"))</f>
        <v>NO</v>
      </c>
      <c r="K147" s="319">
        <f ca="1">INDIRECT(ADDRESS( A147, B147+1,1, TRUE,"Dati"))</f>
        <v>0</v>
      </c>
      <c r="L147" s="313">
        <f ca="1">Q147/Q$149</f>
        <v>0.19565217391304349</v>
      </c>
      <c r="M147" s="313">
        <f ca="1">L147-N147</f>
        <v>-3.6905965621840231E-2</v>
      </c>
      <c r="N147" s="313">
        <v>0.23255813953488372</v>
      </c>
      <c r="O147" s="313">
        <f>N147-P147</f>
        <v>1.8272425249169444E-2</v>
      </c>
      <c r="P147" s="313">
        <v>0.21428571428571427</v>
      </c>
      <c r="Q147" s="316">
        <f ca="1">INDIRECT(ADDRESS( $C147+1, A147+8,1, TRUE,"KPI3"))</f>
        <v>9</v>
      </c>
      <c r="R147" s="316">
        <v>10</v>
      </c>
      <c r="S147" s="316">
        <v>12</v>
      </c>
      <c r="T147" s="316">
        <v>10</v>
      </c>
      <c r="U147" s="632"/>
      <c r="AF147" s="29"/>
      <c r="AG147" s="29"/>
      <c r="AH147" s="29"/>
      <c r="AI147" s="29"/>
      <c r="AJ147" s="29"/>
      <c r="AK147" s="29"/>
    </row>
    <row r="148" spans="1:37">
      <c r="A148" s="453">
        <v>1</v>
      </c>
      <c r="B148" s="453">
        <f>B147</f>
        <v>74</v>
      </c>
      <c r="C148" s="454">
        <f>C147</f>
        <v>10</v>
      </c>
      <c r="D148" s="455"/>
      <c r="E148" s="455"/>
      <c r="F148" s="456"/>
      <c r="G148" s="457"/>
      <c r="H148" s="456"/>
      <c r="I148" s="456"/>
      <c r="J148" s="316" t="str">
        <f ca="1">INDIRECT(ADDRESS( A148, B148,1, TRUE,"Dati"))</f>
        <v>--</v>
      </c>
      <c r="K148" s="319">
        <f ca="1">INDIRECT(ADDRESS( A148, B148+1,1, TRUE,"Dati"))</f>
        <v>0</v>
      </c>
      <c r="L148" s="313">
        <f ca="1">Q148/Q$149</f>
        <v>0.15217391304347827</v>
      </c>
      <c r="M148" s="313">
        <f ca="1">L148-N148</f>
        <v>-1.0616784630940346E-2</v>
      </c>
      <c r="N148" s="313">
        <v>0.16279069767441862</v>
      </c>
      <c r="O148" s="313">
        <f>N148-P148</f>
        <v>-1.5780730897009959E-2</v>
      </c>
      <c r="P148" s="313">
        <v>0.17857142857142858</v>
      </c>
      <c r="Q148" s="316">
        <f ca="1">INDIRECT(ADDRESS( $C148+1, A148+8,1, TRUE,"KPI3"))</f>
        <v>7</v>
      </c>
      <c r="R148" s="316">
        <v>7</v>
      </c>
      <c r="S148" s="316">
        <v>10</v>
      </c>
      <c r="T148" s="316">
        <v>9</v>
      </c>
      <c r="U148" s="632"/>
      <c r="AF148" s="29"/>
      <c r="AG148" s="29"/>
      <c r="AH148" s="29"/>
      <c r="AI148" s="29"/>
      <c r="AJ148" s="29"/>
      <c r="AK148" s="29"/>
    </row>
    <row r="149" spans="1:37">
      <c r="A149" s="453"/>
      <c r="B149" s="453"/>
      <c r="C149" s="454"/>
      <c r="D149" s="455"/>
      <c r="E149" s="455"/>
      <c r="F149" s="456"/>
      <c r="G149" s="457"/>
      <c r="H149" s="456"/>
      <c r="I149" s="456"/>
      <c r="J149" s="314" t="s">
        <v>391</v>
      </c>
      <c r="K149" s="315"/>
      <c r="L149" s="313">
        <f ca="1">SUM(L146:L148)</f>
        <v>1</v>
      </c>
      <c r="M149" s="313"/>
      <c r="N149" s="313">
        <v>1</v>
      </c>
      <c r="O149" s="313"/>
      <c r="P149" s="313">
        <v>1</v>
      </c>
      <c r="Q149" s="315">
        <f ca="1">SUM(Q146:Q148)</f>
        <v>46</v>
      </c>
      <c r="R149" s="447">
        <v>43</v>
      </c>
      <c r="S149" s="447">
        <v>56</v>
      </c>
      <c r="T149" s="447">
        <v>61</v>
      </c>
      <c r="U149" s="463"/>
      <c r="AF149" s="29"/>
      <c r="AG149" s="29"/>
      <c r="AH149" s="29"/>
      <c r="AI149" s="29"/>
      <c r="AJ149" s="29"/>
      <c r="AK149" s="29"/>
    </row>
    <row r="150" spans="1:37">
      <c r="A150" s="453"/>
      <c r="B150" s="453"/>
      <c r="C150" s="454"/>
      <c r="D150" s="455"/>
      <c r="E150" s="455"/>
      <c r="F150" s="456"/>
      <c r="G150" s="457"/>
      <c r="H150" s="456"/>
      <c r="I150" s="456"/>
      <c r="J150" s="314"/>
      <c r="K150" s="315"/>
      <c r="L150" s="313"/>
      <c r="M150" s="313"/>
      <c r="N150" s="313"/>
      <c r="O150" s="313"/>
      <c r="P150" s="313"/>
      <c r="Q150" s="315"/>
      <c r="R150" s="447"/>
      <c r="S150" s="447"/>
      <c r="T150" s="316"/>
      <c r="U150" s="463"/>
      <c r="AF150" s="29"/>
      <c r="AG150" s="29"/>
      <c r="AH150" s="29"/>
      <c r="AI150" s="29"/>
      <c r="AJ150" s="29"/>
      <c r="AK150" s="29"/>
    </row>
    <row r="151" spans="1:37">
      <c r="A151" s="453">
        <v>3</v>
      </c>
      <c r="B151" s="453">
        <f>B148+2</f>
        <v>76</v>
      </c>
      <c r="C151" s="453">
        <f>C148+2</f>
        <v>12</v>
      </c>
      <c r="D151" s="455">
        <f ca="1">INDIRECT(ADDRESS( C151, 2,1, TRUE,"KPI3"))</f>
        <v>36</v>
      </c>
      <c r="E151" s="455" t="str">
        <f ca="1">INDIRECT(ADDRESS( C151, 3,1, TRUE,"KPI3"))</f>
        <v>KPI 3.5</v>
      </c>
      <c r="F151" s="464">
        <f ca="1">'Quesiti x SI'!AB52</f>
        <v>8.0434782608695645</v>
      </c>
      <c r="G151" s="713">
        <f>'Risultati 2009'!$AB$52</f>
        <v>7.9069767441860463</v>
      </c>
      <c r="H151" s="713">
        <f>'Risultati 2008'!$AB$62</f>
        <v>7.5</v>
      </c>
      <c r="I151" s="713">
        <f>'Risultati 2007'!$AB$67</f>
        <v>7.7049180327868854</v>
      </c>
      <c r="J151" s="316" t="str">
        <f ca="1">INDIRECT(ADDRESS( A151, B151,1, TRUE,"Dati"))</f>
        <v>SI</v>
      </c>
      <c r="K151" s="319">
        <f ca="1">INDIRECT(ADDRESS( A151, B151+1,1, TRUE,"Dati"))</f>
        <v>10</v>
      </c>
      <c r="L151" s="313">
        <f ca="1">Q151/Q$154</f>
        <v>0.80434782608695654</v>
      </c>
      <c r="M151" s="313">
        <f ca="1">L151-N151</f>
        <v>1.3650151668351929E-2</v>
      </c>
      <c r="N151" s="313">
        <v>0.79069767441860461</v>
      </c>
      <c r="O151" s="313">
        <f>N151-P151</f>
        <v>4.0697674418604612E-2</v>
      </c>
      <c r="P151" s="313">
        <v>0.75</v>
      </c>
      <c r="Q151" s="316">
        <f ca="1">INDIRECT(ADDRESS( $C151+1, A151+8,1, TRUE,"KPI3"))</f>
        <v>37</v>
      </c>
      <c r="R151" s="316">
        <v>34</v>
      </c>
      <c r="S151" s="316">
        <v>42</v>
      </c>
      <c r="T151" s="316">
        <v>47</v>
      </c>
      <c r="U151" s="631" t="str">
        <f ca="1">INDIRECT(ADDRESS( C151, 4,1, TRUE,"KPI3"))</f>
        <v>Se esiste un server di posta elettronica interno, esiste un filtro antivirus sul server di posta locale ?</v>
      </c>
      <c r="AF151" s="29"/>
      <c r="AG151" s="29"/>
      <c r="AH151" s="29"/>
      <c r="AI151" s="29"/>
      <c r="AJ151" s="29"/>
      <c r="AK151" s="29"/>
    </row>
    <row r="152" spans="1:37">
      <c r="A152" s="453">
        <v>2</v>
      </c>
      <c r="B152" s="453">
        <f>B151</f>
        <v>76</v>
      </c>
      <c r="C152" s="454">
        <f>C151</f>
        <v>12</v>
      </c>
      <c r="D152" s="455"/>
      <c r="E152" s="455"/>
      <c r="F152" s="714">
        <f ca="1">(F151-G151)/G151</f>
        <v>1.7263427109974357E-2</v>
      </c>
      <c r="G152" s="714">
        <f>(G151-H151)/H151</f>
        <v>5.4263565891472847E-2</v>
      </c>
      <c r="H152" s="714">
        <f>(H151-I151)/I151</f>
        <v>-2.6595744680851078E-2</v>
      </c>
      <c r="I152" s="456"/>
      <c r="J152" s="316" t="str">
        <f ca="1">INDIRECT(ADDRESS( A152, B152,1, TRUE,"Dati"))</f>
        <v>NO</v>
      </c>
      <c r="K152" s="319">
        <f ca="1">INDIRECT(ADDRESS( A152, B152+1,1, TRUE,"Dati"))</f>
        <v>0</v>
      </c>
      <c r="L152" s="313">
        <f ca="1">Q152/Q$154</f>
        <v>2.1739130434782608E-2</v>
      </c>
      <c r="M152" s="313">
        <f ca="1">L152-N152</f>
        <v>-2.4772497472194135E-2</v>
      </c>
      <c r="N152" s="313">
        <v>4.6511627906976744E-2</v>
      </c>
      <c r="O152" s="313">
        <f>N152-P152</f>
        <v>2.8654485049833887E-2</v>
      </c>
      <c r="P152" s="313">
        <v>1.7857142857142856E-2</v>
      </c>
      <c r="Q152" s="316">
        <f ca="1">INDIRECT(ADDRESS( $C152+1, A152+8,1, TRUE,"KPI3"))</f>
        <v>1</v>
      </c>
      <c r="R152" s="316">
        <v>2</v>
      </c>
      <c r="S152" s="316">
        <v>1</v>
      </c>
      <c r="T152" s="316">
        <v>5</v>
      </c>
      <c r="U152" s="632"/>
      <c r="AF152" s="29"/>
      <c r="AG152" s="29"/>
      <c r="AH152" s="29"/>
      <c r="AI152" s="29"/>
      <c r="AJ152" s="29"/>
      <c r="AK152" s="29"/>
    </row>
    <row r="153" spans="1:37">
      <c r="A153" s="453">
        <v>1</v>
      </c>
      <c r="B153" s="453">
        <f>B152</f>
        <v>76</v>
      </c>
      <c r="C153" s="454">
        <f>C152</f>
        <v>12</v>
      </c>
      <c r="D153" s="455"/>
      <c r="E153" s="455"/>
      <c r="F153" s="456"/>
      <c r="G153" s="457"/>
      <c r="H153" s="456"/>
      <c r="I153" s="456"/>
      <c r="J153" s="316" t="str">
        <f ca="1">INDIRECT(ADDRESS( A153, B153,1, TRUE,"Dati"))</f>
        <v>--</v>
      </c>
      <c r="K153" s="319">
        <f ca="1">INDIRECT(ADDRESS( A153, B153+1,1, TRUE,"Dati"))</f>
        <v>0</v>
      </c>
      <c r="L153" s="313">
        <f ca="1">Q153/Q$154</f>
        <v>0.17391304347826086</v>
      </c>
      <c r="M153" s="313">
        <f ca="1">L153-N153</f>
        <v>1.1122345803842248E-2</v>
      </c>
      <c r="N153" s="313">
        <v>0.16279069767441862</v>
      </c>
      <c r="O153" s="313">
        <f>N153-P153</f>
        <v>-6.9352159468438535E-2</v>
      </c>
      <c r="P153" s="313">
        <v>0.23214285714285715</v>
      </c>
      <c r="Q153" s="316">
        <f ca="1">INDIRECT(ADDRESS( $C153+1, A153+8,1, TRUE,"KPI3"))</f>
        <v>8</v>
      </c>
      <c r="R153" s="316">
        <v>7</v>
      </c>
      <c r="S153" s="316">
        <v>13</v>
      </c>
      <c r="T153" s="316">
        <v>9</v>
      </c>
      <c r="U153" s="632"/>
      <c r="AF153" s="29"/>
      <c r="AG153" s="29"/>
      <c r="AH153" s="29"/>
      <c r="AI153" s="29"/>
      <c r="AJ153" s="29"/>
      <c r="AK153" s="29"/>
    </row>
    <row r="154" spans="1:37">
      <c r="A154" s="453"/>
      <c r="B154" s="453"/>
      <c r="C154" s="454"/>
      <c r="D154" s="455"/>
      <c r="E154" s="455"/>
      <c r="F154" s="456"/>
      <c r="G154" s="457"/>
      <c r="H154" s="456"/>
      <c r="I154" s="456"/>
      <c r="J154" s="314" t="s">
        <v>391</v>
      </c>
      <c r="K154" s="315"/>
      <c r="L154" s="313">
        <f ca="1">SUM(L151:L153)</f>
        <v>1</v>
      </c>
      <c r="M154" s="313"/>
      <c r="N154" s="313">
        <v>1</v>
      </c>
      <c r="O154" s="313"/>
      <c r="P154" s="313">
        <v>1</v>
      </c>
      <c r="Q154" s="315">
        <f ca="1">SUM(Q151:Q153)</f>
        <v>46</v>
      </c>
      <c r="R154" s="447">
        <v>43</v>
      </c>
      <c r="S154" s="447">
        <v>56</v>
      </c>
      <c r="T154" s="447">
        <v>61</v>
      </c>
      <c r="U154" s="463"/>
      <c r="AF154" s="29"/>
      <c r="AG154" s="29"/>
      <c r="AH154" s="29"/>
      <c r="AI154" s="29"/>
      <c r="AJ154" s="29"/>
      <c r="AK154" s="29"/>
    </row>
    <row r="155" spans="1:37">
      <c r="A155" s="453"/>
      <c r="B155" s="453"/>
      <c r="C155" s="454"/>
      <c r="D155" s="455"/>
      <c r="E155" s="455"/>
      <c r="F155" s="456"/>
      <c r="G155" s="457"/>
      <c r="H155" s="456"/>
      <c r="I155" s="456"/>
      <c r="J155" s="314"/>
      <c r="K155" s="315"/>
      <c r="L155" s="313"/>
      <c r="M155" s="313"/>
      <c r="N155" s="313"/>
      <c r="O155" s="313"/>
      <c r="P155" s="313"/>
      <c r="Q155" s="315"/>
      <c r="R155" s="447"/>
      <c r="S155" s="447"/>
      <c r="T155" s="316"/>
      <c r="U155" s="463"/>
      <c r="AF155" s="29"/>
      <c r="AG155" s="29"/>
      <c r="AH155" s="29"/>
      <c r="AI155" s="29"/>
      <c r="AJ155" s="29"/>
      <c r="AK155" s="29"/>
    </row>
    <row r="156" spans="1:37">
      <c r="A156" s="453">
        <v>3</v>
      </c>
      <c r="B156" s="453">
        <f>B152+2</f>
        <v>78</v>
      </c>
      <c r="C156" s="453">
        <f>C152+2</f>
        <v>14</v>
      </c>
      <c r="D156" s="455">
        <f ca="1">INDIRECT(ADDRESS( C156, 2,1, TRUE,"KPI3"))</f>
        <v>37</v>
      </c>
      <c r="E156" s="455" t="str">
        <f ca="1">INDIRECT(ADDRESS( C156, 3,1, TRUE,"KPI3"))</f>
        <v>KPI 3.6</v>
      </c>
      <c r="F156" s="464">
        <f ca="1">'Quesiti x SI'!AC52</f>
        <v>7.8260869565217392</v>
      </c>
      <c r="G156" s="713">
        <f>'Risultati 2009'!$AC$52</f>
        <v>7.6744186046511631</v>
      </c>
      <c r="H156" s="713">
        <f>'Risultati 2008'!$AC$62</f>
        <v>7.3214285714285712</v>
      </c>
      <c r="I156" s="713">
        <f>'Risultati 2007'!$AC$67</f>
        <v>7.2131147540983607</v>
      </c>
      <c r="J156" s="316" t="str">
        <f ca="1">INDIRECT(ADDRESS( A156, B156,1, TRUE,"Dati"))</f>
        <v>SI</v>
      </c>
      <c r="K156" s="319">
        <f ca="1">INDIRECT(ADDRESS( A156, B156+1,1, TRUE,"Dati"))</f>
        <v>10</v>
      </c>
      <c r="L156" s="313">
        <f ca="1">Q156/Q$159</f>
        <v>0.78260869565217395</v>
      </c>
      <c r="M156" s="313">
        <f ca="1">L156-N156</f>
        <v>1.5166835187057637E-2</v>
      </c>
      <c r="N156" s="313">
        <v>0.76744186046511631</v>
      </c>
      <c r="O156" s="313">
        <f>N156-P156</f>
        <v>3.5299003322259215E-2</v>
      </c>
      <c r="P156" s="313">
        <v>0.7321428571428571</v>
      </c>
      <c r="Q156" s="316">
        <f ca="1">INDIRECT(ADDRESS( $C156+1, A156+8,1, TRUE,"KPI3"))</f>
        <v>36</v>
      </c>
      <c r="R156" s="316">
        <v>33</v>
      </c>
      <c r="S156" s="316">
        <v>41</v>
      </c>
      <c r="T156" s="316">
        <v>44</v>
      </c>
      <c r="U156" s="631" t="str">
        <f ca="1">INDIRECT(ADDRESS( C156, 4,1, TRUE,"KPI3"))</f>
        <v>Se esiste un server di posta elettronica interno, esiste un filtro anti-spam sul server locale ?</v>
      </c>
      <c r="AF156" s="29"/>
      <c r="AG156" s="29"/>
      <c r="AH156" s="29"/>
      <c r="AI156" s="29"/>
      <c r="AJ156" s="29"/>
      <c r="AK156" s="29"/>
    </row>
    <row r="157" spans="1:37">
      <c r="A157" s="453">
        <v>2</v>
      </c>
      <c r="B157" s="453">
        <f>B156</f>
        <v>78</v>
      </c>
      <c r="C157" s="454">
        <f>C156</f>
        <v>14</v>
      </c>
      <c r="D157" s="455"/>
      <c r="E157" s="455"/>
      <c r="F157" s="714">
        <f ca="1">(F156-G156)/G156</f>
        <v>1.9762845849802344E-2</v>
      </c>
      <c r="G157" s="714">
        <f>(G156-H156)/H156</f>
        <v>4.8213272830402804E-2</v>
      </c>
      <c r="H157" s="714">
        <f>(H156-I156)/I156</f>
        <v>1.501623376623373E-2</v>
      </c>
      <c r="I157" s="456"/>
      <c r="J157" s="316" t="str">
        <f ca="1">INDIRECT(ADDRESS( A157, B157,1, TRUE,"Dati"))</f>
        <v>NO</v>
      </c>
      <c r="K157" s="319">
        <f ca="1">INDIRECT(ADDRESS( A157, B157+1,1, TRUE,"Dati"))</f>
        <v>0</v>
      </c>
      <c r="L157" s="313">
        <f ca="1">Q157/Q$159</f>
        <v>6.5217391304347824E-2</v>
      </c>
      <c r="M157" s="313">
        <f ca="1">L157-N157</f>
        <v>-4.550050556117291E-3</v>
      </c>
      <c r="N157" s="313">
        <v>6.9767441860465115E-2</v>
      </c>
      <c r="O157" s="313">
        <f>N157-P157</f>
        <v>3.4053156146179403E-2</v>
      </c>
      <c r="P157" s="313">
        <v>3.5714285714285712E-2</v>
      </c>
      <c r="Q157" s="316">
        <f ca="1">INDIRECT(ADDRESS( $C157+1, A157+8,1, TRUE,"KPI3"))</f>
        <v>3</v>
      </c>
      <c r="R157" s="316">
        <v>3</v>
      </c>
      <c r="S157" s="316">
        <v>2</v>
      </c>
      <c r="T157" s="316">
        <v>8</v>
      </c>
      <c r="U157" s="632"/>
      <c r="AF157" s="29"/>
      <c r="AG157" s="29"/>
      <c r="AH157" s="29"/>
      <c r="AI157" s="29"/>
      <c r="AJ157" s="29"/>
      <c r="AK157" s="29"/>
    </row>
    <row r="158" spans="1:37">
      <c r="A158" s="453">
        <v>1</v>
      </c>
      <c r="B158" s="453">
        <f>B157</f>
        <v>78</v>
      </c>
      <c r="C158" s="454">
        <f>C157</f>
        <v>14</v>
      </c>
      <c r="D158" s="455"/>
      <c r="E158" s="455"/>
      <c r="F158" s="456"/>
      <c r="G158" s="457"/>
      <c r="H158" s="456"/>
      <c r="I158" s="456"/>
      <c r="J158" s="316" t="str">
        <f ca="1">INDIRECT(ADDRESS( A158, B158,1, TRUE,"Dati"))</f>
        <v>--</v>
      </c>
      <c r="K158" s="319">
        <f ca="1">INDIRECT(ADDRESS( A158, B158+1,1, TRUE,"Dati"))</f>
        <v>0</v>
      </c>
      <c r="L158" s="313">
        <f ca="1">Q158/Q$159</f>
        <v>0.15217391304347827</v>
      </c>
      <c r="M158" s="313">
        <f ca="1">L158-N158</f>
        <v>-1.0616784630940346E-2</v>
      </c>
      <c r="N158" s="313">
        <v>0.16279069767441862</v>
      </c>
      <c r="O158" s="313">
        <f>N158-P158</f>
        <v>-6.9352159468438535E-2</v>
      </c>
      <c r="P158" s="313">
        <v>0.23214285714285715</v>
      </c>
      <c r="Q158" s="316">
        <f ca="1">INDIRECT(ADDRESS( $C158+1, A158+8,1, TRUE,"KPI3"))</f>
        <v>7</v>
      </c>
      <c r="R158" s="316">
        <v>7</v>
      </c>
      <c r="S158" s="316">
        <v>13</v>
      </c>
      <c r="T158" s="316">
        <v>9</v>
      </c>
      <c r="U158" s="632"/>
      <c r="AF158" s="29"/>
      <c r="AG158" s="29"/>
      <c r="AH158" s="29"/>
      <c r="AI158" s="29"/>
      <c r="AJ158" s="29"/>
      <c r="AK158" s="29"/>
    </row>
    <row r="159" spans="1:37">
      <c r="A159" s="453"/>
      <c r="B159" s="453"/>
      <c r="C159" s="454"/>
      <c r="D159" s="455"/>
      <c r="E159" s="455"/>
      <c r="F159" s="456"/>
      <c r="G159" s="457"/>
      <c r="H159" s="456"/>
      <c r="I159" s="456"/>
      <c r="J159" s="314" t="s">
        <v>391</v>
      </c>
      <c r="K159" s="315"/>
      <c r="L159" s="313">
        <f ca="1">SUM(L156:L158)</f>
        <v>1</v>
      </c>
      <c r="M159" s="313"/>
      <c r="N159" s="313">
        <v>1</v>
      </c>
      <c r="O159" s="313"/>
      <c r="P159" s="313">
        <v>1</v>
      </c>
      <c r="Q159" s="315">
        <f ca="1">SUM(Q156:Q158)</f>
        <v>46</v>
      </c>
      <c r="R159" s="447">
        <v>43</v>
      </c>
      <c r="S159" s="447">
        <v>56</v>
      </c>
      <c r="T159" s="447">
        <v>61</v>
      </c>
      <c r="U159" s="463"/>
      <c r="AF159" s="29"/>
      <c r="AG159" s="29"/>
      <c r="AH159" s="29"/>
      <c r="AI159" s="29"/>
      <c r="AJ159" s="29"/>
      <c r="AK159" s="29"/>
    </row>
    <row r="160" spans="1:37">
      <c r="A160" s="453"/>
      <c r="B160" s="453"/>
      <c r="C160" s="454"/>
      <c r="D160" s="455"/>
      <c r="E160" s="455"/>
      <c r="F160" s="456"/>
      <c r="G160" s="457"/>
      <c r="H160" s="456"/>
      <c r="I160" s="456"/>
      <c r="J160" s="314"/>
      <c r="K160" s="315"/>
      <c r="L160" s="313"/>
      <c r="M160" s="313"/>
      <c r="N160" s="313"/>
      <c r="O160" s="313"/>
      <c r="P160" s="313"/>
      <c r="Q160" s="315"/>
      <c r="R160" s="447"/>
      <c r="S160" s="447"/>
      <c r="T160" s="316"/>
      <c r="U160" s="463"/>
      <c r="AF160" s="29"/>
      <c r="AG160" s="29"/>
      <c r="AH160" s="29"/>
      <c r="AI160" s="29"/>
      <c r="AJ160" s="29"/>
      <c r="AK160" s="29"/>
    </row>
    <row r="161" spans="1:37">
      <c r="A161" s="453">
        <v>3</v>
      </c>
      <c r="B161" s="453">
        <f>B157+2</f>
        <v>80</v>
      </c>
      <c r="C161" s="453">
        <f>C157+2</f>
        <v>16</v>
      </c>
      <c r="D161" s="455">
        <f ca="1">INDIRECT(ADDRESS( C161, 2,1, TRUE,"KPI3"))</f>
        <v>38</v>
      </c>
      <c r="E161" s="455" t="str">
        <f ca="1">INDIRECT(ADDRESS( C161, 3,1, TRUE,"KPI3"))</f>
        <v>KPI 3.7</v>
      </c>
      <c r="F161" s="464">
        <f ca="1">'Quesiti x SI'!AD52</f>
        <v>8.4782608695652169</v>
      </c>
      <c r="G161" s="713">
        <f>'Risultati 2009'!$AD$52</f>
        <v>8.1395348837209305</v>
      </c>
      <c r="H161" s="713">
        <f>'Risultati 2008'!$AD$62</f>
        <v>8.0357142857142865</v>
      </c>
      <c r="I161" s="713">
        <f>'Risultati 2007'!$AD$67</f>
        <v>7.7049180327868854</v>
      </c>
      <c r="J161" s="316" t="str">
        <f ca="1">INDIRECT(ADDRESS( A161, B161,1, TRUE,"Dati"))</f>
        <v>SI</v>
      </c>
      <c r="K161" s="319">
        <f ca="1">INDIRECT(ADDRESS( A161, B161+1,1, TRUE,"Dati"))</f>
        <v>10</v>
      </c>
      <c r="L161" s="313">
        <f ca="1">Q161/Q$164</f>
        <v>0.84782608695652173</v>
      </c>
      <c r="M161" s="313">
        <f ca="1">L161-N161</f>
        <v>3.3872598584428704E-2</v>
      </c>
      <c r="N161" s="313">
        <v>0.81395348837209303</v>
      </c>
      <c r="O161" s="313">
        <f>N161-P161</f>
        <v>1.0382059800664423E-2</v>
      </c>
      <c r="P161" s="313">
        <v>0.8035714285714286</v>
      </c>
      <c r="Q161" s="316">
        <f ca="1">INDIRECT(ADDRESS( $C161+1, A161+8,1, TRUE,"KPI3"))</f>
        <v>39</v>
      </c>
      <c r="R161" s="316">
        <v>35</v>
      </c>
      <c r="S161" s="316">
        <v>45</v>
      </c>
      <c r="T161" s="316">
        <v>47</v>
      </c>
      <c r="U161" s="631" t="str">
        <f ca="1">INDIRECT(ADDRESS( C161, 4,1, TRUE,"KPI3"))</f>
        <v>Viene utilizzato il protocollo HTTPS per proteggere i contenuti sensibili ?</v>
      </c>
      <c r="AF161" s="29"/>
      <c r="AG161" s="29"/>
      <c r="AH161" s="29"/>
      <c r="AI161" s="29"/>
      <c r="AJ161" s="29"/>
      <c r="AK161" s="29"/>
    </row>
    <row r="162" spans="1:37">
      <c r="A162" s="453">
        <v>2</v>
      </c>
      <c r="B162" s="453">
        <f>B161</f>
        <v>80</v>
      </c>
      <c r="C162" s="454">
        <f>C161</f>
        <v>16</v>
      </c>
      <c r="D162" s="455"/>
      <c r="E162" s="455"/>
      <c r="F162" s="714">
        <f ca="1">(F161-G161)/G161</f>
        <v>4.1614906832298036E-2</v>
      </c>
      <c r="G162" s="714">
        <f>(G161-H161)/H161</f>
        <v>1.2919896640826808E-2</v>
      </c>
      <c r="H162" s="714">
        <f>(H161-I161)/I161</f>
        <v>4.2933130699088232E-2</v>
      </c>
      <c r="I162" s="456"/>
      <c r="J162" s="316" t="str">
        <f ca="1">INDIRECT(ADDRESS( A162, B162,1, TRUE,"Dati"))</f>
        <v>NO</v>
      </c>
      <c r="K162" s="319">
        <f ca="1">INDIRECT(ADDRESS( A162, B162+1,1, TRUE,"Dati"))</f>
        <v>0</v>
      </c>
      <c r="L162" s="313">
        <f ca="1">Q162/Q$164</f>
        <v>4.3478260869565216E-2</v>
      </c>
      <c r="M162" s="313">
        <f ca="1">L162-N162</f>
        <v>-3.0333670374115274E-3</v>
      </c>
      <c r="N162" s="313">
        <v>4.6511627906976744E-2</v>
      </c>
      <c r="O162" s="313">
        <f>N162-P162</f>
        <v>2.8654485049833887E-2</v>
      </c>
      <c r="P162" s="313">
        <v>1.7857142857142856E-2</v>
      </c>
      <c r="Q162" s="316">
        <f ca="1">INDIRECT(ADDRESS( $C162+1, A162+8,1, TRUE,"KPI3"))</f>
        <v>2</v>
      </c>
      <c r="R162" s="316">
        <v>2</v>
      </c>
      <c r="S162" s="316">
        <v>1</v>
      </c>
      <c r="T162" s="316">
        <v>6</v>
      </c>
      <c r="U162" s="632"/>
      <c r="AF162" s="29"/>
      <c r="AG162" s="29"/>
      <c r="AH162" s="29"/>
      <c r="AI162" s="29"/>
      <c r="AJ162" s="29"/>
      <c r="AK162" s="29"/>
    </row>
    <row r="163" spans="1:37">
      <c r="A163" s="453">
        <v>1</v>
      </c>
      <c r="B163" s="453">
        <f>B162</f>
        <v>80</v>
      </c>
      <c r="C163" s="454">
        <f>C162</f>
        <v>16</v>
      </c>
      <c r="D163" s="455"/>
      <c r="E163" s="455"/>
      <c r="F163" s="456"/>
      <c r="G163" s="457"/>
      <c r="H163" s="456"/>
      <c r="I163" s="456"/>
      <c r="J163" s="316" t="str">
        <f ca="1">INDIRECT(ADDRESS( A163, B163,1, TRUE,"Dati"))</f>
        <v>--</v>
      </c>
      <c r="K163" s="319">
        <f ca="1">INDIRECT(ADDRESS( A163, B163+1,1, TRUE,"Dati"))</f>
        <v>0</v>
      </c>
      <c r="L163" s="313">
        <f ca="1">Q163/Q$164</f>
        <v>0.10869565217391304</v>
      </c>
      <c r="M163" s="313">
        <f ca="1">L163-N163</f>
        <v>-3.083923154701719E-2</v>
      </c>
      <c r="N163" s="313">
        <v>0.13953488372093023</v>
      </c>
      <c r="O163" s="313">
        <f>N163-P163</f>
        <v>-3.9036544850498345E-2</v>
      </c>
      <c r="P163" s="313">
        <v>0.17857142857142858</v>
      </c>
      <c r="Q163" s="316">
        <f ca="1">INDIRECT(ADDRESS( $C163+1, A163+8,1, TRUE,"KPI3"))</f>
        <v>5</v>
      </c>
      <c r="R163" s="316">
        <v>6</v>
      </c>
      <c r="S163" s="316">
        <v>10</v>
      </c>
      <c r="T163" s="316">
        <v>8</v>
      </c>
      <c r="U163" s="632"/>
      <c r="AF163" s="29"/>
      <c r="AG163" s="29"/>
      <c r="AH163" s="29"/>
      <c r="AI163" s="29"/>
      <c r="AJ163" s="29"/>
      <c r="AK163" s="29"/>
    </row>
    <row r="164" spans="1:37">
      <c r="A164" s="453"/>
      <c r="B164" s="453"/>
      <c r="C164" s="454"/>
      <c r="D164" s="455"/>
      <c r="E164" s="455"/>
      <c r="F164" s="456"/>
      <c r="G164" s="457"/>
      <c r="H164" s="456"/>
      <c r="I164" s="456"/>
      <c r="J164" s="314" t="s">
        <v>391</v>
      </c>
      <c r="K164" s="315"/>
      <c r="L164" s="313">
        <f ca="1">SUM(L161:L163)</f>
        <v>1</v>
      </c>
      <c r="M164" s="313"/>
      <c r="N164" s="313">
        <v>1</v>
      </c>
      <c r="O164" s="313"/>
      <c r="P164" s="313">
        <v>1</v>
      </c>
      <c r="Q164" s="315">
        <f ca="1">SUM(Q161:Q163)</f>
        <v>46</v>
      </c>
      <c r="R164" s="447">
        <v>43</v>
      </c>
      <c r="S164" s="447">
        <v>56</v>
      </c>
      <c r="T164" s="447">
        <v>61</v>
      </c>
      <c r="U164" s="463"/>
      <c r="AF164" s="29"/>
      <c r="AG164" s="29"/>
      <c r="AH164" s="29"/>
      <c r="AI164" s="29"/>
      <c r="AJ164" s="29"/>
      <c r="AK164" s="29"/>
    </row>
    <row r="165" spans="1:37">
      <c r="A165" s="453"/>
      <c r="B165" s="453"/>
      <c r="C165" s="454"/>
      <c r="D165" s="455"/>
      <c r="E165" s="455"/>
      <c r="F165" s="456"/>
      <c r="G165" s="457"/>
      <c r="H165" s="456"/>
      <c r="I165" s="456"/>
      <c r="J165" s="314"/>
      <c r="K165" s="315"/>
      <c r="L165" s="313"/>
      <c r="M165" s="313"/>
      <c r="N165" s="313"/>
      <c r="O165" s="313"/>
      <c r="P165" s="313"/>
      <c r="Q165" s="315"/>
      <c r="R165" s="447"/>
      <c r="S165" s="447"/>
      <c r="T165" s="316"/>
      <c r="U165" s="463"/>
      <c r="AF165" s="29"/>
      <c r="AG165" s="29"/>
      <c r="AH165" s="29"/>
      <c r="AI165" s="29"/>
      <c r="AJ165" s="29"/>
      <c r="AK165" s="29"/>
    </row>
    <row r="166" spans="1:37">
      <c r="A166" s="453">
        <v>3</v>
      </c>
      <c r="B166" s="453">
        <f>B163+2</f>
        <v>82</v>
      </c>
      <c r="C166" s="453">
        <f>C163+2</f>
        <v>18</v>
      </c>
      <c r="D166" s="455">
        <f ca="1">INDIRECT(ADDRESS( C166, 2,1, TRUE,"KPI3"))</f>
        <v>39</v>
      </c>
      <c r="E166" s="455" t="str">
        <f ca="1">INDIRECT(ADDRESS( C166, 3,1, TRUE,"KPI3"))</f>
        <v>KPI 3.8</v>
      </c>
      <c r="F166" s="464">
        <f ca="1">'Quesiti x SI'!AE52</f>
        <v>9.3478260869565215</v>
      </c>
      <c r="G166" s="713">
        <f>'Risultati 2009'!$AE$52</f>
        <v>9.0697674418604652</v>
      </c>
      <c r="H166" s="713">
        <f>'Risultati 2008'!$AE$62</f>
        <v>8.5714285714285712</v>
      </c>
      <c r="I166" s="713">
        <f>'Risultati 2007'!$AE$67</f>
        <v>8.3606557377049189</v>
      </c>
      <c r="J166" s="316" t="str">
        <f ca="1">INDIRECT(ADDRESS( A166, B166,1, TRUE,"Dati"))</f>
        <v>SI</v>
      </c>
      <c r="K166" s="319">
        <f ca="1">INDIRECT(ADDRESS( A166, B166+1,1, TRUE,"Dati"))</f>
        <v>10</v>
      </c>
      <c r="L166" s="313">
        <f ca="1">Q166/Q$169</f>
        <v>0.93478260869565222</v>
      </c>
      <c r="M166" s="313">
        <f ca="1">L166-N166</f>
        <v>2.780586450960576E-2</v>
      </c>
      <c r="N166" s="313">
        <v>0.90697674418604646</v>
      </c>
      <c r="O166" s="313">
        <f>N166-P166</f>
        <v>4.9833887043189362E-2</v>
      </c>
      <c r="P166" s="313">
        <v>0.8571428571428571</v>
      </c>
      <c r="Q166" s="316">
        <f ca="1">INDIRECT(ADDRESS( $C166+1, A166+8,1, TRUE,"KPI3"))</f>
        <v>43</v>
      </c>
      <c r="R166" s="316">
        <v>39</v>
      </c>
      <c r="S166" s="316">
        <v>48</v>
      </c>
      <c r="T166" s="316">
        <v>51</v>
      </c>
      <c r="U166" s="455" t="str">
        <f ca="1">INDIRECT(ADDRESS( C166, 4,1, TRUE,"KPI3"))</f>
        <v>Esiste un sistema di protezione antivirus centralizzato  ?</v>
      </c>
      <c r="AF166" s="29"/>
      <c r="AG166" s="29"/>
      <c r="AH166" s="29"/>
      <c r="AI166" s="29"/>
      <c r="AJ166" s="29"/>
      <c r="AK166" s="29"/>
    </row>
    <row r="167" spans="1:37">
      <c r="A167" s="453">
        <v>2</v>
      </c>
      <c r="B167" s="453">
        <f>B166</f>
        <v>82</v>
      </c>
      <c r="C167" s="454">
        <f>C166</f>
        <v>18</v>
      </c>
      <c r="D167" s="455"/>
      <c r="E167" s="455"/>
      <c r="F167" s="714">
        <f ca="1">(F166-G166)/G166</f>
        <v>3.0657748049052358E-2</v>
      </c>
      <c r="G167" s="714">
        <f>(G166-H166)/H166</f>
        <v>5.8139534883720978E-2</v>
      </c>
      <c r="H167" s="714">
        <f>(H166-I166)/I166</f>
        <v>2.5210084033613311E-2</v>
      </c>
      <c r="I167" s="456"/>
      <c r="J167" s="316" t="str">
        <f ca="1">INDIRECT(ADDRESS( A167, B167,1, TRUE,"Dati"))</f>
        <v>NO</v>
      </c>
      <c r="K167" s="319">
        <f ca="1">INDIRECT(ADDRESS( A167, B167+1,1, TRUE,"Dati"))</f>
        <v>0</v>
      </c>
      <c r="L167" s="313">
        <f ca="1">Q167/Q$169</f>
        <v>4.3478260869565216E-2</v>
      </c>
      <c r="M167" s="313">
        <f ca="1">L167-N167</f>
        <v>4.3478260869565216E-2</v>
      </c>
      <c r="N167" s="313">
        <v>0</v>
      </c>
      <c r="O167" s="313">
        <f>N167-P167</f>
        <v>-1.7857142857142856E-2</v>
      </c>
      <c r="P167" s="313">
        <v>1.7857142857142856E-2</v>
      </c>
      <c r="Q167" s="316">
        <f ca="1">INDIRECT(ADDRESS( $C167+1, A167+8,1, TRUE,"KPI3"))</f>
        <v>2</v>
      </c>
      <c r="R167" s="316">
        <v>0</v>
      </c>
      <c r="S167" s="316">
        <v>1</v>
      </c>
      <c r="T167" s="316">
        <v>2</v>
      </c>
      <c r="U167" s="463"/>
      <c r="AF167" s="29"/>
      <c r="AG167" s="29"/>
      <c r="AH167" s="29"/>
      <c r="AI167" s="29"/>
      <c r="AJ167" s="29"/>
      <c r="AK167" s="29"/>
    </row>
    <row r="168" spans="1:37">
      <c r="A168" s="453">
        <v>1</v>
      </c>
      <c r="B168" s="453">
        <f>B167</f>
        <v>82</v>
      </c>
      <c r="C168" s="454">
        <f>C167</f>
        <v>18</v>
      </c>
      <c r="D168" s="455"/>
      <c r="E168" s="455"/>
      <c r="F168" s="456"/>
      <c r="G168" s="457"/>
      <c r="H168" s="456"/>
      <c r="I168" s="456"/>
      <c r="J168" s="316" t="str">
        <f ca="1">INDIRECT(ADDRESS( A168, B168,1, TRUE,"Dati"))</f>
        <v>--</v>
      </c>
      <c r="K168" s="319">
        <f ca="1">INDIRECT(ADDRESS( A168, B168+1,1, TRUE,"Dati"))</f>
        <v>0</v>
      </c>
      <c r="L168" s="313">
        <f ca="1">Q168/Q$169</f>
        <v>2.1739130434782608E-2</v>
      </c>
      <c r="M168" s="313">
        <f ca="1">L168-N168</f>
        <v>-7.1284125379170879E-2</v>
      </c>
      <c r="N168" s="313">
        <v>9.3023255813953487E-2</v>
      </c>
      <c r="O168" s="313">
        <f>N168-P168</f>
        <v>-3.1976744186046513E-2</v>
      </c>
      <c r="P168" s="313">
        <v>0.125</v>
      </c>
      <c r="Q168" s="316">
        <f ca="1">INDIRECT(ADDRESS( $C168+1, A168+8,1, TRUE,"KPI3"))</f>
        <v>1</v>
      </c>
      <c r="R168" s="316">
        <v>4</v>
      </c>
      <c r="S168" s="316">
        <v>7</v>
      </c>
      <c r="T168" s="316">
        <v>8</v>
      </c>
      <c r="U168" s="463"/>
      <c r="AF168" s="29"/>
      <c r="AG168" s="29"/>
      <c r="AH168" s="29"/>
      <c r="AI168" s="29"/>
      <c r="AJ168" s="29"/>
      <c r="AK168" s="29"/>
    </row>
    <row r="169" spans="1:37">
      <c r="A169" s="453"/>
      <c r="B169" s="453"/>
      <c r="C169" s="454"/>
      <c r="D169" s="455"/>
      <c r="E169" s="455"/>
      <c r="F169" s="456"/>
      <c r="G169" s="457"/>
      <c r="H169" s="456"/>
      <c r="I169" s="456"/>
      <c r="J169" s="314" t="s">
        <v>391</v>
      </c>
      <c r="K169" s="315"/>
      <c r="L169" s="313">
        <f ca="1">SUM(L166:L168)</f>
        <v>1</v>
      </c>
      <c r="M169" s="313"/>
      <c r="N169" s="313">
        <v>1</v>
      </c>
      <c r="O169" s="313"/>
      <c r="P169" s="313">
        <v>1</v>
      </c>
      <c r="Q169" s="315">
        <f ca="1">SUM(Q166:Q168)</f>
        <v>46</v>
      </c>
      <c r="R169" s="447">
        <v>43</v>
      </c>
      <c r="S169" s="447">
        <v>56</v>
      </c>
      <c r="T169" s="447">
        <v>61</v>
      </c>
      <c r="U169" s="463"/>
      <c r="AF169" s="29"/>
      <c r="AG169" s="29"/>
      <c r="AH169" s="29"/>
      <c r="AI169" s="29"/>
      <c r="AJ169" s="29"/>
      <c r="AK169" s="29"/>
    </row>
    <row r="170" spans="1:37">
      <c r="A170" s="453"/>
      <c r="B170" s="453"/>
      <c r="C170" s="454"/>
      <c r="D170" s="455"/>
      <c r="E170" s="455"/>
      <c r="F170" s="456"/>
      <c r="G170" s="457"/>
      <c r="H170" s="456"/>
      <c r="I170" s="456"/>
      <c r="J170" s="314"/>
      <c r="K170" s="315"/>
      <c r="L170" s="313"/>
      <c r="M170" s="313"/>
      <c r="N170" s="313"/>
      <c r="O170" s="313"/>
      <c r="P170" s="313"/>
      <c r="Q170" s="315"/>
      <c r="R170" s="447"/>
      <c r="S170" s="447"/>
      <c r="T170" s="316"/>
      <c r="U170" s="463"/>
      <c r="AF170" s="29"/>
      <c r="AG170" s="29"/>
      <c r="AH170" s="29"/>
      <c r="AI170" s="29"/>
      <c r="AJ170" s="29"/>
      <c r="AK170" s="29"/>
    </row>
    <row r="171" spans="1:37">
      <c r="A171" s="453">
        <v>3</v>
      </c>
      <c r="B171" s="453">
        <f>B167+2</f>
        <v>84</v>
      </c>
      <c r="C171" s="453">
        <f>C167+2</f>
        <v>20</v>
      </c>
      <c r="D171" s="455">
        <f ca="1">INDIRECT(ADDRESS( C171, 2,1, TRUE,"KPI3"))</f>
        <v>40</v>
      </c>
      <c r="E171" s="455" t="str">
        <f ca="1">INDIRECT(ADDRESS( C171, 3,1, TRUE,"KPI3"))</f>
        <v>KPI 3.9</v>
      </c>
      <c r="F171" s="464">
        <f ca="1">'Quesiti x SI'!AF52</f>
        <v>8</v>
      </c>
      <c r="G171" s="713">
        <f>'Risultati 2009'!$AF$52</f>
        <v>7.2391304347826084</v>
      </c>
      <c r="H171" s="713">
        <f>'Risultati 2008'!$AF$62</f>
        <v>7.4285714285714288</v>
      </c>
      <c r="I171" s="713">
        <f>'Risultati 2007'!$AF$67</f>
        <v>8.0163934426229506</v>
      </c>
      <c r="J171" s="316" t="str">
        <f ca="1">INDIRECT(ADDRESS( A171, B171,1, TRUE,"Dati"))</f>
        <v>NO</v>
      </c>
      <c r="K171" s="319">
        <f ca="1">INDIRECT(ADDRESS( A171, B171+1,1, TRUE,"Dati"))</f>
        <v>10</v>
      </c>
      <c r="L171" s="313">
        <f ca="1">Q171/Q$174</f>
        <v>0.71739130434782605</v>
      </c>
      <c r="M171" s="313">
        <f ca="1">L171-N171</f>
        <v>4.2972699696663286E-2</v>
      </c>
      <c r="N171" s="313">
        <v>0.67441860465116277</v>
      </c>
      <c r="O171" s="313">
        <f>N171-P171</f>
        <v>4.9418604651162767E-2</v>
      </c>
      <c r="P171" s="313">
        <v>0.625</v>
      </c>
      <c r="Q171" s="316">
        <f ca="1">INDIRECT(ADDRESS( $C171+1, A171+8,1, TRUE,"KPI3"))</f>
        <v>33</v>
      </c>
      <c r="R171" s="316">
        <v>29</v>
      </c>
      <c r="S171" s="316">
        <v>35</v>
      </c>
      <c r="T171" s="316">
        <v>44</v>
      </c>
      <c r="U171" s="455" t="str">
        <f ca="1">INDIRECT(ADDRESS( C171, 4,1, TRUE,"KPI3"))</f>
        <v>Sono state rilevate intrusioni riuscite negli ultimi 24 mesi ?</v>
      </c>
      <c r="AF171" s="29"/>
      <c r="AG171" s="29"/>
      <c r="AH171" s="29"/>
      <c r="AI171" s="29"/>
      <c r="AJ171" s="29"/>
      <c r="AK171" s="29"/>
    </row>
    <row r="172" spans="1:37">
      <c r="A172" s="453">
        <v>2</v>
      </c>
      <c r="B172" s="453">
        <f>B171</f>
        <v>84</v>
      </c>
      <c r="C172" s="454">
        <f>C171</f>
        <v>20</v>
      </c>
      <c r="D172" s="455"/>
      <c r="E172" s="455"/>
      <c r="F172" s="714">
        <f ca="1">(F171-G171)/G171</f>
        <v>0.10510510510510515</v>
      </c>
      <c r="G172" s="714">
        <f>(G171-H171)/H171</f>
        <v>-2.5501672240802745E-2</v>
      </c>
      <c r="H172" s="714">
        <f>(H171-I171)/I171</f>
        <v>-7.3327490505404561E-2</v>
      </c>
      <c r="I172" s="456"/>
      <c r="J172" s="316" t="str">
        <f ca="1">INDIRECT(ADDRESS( A173, B172,1, TRUE,"Dati"))</f>
        <v>SI</v>
      </c>
      <c r="K172" s="319">
        <f ca="1">INDIRECT(ADDRESS( A173, B172+1,1, TRUE,"Dati"))</f>
        <v>0</v>
      </c>
      <c r="L172" s="313">
        <f ca="1">Q172/Q$174</f>
        <v>0.19565217391304349</v>
      </c>
      <c r="M172" s="313">
        <f ca="1">L172-N172</f>
        <v>-3.6905965621840231E-2</v>
      </c>
      <c r="N172" s="313">
        <v>0.23255813953488372</v>
      </c>
      <c r="O172" s="313">
        <f>N172-P172</f>
        <v>4.1528239202656692E-4</v>
      </c>
      <c r="P172" s="313">
        <v>0.23214285714285715</v>
      </c>
      <c r="Q172" s="316">
        <f ca="1">INDIRECT(ADDRESS( $C172+1, A172+8,1, TRUE,"KPI3"))</f>
        <v>9</v>
      </c>
      <c r="R172" s="316">
        <v>10</v>
      </c>
      <c r="S172" s="316">
        <v>13</v>
      </c>
      <c r="T172" s="316">
        <v>9</v>
      </c>
      <c r="U172" s="479"/>
      <c r="AF172" s="29"/>
      <c r="AG172" s="29"/>
      <c r="AH172" s="29"/>
      <c r="AI172" s="29"/>
      <c r="AJ172" s="29"/>
      <c r="AK172" s="29"/>
    </row>
    <row r="173" spans="1:37">
      <c r="A173" s="453">
        <v>4</v>
      </c>
      <c r="B173" s="453">
        <f>B171</f>
        <v>84</v>
      </c>
      <c r="C173" s="454">
        <f>C171</f>
        <v>20</v>
      </c>
      <c r="D173" s="455"/>
      <c r="E173" s="455"/>
      <c r="F173" s="456"/>
      <c r="G173" s="457"/>
      <c r="H173" s="456"/>
      <c r="I173" s="456"/>
      <c r="J173" s="316" t="str">
        <f ca="1">INDIRECT(ADDRESS( A174, B173,1, TRUE,"Dati"))</f>
        <v>--</v>
      </c>
      <c r="K173" s="319">
        <f ca="1">INDIRECT(ADDRESS( A174, B173+1,1, TRUE,"Dati"))</f>
        <v>0</v>
      </c>
      <c r="L173" s="313">
        <f ca="1">Q173/Q$174</f>
        <v>8.6956521739130432E-2</v>
      </c>
      <c r="M173" s="313">
        <f ca="1">L173-N173</f>
        <v>-6.0667340748230547E-3</v>
      </c>
      <c r="N173" s="313">
        <v>9.3023255813953487E-2</v>
      </c>
      <c r="O173" s="313">
        <f>N173-P173</f>
        <v>-4.9833887043189362E-2</v>
      </c>
      <c r="P173" s="313">
        <v>0.14285714285714285</v>
      </c>
      <c r="Q173" s="316">
        <f ca="1">INDIRECT(ADDRESS( $C173+1, A174+8,1, TRUE,"KPI3"))</f>
        <v>4</v>
      </c>
      <c r="R173" s="316">
        <v>4</v>
      </c>
      <c r="S173" s="316">
        <v>8</v>
      </c>
      <c r="T173" s="316">
        <v>8</v>
      </c>
      <c r="U173" s="463"/>
      <c r="AF173" s="29"/>
      <c r="AG173" s="29"/>
      <c r="AH173" s="29"/>
      <c r="AI173" s="29"/>
      <c r="AJ173" s="29"/>
      <c r="AK173" s="29"/>
    </row>
    <row r="174" spans="1:37">
      <c r="A174" s="453">
        <v>1</v>
      </c>
      <c r="B174" s="453"/>
      <c r="C174" s="454"/>
      <c r="D174" s="455"/>
      <c r="E174" s="455"/>
      <c r="F174" s="456"/>
      <c r="G174" s="457"/>
      <c r="H174" s="456"/>
      <c r="I174" s="456"/>
      <c r="J174" s="314" t="s">
        <v>391</v>
      </c>
      <c r="K174" s="315"/>
      <c r="L174" s="313">
        <f ca="1">SUM(L171:L173)</f>
        <v>1</v>
      </c>
      <c r="M174" s="313"/>
      <c r="N174" s="313">
        <v>1</v>
      </c>
      <c r="O174" s="313"/>
      <c r="P174" s="313">
        <v>1</v>
      </c>
      <c r="Q174" s="315">
        <f ca="1">SUM(Q171:Q173)</f>
        <v>46</v>
      </c>
      <c r="R174" s="447">
        <v>43</v>
      </c>
      <c r="S174" s="447">
        <v>56</v>
      </c>
      <c r="T174" s="447">
        <v>61</v>
      </c>
      <c r="U174" s="463"/>
      <c r="AF174" s="29"/>
      <c r="AG174" s="29"/>
      <c r="AH174" s="29"/>
      <c r="AI174" s="29"/>
      <c r="AJ174" s="29"/>
      <c r="AK174" s="29"/>
    </row>
    <row r="175" spans="1:37">
      <c r="A175" s="453"/>
      <c r="B175" s="453">
        <f>B173+2</f>
        <v>86</v>
      </c>
      <c r="C175" s="454">
        <f>C173+2</f>
        <v>22</v>
      </c>
      <c r="D175" s="455">
        <f ca="1">INDIRECT(ADDRESS( C175, 2,1, TRUE,"KPI3"))</f>
        <v>41</v>
      </c>
      <c r="E175" s="455" t="str">
        <f ca="1">INDIRECT(ADDRESS( C175, 3,1, TRUE,"KPI3"))</f>
        <v>KPI 3.9a</v>
      </c>
      <c r="F175" s="464"/>
      <c r="G175" s="466"/>
      <c r="H175" s="464"/>
      <c r="I175" s="464"/>
      <c r="J175" s="316" t="str">
        <f ca="1">INDIRECT(ADDRESS( A176, B175,1, TRUE,"Dati"))</f>
        <v>Rilevate &lt; 10</v>
      </c>
      <c r="K175" s="319">
        <f t="shared" ref="K175:K180" ca="1" si="8">INDIRECT(ADDRESS( A176, B175+1,1, TRUE,"Dati"))</f>
        <v>2</v>
      </c>
      <c r="L175" s="313">
        <f ca="1">Q175/Q$172</f>
        <v>1</v>
      </c>
      <c r="M175" s="313">
        <f t="shared" ref="M175:O180" ca="1" si="9">L175-N175</f>
        <v>0</v>
      </c>
      <c r="N175" s="313">
        <v>1</v>
      </c>
      <c r="O175" s="313">
        <f t="shared" si="9"/>
        <v>0</v>
      </c>
      <c r="P175" s="313">
        <v>1</v>
      </c>
      <c r="Q175" s="316">
        <f ca="1">Q172-Q176</f>
        <v>9</v>
      </c>
      <c r="R175" s="316">
        <v>10</v>
      </c>
      <c r="S175" s="316">
        <v>13</v>
      </c>
      <c r="T175" s="316">
        <v>9</v>
      </c>
      <c r="U175" s="455" t="str">
        <f ca="1">INDIRECT(ADDRESS( C175, 4,1, TRUE,"KPI3"))</f>
        <v>Se sono state rilevate intrusioni riuscite, quante ?</v>
      </c>
      <c r="AF175" s="29"/>
      <c r="AG175" s="29"/>
      <c r="AH175" s="29"/>
      <c r="AI175" s="29"/>
      <c r="AJ175" s="29"/>
      <c r="AK175" s="29"/>
    </row>
    <row r="176" spans="1:37">
      <c r="A176" s="453">
        <v>2</v>
      </c>
      <c r="B176" s="453">
        <f>B175</f>
        <v>86</v>
      </c>
      <c r="C176" s="454">
        <f>C175</f>
        <v>22</v>
      </c>
      <c r="D176" s="455"/>
      <c r="E176" s="455"/>
      <c r="F176" s="456"/>
      <c r="G176" s="457"/>
      <c r="H176" s="456"/>
      <c r="I176" s="456"/>
      <c r="J176" s="316" t="str">
        <f ca="1">INDIRECT(ADDRESS( A177, B176,1, TRUE,"Dati"))</f>
        <v>Rilevate &gt; 10</v>
      </c>
      <c r="K176" s="319">
        <f t="shared" ca="1" si="8"/>
        <v>0</v>
      </c>
      <c r="L176" s="313">
        <f ca="1">Q176/Q$144</f>
        <v>0</v>
      </c>
      <c r="M176" s="313">
        <f t="shared" ca="1" si="9"/>
        <v>0</v>
      </c>
      <c r="N176" s="313">
        <v>0</v>
      </c>
      <c r="O176" s="313">
        <f t="shared" si="9"/>
        <v>0</v>
      </c>
      <c r="P176" s="313">
        <v>0</v>
      </c>
      <c r="Q176" s="316">
        <f ca="1">INDIRECT(ADDRESS( $C176+1, A177+8,1, TRUE,"KPI3"))</f>
        <v>0</v>
      </c>
      <c r="R176" s="316">
        <v>0</v>
      </c>
      <c r="S176" s="316">
        <v>0</v>
      </c>
      <c r="T176" s="316">
        <v>0</v>
      </c>
      <c r="U176" s="463"/>
      <c r="AF176" s="29"/>
      <c r="AG176" s="29"/>
      <c r="AH176" s="29"/>
      <c r="AI176" s="29"/>
      <c r="AJ176" s="29"/>
      <c r="AK176" s="29"/>
    </row>
    <row r="177" spans="1:37">
      <c r="A177" s="453">
        <v>3</v>
      </c>
      <c r="B177" s="453">
        <f>B176+2</f>
        <v>88</v>
      </c>
      <c r="C177" s="454">
        <f>C176+3</f>
        <v>25</v>
      </c>
      <c r="D177" s="455">
        <f ca="1">INDIRECT(ADDRESS( C177, 2,1, TRUE,"KPI3"))</f>
        <v>42</v>
      </c>
      <c r="E177" s="455" t="str">
        <f ca="1">INDIRECT(ADDRESS( C177, 3,1, TRUE,"KPI3"))</f>
        <v>KPI 3.9b</v>
      </c>
      <c r="F177" s="464"/>
      <c r="G177" s="466"/>
      <c r="H177" s="464"/>
      <c r="I177" s="464"/>
      <c r="J177" s="316" t="str">
        <f ca="1">INDIRECT(ADDRESS( 11, B177,1, TRUE,"Dati"))</f>
        <v>Denial Of Service</v>
      </c>
      <c r="K177" s="319">
        <f t="shared" ca="1" si="8"/>
        <v>4</v>
      </c>
      <c r="L177" s="313">
        <f ca="1">Q177/Q$172</f>
        <v>0.1111111111111111</v>
      </c>
      <c r="M177" s="313">
        <f t="shared" ca="1" si="9"/>
        <v>-8.8888888888888906E-2</v>
      </c>
      <c r="N177" s="313">
        <v>0.2</v>
      </c>
      <c r="O177" s="313">
        <f t="shared" si="9"/>
        <v>-0.18461538461538463</v>
      </c>
      <c r="P177" s="313">
        <v>0.38461538461538464</v>
      </c>
      <c r="Q177" s="316">
        <f ca="1">INDIRECT(ADDRESS( $C177+1, A178+8,1, TRUE,"KPI3"))</f>
        <v>1</v>
      </c>
      <c r="R177" s="316">
        <v>2</v>
      </c>
      <c r="S177" s="316">
        <v>5</v>
      </c>
      <c r="T177" s="316">
        <v>2</v>
      </c>
      <c r="U177" s="631" t="str">
        <f ca="1">INDIRECT(ADDRESS( C177, 4,1, TRUE,"KPI3"))</f>
        <v>Se sono state rilevate intrusioni riuscite di che tipo sono state ?</v>
      </c>
      <c r="AF177" s="29"/>
      <c r="AG177" s="29"/>
      <c r="AH177" s="29"/>
      <c r="AI177" s="29"/>
      <c r="AJ177" s="29"/>
      <c r="AK177" s="29"/>
    </row>
    <row r="178" spans="1:37">
      <c r="A178" s="453">
        <v>3</v>
      </c>
      <c r="B178" s="453">
        <f>B177+2</f>
        <v>90</v>
      </c>
      <c r="C178" s="454">
        <f>C177</f>
        <v>25</v>
      </c>
      <c r="D178" s="455"/>
      <c r="E178" s="455"/>
      <c r="F178" s="456"/>
      <c r="G178" s="457"/>
      <c r="H178" s="456"/>
      <c r="I178" s="456"/>
      <c r="J178" s="316" t="str">
        <f ca="1">INDIRECT(ADDRESS( 11, B178,1, TRUE,"Dati"))</f>
        <v>Utilizzo di risorse protette</v>
      </c>
      <c r="K178" s="319">
        <f t="shared" ca="1" si="8"/>
        <v>2</v>
      </c>
      <c r="L178" s="313">
        <f ca="1">Q178/Q$172</f>
        <v>0</v>
      </c>
      <c r="M178" s="313">
        <f t="shared" ca="1" si="9"/>
        <v>0</v>
      </c>
      <c r="N178" s="313">
        <v>0</v>
      </c>
      <c r="O178" s="313">
        <f t="shared" si="9"/>
        <v>0</v>
      </c>
      <c r="P178" s="313">
        <v>0</v>
      </c>
      <c r="Q178" s="316">
        <f ca="1">INDIRECT(ADDRESS( $C178+1, A179+12,1, TRUE,"KPI3"))</f>
        <v>0</v>
      </c>
      <c r="R178" s="316">
        <v>0</v>
      </c>
      <c r="S178" s="316">
        <v>0</v>
      </c>
      <c r="T178" s="316">
        <v>0</v>
      </c>
      <c r="U178" s="632"/>
      <c r="AF178" s="29"/>
      <c r="AG178" s="29"/>
      <c r="AH178" s="29"/>
      <c r="AI178" s="29"/>
      <c r="AJ178" s="29"/>
      <c r="AK178" s="29"/>
    </row>
    <row r="179" spans="1:37">
      <c r="A179" s="453">
        <v>3</v>
      </c>
      <c r="B179" s="453">
        <f>B178+2</f>
        <v>92</v>
      </c>
      <c r="C179" s="454">
        <f>C178</f>
        <v>25</v>
      </c>
      <c r="D179" s="455"/>
      <c r="E179" s="455"/>
      <c r="F179" s="456"/>
      <c r="G179" s="457"/>
      <c r="H179" s="456"/>
      <c r="I179" s="456"/>
      <c r="J179" s="316" t="str">
        <f ca="1">INDIRECT(ADDRESS( 11, B179,1, TRUE,"Dati"))</f>
        <v>Accesso a dati riservati</v>
      </c>
      <c r="K179" s="319">
        <f t="shared" ca="1" si="8"/>
        <v>0</v>
      </c>
      <c r="L179" s="313">
        <f ca="1">Q179/Q$172</f>
        <v>0</v>
      </c>
      <c r="M179" s="313">
        <f t="shared" ca="1" si="9"/>
        <v>0</v>
      </c>
      <c r="N179" s="313">
        <v>0</v>
      </c>
      <c r="O179" s="313">
        <f t="shared" si="9"/>
        <v>0</v>
      </c>
      <c r="P179" s="313">
        <v>0</v>
      </c>
      <c r="Q179" s="316">
        <f ca="1">INDIRECT(ADDRESS( $C179+1, A180+16,1, TRUE,"KPI3"))</f>
        <v>0</v>
      </c>
      <c r="R179" s="316">
        <v>0</v>
      </c>
      <c r="S179" s="316">
        <v>0</v>
      </c>
      <c r="T179" s="316">
        <v>0</v>
      </c>
      <c r="U179" s="632"/>
      <c r="AF179" s="29"/>
      <c r="AG179" s="29"/>
      <c r="AH179" s="29"/>
      <c r="AI179" s="29"/>
      <c r="AJ179" s="29"/>
      <c r="AK179" s="29"/>
    </row>
    <row r="180" spans="1:37">
      <c r="A180" s="453">
        <v>3</v>
      </c>
      <c r="B180" s="453">
        <f>B179+2</f>
        <v>94</v>
      </c>
      <c r="C180" s="454">
        <f>C179</f>
        <v>25</v>
      </c>
      <c r="D180" s="455"/>
      <c r="E180" s="455"/>
      <c r="F180" s="456"/>
      <c r="G180" s="457"/>
      <c r="H180" s="456"/>
      <c r="I180" s="456"/>
      <c r="J180" s="316" t="str">
        <f ca="1">INDIRECT(ADDRESS( 11, B180,1, TRUE,"Dati"))</f>
        <v>Altro tipo</v>
      </c>
      <c r="K180" s="319">
        <f t="shared" ca="1" si="8"/>
        <v>1</v>
      </c>
      <c r="L180" s="313">
        <f ca="1">Q180/Q$172</f>
        <v>0.88888888888888884</v>
      </c>
      <c r="M180" s="313">
        <f t="shared" ca="1" si="9"/>
        <v>0.18888888888888888</v>
      </c>
      <c r="N180" s="313">
        <v>0.7</v>
      </c>
      <c r="O180" s="313">
        <f t="shared" si="9"/>
        <v>8.4615384615384537E-2</v>
      </c>
      <c r="P180" s="313">
        <v>0.61538461538461542</v>
      </c>
      <c r="Q180" s="316">
        <f ca="1">INDIRECT(ADDRESS( $C180+1, A181+20,1, TRUE,"KPI3"))</f>
        <v>8</v>
      </c>
      <c r="R180" s="316">
        <v>7</v>
      </c>
      <c r="S180" s="316">
        <v>8</v>
      </c>
      <c r="T180" s="316">
        <v>7</v>
      </c>
      <c r="U180" s="632"/>
      <c r="AF180" s="29"/>
      <c r="AG180" s="29"/>
      <c r="AH180" s="29"/>
      <c r="AI180" s="29"/>
      <c r="AJ180" s="29"/>
      <c r="AK180" s="29"/>
    </row>
    <row r="181" spans="1:37">
      <c r="A181" s="453">
        <v>3</v>
      </c>
      <c r="B181" s="453"/>
      <c r="C181" s="454"/>
      <c r="D181" s="455"/>
      <c r="E181" s="455"/>
      <c r="F181" s="456"/>
      <c r="G181" s="457"/>
      <c r="H181" s="456"/>
      <c r="I181" s="456"/>
      <c r="J181" s="316"/>
      <c r="K181" s="319"/>
      <c r="L181" s="313"/>
      <c r="M181" s="313"/>
      <c r="N181" s="313"/>
      <c r="O181" s="313"/>
      <c r="P181" s="313"/>
      <c r="Q181" s="316"/>
      <c r="R181" s="316"/>
      <c r="S181" s="316"/>
      <c r="T181" s="316"/>
      <c r="U181" s="463"/>
      <c r="AF181" s="29"/>
      <c r="AG181" s="29"/>
      <c r="AH181" s="29"/>
      <c r="AI181" s="29"/>
      <c r="AJ181" s="29"/>
      <c r="AK181" s="29"/>
    </row>
    <row r="182" spans="1:37">
      <c r="A182" s="453"/>
      <c r="B182" s="453"/>
      <c r="C182" s="454"/>
      <c r="D182" s="455"/>
      <c r="E182" s="455"/>
      <c r="F182" s="456"/>
      <c r="G182" s="457"/>
      <c r="H182" s="456"/>
      <c r="I182" s="456"/>
      <c r="J182" s="472"/>
      <c r="K182" s="459"/>
      <c r="L182" s="460"/>
      <c r="M182" s="313"/>
      <c r="N182" s="460"/>
      <c r="O182" s="313"/>
      <c r="P182" s="460"/>
      <c r="Q182" s="459"/>
      <c r="R182" s="461"/>
      <c r="S182" s="461"/>
      <c r="T182" s="316"/>
      <c r="U182" s="463"/>
      <c r="AF182" s="29"/>
      <c r="AG182" s="29"/>
      <c r="AH182" s="29"/>
      <c r="AI182" s="29"/>
      <c r="AJ182" s="29"/>
      <c r="AK182" s="29"/>
    </row>
    <row r="183" spans="1:37" ht="37" customHeight="1">
      <c r="A183" s="453"/>
      <c r="B183" s="453"/>
      <c r="C183" s="454"/>
      <c r="D183" s="455"/>
      <c r="E183" s="455"/>
      <c r="F183" s="456"/>
      <c r="G183" s="457"/>
      <c r="H183" s="456"/>
      <c r="I183" s="456"/>
      <c r="J183" s="474" t="str">
        <f>Dati!$CU$14</f>
        <v>KPI 4  -  Sicurezza Organizzazione</v>
      </c>
      <c r="K183" s="447"/>
      <c r="L183" s="470"/>
      <c r="M183" s="313"/>
      <c r="N183" s="313"/>
      <c r="O183" s="313"/>
      <c r="P183" s="313"/>
      <c r="Q183" s="471"/>
      <c r="R183" s="316"/>
      <c r="S183" s="316"/>
      <c r="T183" s="316"/>
      <c r="U183" s="463"/>
      <c r="AF183" s="29"/>
      <c r="AG183" s="29"/>
      <c r="AH183" s="29"/>
      <c r="AI183" s="29"/>
      <c r="AJ183" s="29"/>
      <c r="AK183" s="29"/>
    </row>
    <row r="184" spans="1:37">
      <c r="A184" s="453"/>
      <c r="B184" s="453">
        <f>B180+3</f>
        <v>97</v>
      </c>
      <c r="C184" s="453">
        <v>4</v>
      </c>
      <c r="D184" s="455">
        <f ca="1">INDIRECT(ADDRESS( C184, 2,1, TRUE,"KPI4"))</f>
        <v>46</v>
      </c>
      <c r="E184" s="455" t="str">
        <f ca="1">INDIRECT(ADDRESS( C184, 3,1, TRUE,"KPI4"))</f>
        <v>KPI 4.1</v>
      </c>
      <c r="F184" s="464">
        <f ca="1">'Quesiti x SI'!AH52</f>
        <v>5.4347826086956523</v>
      </c>
      <c r="G184" s="713">
        <f>'Risultati 2009'!$AH$52</f>
        <v>4.4186046511627906</v>
      </c>
      <c r="H184" s="713">
        <f>'Risultati 2008'!$AH$62</f>
        <v>4.6428571428571432</v>
      </c>
      <c r="I184" s="713">
        <f>'Risultati 2007'!$AH$67</f>
        <v>5.2459016393442619</v>
      </c>
      <c r="J184" s="316" t="str">
        <f ca="1">INDIRECT(ADDRESS( A185, B184,1, TRUE,"Dati"))</f>
        <v>SI</v>
      </c>
      <c r="K184" s="319">
        <f ca="1">INDIRECT(ADDRESS( A185, B184+1,1, TRUE,"Dati"))</f>
        <v>10</v>
      </c>
      <c r="L184" s="313">
        <f ca="1">Q184/Q$187</f>
        <v>0.54347826086956519</v>
      </c>
      <c r="M184" s="313">
        <f ca="1">L184-N184</f>
        <v>0.10161779575328611</v>
      </c>
      <c r="N184" s="313">
        <v>0.44186046511627908</v>
      </c>
      <c r="O184" s="313">
        <f>N184-P184</f>
        <v>-2.2425249169435224E-2</v>
      </c>
      <c r="P184" s="313">
        <v>0.4642857142857143</v>
      </c>
      <c r="Q184" s="316">
        <f ca="1">INDIRECT(ADDRESS( $C184+1, A185+8,1, TRUE,"KPI4"))</f>
        <v>25</v>
      </c>
      <c r="R184" s="316">
        <v>19</v>
      </c>
      <c r="S184" s="316">
        <v>26</v>
      </c>
      <c r="T184" s="316">
        <v>32</v>
      </c>
      <c r="U184" s="631" t="str">
        <f ca="1">INDIRECT(ADDRESS( C184, 4,1, TRUE,"KPI4"))</f>
        <v>E' stato formalmente definito ed approvato il piano della sicurezza ICT ?</v>
      </c>
      <c r="W184" s="427">
        <v>4.6428571428571432</v>
      </c>
      <c r="AF184" s="29"/>
      <c r="AG184" s="29"/>
      <c r="AH184" s="29"/>
      <c r="AI184" s="29"/>
      <c r="AJ184" s="29"/>
      <c r="AK184" s="29"/>
    </row>
    <row r="185" spans="1:37">
      <c r="A185" s="453">
        <v>3</v>
      </c>
      <c r="B185" s="453">
        <f>B184</f>
        <v>97</v>
      </c>
      <c r="C185" s="454">
        <f>C184</f>
        <v>4</v>
      </c>
      <c r="D185" s="455"/>
      <c r="E185" s="455"/>
      <c r="F185" s="714">
        <f ca="1">(F184-G184)/G184</f>
        <v>0.22997711670480556</v>
      </c>
      <c r="G185" s="714">
        <f>(G184-H184)/H184</f>
        <v>-4.8300536672629804E-2</v>
      </c>
      <c r="H185" s="714">
        <f>(H184-I184)/I184</f>
        <v>-0.114955357142857</v>
      </c>
      <c r="I185" s="456"/>
      <c r="J185" s="316" t="str">
        <f ca="1">INDIRECT(ADDRESS( A186, B185,1, TRUE,"Dati"))</f>
        <v>NO</v>
      </c>
      <c r="K185" s="319">
        <f ca="1">INDIRECT(ADDRESS( A186, B185+1,1, TRUE,"Dati"))</f>
        <v>0</v>
      </c>
      <c r="L185" s="313">
        <f ca="1">Q185/Q$187</f>
        <v>0.30434782608695654</v>
      </c>
      <c r="M185" s="313">
        <f ca="1">L185-N185</f>
        <v>-6.7745197168857407E-2</v>
      </c>
      <c r="N185" s="313">
        <v>0.37209302325581395</v>
      </c>
      <c r="O185" s="313">
        <f>N185-P185</f>
        <v>3.2807308970099647E-2</v>
      </c>
      <c r="P185" s="313">
        <v>0.3392857142857143</v>
      </c>
      <c r="Q185" s="316">
        <f ca="1">INDIRECT(ADDRESS( $C185+1, A186+8,1, TRUE,"KPI4"))</f>
        <v>14</v>
      </c>
      <c r="R185" s="316">
        <v>16</v>
      </c>
      <c r="S185" s="316">
        <v>19</v>
      </c>
      <c r="T185" s="316">
        <v>20</v>
      </c>
      <c r="U185" s="632"/>
      <c r="W185" s="427">
        <v>4.8214285714285712</v>
      </c>
      <c r="AF185" s="29"/>
      <c r="AG185" s="29"/>
      <c r="AH185" s="29"/>
      <c r="AI185" s="29"/>
      <c r="AJ185" s="29"/>
      <c r="AK185" s="29"/>
    </row>
    <row r="186" spans="1:37">
      <c r="A186" s="453">
        <v>2</v>
      </c>
      <c r="B186" s="453">
        <f>B184</f>
        <v>97</v>
      </c>
      <c r="C186" s="454">
        <f>C184</f>
        <v>4</v>
      </c>
      <c r="D186" s="455"/>
      <c r="E186" s="455"/>
      <c r="F186" s="456"/>
      <c r="G186" s="457"/>
      <c r="H186" s="456"/>
      <c r="I186" s="456"/>
      <c r="J186" s="316" t="str">
        <f ca="1">INDIRECT(ADDRESS( A187, B186,1, TRUE,"Dati"))</f>
        <v>--</v>
      </c>
      <c r="K186" s="319">
        <f ca="1">INDIRECT(ADDRESS( A187, B186+1,1, TRUE,"Dati"))</f>
        <v>0</v>
      </c>
      <c r="L186" s="313">
        <f ca="1">Q186/Q$187</f>
        <v>0.15217391304347827</v>
      </c>
      <c r="M186" s="313">
        <f ca="1">L186-N186</f>
        <v>-3.3872598584428704E-2</v>
      </c>
      <c r="N186" s="313">
        <v>0.18604651162790697</v>
      </c>
      <c r="O186" s="313">
        <f>N186-P186</f>
        <v>-1.038205980066445E-2</v>
      </c>
      <c r="P186" s="313">
        <v>0.19642857142857142</v>
      </c>
      <c r="Q186" s="316">
        <f ca="1">INDIRECT(ADDRESS( $C186+1, A187+8,1, TRUE,"KPI4"))</f>
        <v>7</v>
      </c>
      <c r="R186" s="316">
        <v>8</v>
      </c>
      <c r="S186" s="316">
        <v>11</v>
      </c>
      <c r="T186" s="316">
        <v>7</v>
      </c>
      <c r="U186" s="632"/>
      <c r="W186" s="427">
        <v>4.2142857142857144</v>
      </c>
      <c r="AF186" s="29"/>
      <c r="AG186" s="29"/>
      <c r="AH186" s="29"/>
      <c r="AI186" s="29"/>
      <c r="AJ186" s="29"/>
      <c r="AK186" s="29"/>
    </row>
    <row r="187" spans="1:37">
      <c r="A187" s="453">
        <v>1</v>
      </c>
      <c r="B187" s="453"/>
      <c r="C187" s="454"/>
      <c r="D187" s="455"/>
      <c r="E187" s="455"/>
      <c r="F187" s="456"/>
      <c r="G187" s="457"/>
      <c r="H187" s="456"/>
      <c r="I187" s="456"/>
      <c r="J187" s="314" t="s">
        <v>391</v>
      </c>
      <c r="K187" s="315"/>
      <c r="L187" s="313">
        <f ca="1">SUM(L184:L186)</f>
        <v>1</v>
      </c>
      <c r="M187" s="313"/>
      <c r="N187" s="313">
        <v>1</v>
      </c>
      <c r="O187" s="313"/>
      <c r="P187" s="313">
        <v>1</v>
      </c>
      <c r="Q187" s="315">
        <f ca="1">SUM(Q184:Q186)</f>
        <v>46</v>
      </c>
      <c r="R187" s="447">
        <v>43</v>
      </c>
      <c r="S187" s="447">
        <v>56</v>
      </c>
      <c r="T187" s="447">
        <v>59</v>
      </c>
      <c r="U187" s="463"/>
      <c r="W187" s="427">
        <v>5.3571428571428568</v>
      </c>
      <c r="AF187" s="29"/>
      <c r="AG187" s="29"/>
      <c r="AH187" s="29"/>
      <c r="AI187" s="29"/>
      <c r="AJ187" s="29"/>
      <c r="AK187" s="29"/>
    </row>
    <row r="188" spans="1:37">
      <c r="A188" s="453"/>
      <c r="B188" s="453"/>
      <c r="C188" s="454"/>
      <c r="D188" s="455"/>
      <c r="E188" s="455"/>
      <c r="F188" s="456"/>
      <c r="G188" s="457"/>
      <c r="H188" s="456"/>
      <c r="I188" s="456"/>
      <c r="J188" s="318"/>
      <c r="K188" s="319"/>
      <c r="L188" s="313"/>
      <c r="M188" s="313"/>
      <c r="N188" s="313"/>
      <c r="O188" s="313"/>
      <c r="P188" s="313"/>
      <c r="Q188" s="316"/>
      <c r="R188" s="316"/>
      <c r="S188" s="316"/>
      <c r="T188" s="316"/>
      <c r="U188" s="463"/>
      <c r="W188" s="427">
        <v>6.0714285714285712</v>
      </c>
      <c r="AF188" s="29"/>
      <c r="AG188" s="29"/>
      <c r="AH188" s="29"/>
      <c r="AI188" s="29"/>
      <c r="AJ188" s="29"/>
      <c r="AK188" s="29"/>
    </row>
    <row r="189" spans="1:37">
      <c r="A189" s="453"/>
      <c r="B189" s="453">
        <f>B186+2</f>
        <v>99</v>
      </c>
      <c r="C189" s="453">
        <f>C186+2</f>
        <v>6</v>
      </c>
      <c r="D189" s="455">
        <f ca="1">INDIRECT(ADDRESS( C189, 2,1, TRUE,"KPI4"))</f>
        <v>47</v>
      </c>
      <c r="E189" s="455" t="str">
        <f ca="1">INDIRECT(ADDRESS( C189, 3,1, TRUE,"KPI4"))</f>
        <v>KPI 4.2</v>
      </c>
      <c r="F189" s="464">
        <f ca="1">'Quesiti x SI'!AI52</f>
        <v>6.3043478260869561</v>
      </c>
      <c r="G189" s="713">
        <f>'Risultati 2009'!$AI$52</f>
        <v>5.3488372093023253</v>
      </c>
      <c r="H189" s="713">
        <f>'Risultati 2008'!$AI$62</f>
        <v>4.8214285714285712</v>
      </c>
      <c r="I189" s="713">
        <f>'Risultati 2007'!$AI$67</f>
        <v>6.0655737704918034</v>
      </c>
      <c r="J189" s="316" t="str">
        <f ca="1">INDIRECT(ADDRESS( A190, B189,1, TRUE,"Dati"))</f>
        <v>SI</v>
      </c>
      <c r="K189" s="319">
        <f ca="1">INDIRECT(ADDRESS( A190, B189+1,1, TRUE,"Dati"))</f>
        <v>10</v>
      </c>
      <c r="L189" s="313">
        <f ca="1">Q189/Q$192</f>
        <v>0.63043478260869568</v>
      </c>
      <c r="M189" s="313">
        <f ca="1">L189-N189</f>
        <v>9.5551061678463167E-2</v>
      </c>
      <c r="N189" s="313">
        <v>0.53488372093023251</v>
      </c>
      <c r="O189" s="313">
        <f>N189-P189</f>
        <v>5.2740863787375358E-2</v>
      </c>
      <c r="P189" s="313">
        <v>0.48214285714285715</v>
      </c>
      <c r="Q189" s="316">
        <f ca="1">INDIRECT(ADDRESS( $C189+1, A190+8,1, TRUE,"KPI4"))</f>
        <v>29</v>
      </c>
      <c r="R189" s="316">
        <v>23</v>
      </c>
      <c r="S189" s="316">
        <v>27</v>
      </c>
      <c r="T189" s="316">
        <v>37</v>
      </c>
      <c r="U189" s="631" t="str">
        <f ca="1">INDIRECT(ADDRESS( C189, 4,1, TRUE,"KPI4"))</f>
        <v>Esiste la definizione formale di una policy di sicurezza ITC ?</v>
      </c>
      <c r="W189" s="427">
        <v>5.8928571428571432</v>
      </c>
      <c r="AF189" s="29"/>
      <c r="AG189" s="29"/>
      <c r="AH189" s="29"/>
      <c r="AI189" s="29"/>
      <c r="AJ189" s="29"/>
      <c r="AK189" s="29"/>
    </row>
    <row r="190" spans="1:37">
      <c r="A190" s="453">
        <v>3</v>
      </c>
      <c r="B190" s="453">
        <f>B189</f>
        <v>99</v>
      </c>
      <c r="C190" s="454">
        <f>C189</f>
        <v>6</v>
      </c>
      <c r="D190" s="455"/>
      <c r="E190" s="455"/>
      <c r="F190" s="714">
        <f ca="1">(F189-G189)/G189</f>
        <v>0.17863894139886577</v>
      </c>
      <c r="G190" s="714">
        <f>(G189-H189)/H189</f>
        <v>0.10938845822566753</v>
      </c>
      <c r="H190" s="714">
        <f>(H189-I189)/I189</f>
        <v>-0.20511583011583018</v>
      </c>
      <c r="I190" s="456"/>
      <c r="J190" s="316" t="str">
        <f ca="1">INDIRECT(ADDRESS( A191, B190,1, TRUE,"Dati"))</f>
        <v>NO</v>
      </c>
      <c r="K190" s="319">
        <f ca="1">INDIRECT(ADDRESS( A191, B190+1,1, TRUE,"Dati"))</f>
        <v>0</v>
      </c>
      <c r="L190" s="313">
        <f ca="1">Q190/Q$192</f>
        <v>0.21739130434782608</v>
      </c>
      <c r="M190" s="313">
        <f ca="1">L190-N190</f>
        <v>-6.167846309403438E-2</v>
      </c>
      <c r="N190" s="313">
        <v>0.27906976744186046</v>
      </c>
      <c r="O190" s="313">
        <f>N190-P190</f>
        <v>-6.6445182724252372E-3</v>
      </c>
      <c r="P190" s="313">
        <v>0.2857142857142857</v>
      </c>
      <c r="Q190" s="316">
        <f ca="1">INDIRECT(ADDRESS( $C190+1, A191+8,1, TRUE,"KPI4"))</f>
        <v>10</v>
      </c>
      <c r="R190" s="316">
        <v>12</v>
      </c>
      <c r="S190" s="316">
        <v>16</v>
      </c>
      <c r="T190" s="316">
        <v>15</v>
      </c>
      <c r="U190" s="632"/>
      <c r="W190" s="427">
        <v>5.8928571428571432</v>
      </c>
      <c r="AF190" s="29"/>
      <c r="AG190" s="29"/>
      <c r="AH190" s="29"/>
      <c r="AI190" s="29"/>
      <c r="AJ190" s="29"/>
      <c r="AK190" s="29"/>
    </row>
    <row r="191" spans="1:37">
      <c r="A191" s="453">
        <v>2</v>
      </c>
      <c r="B191" s="453">
        <f>B189</f>
        <v>99</v>
      </c>
      <c r="C191" s="454">
        <f>C189</f>
        <v>6</v>
      </c>
      <c r="D191" s="455"/>
      <c r="E191" s="455"/>
      <c r="F191" s="456"/>
      <c r="G191" s="457"/>
      <c r="H191" s="456"/>
      <c r="I191" s="456"/>
      <c r="J191" s="316" t="str">
        <f ca="1">INDIRECT(ADDRESS( A192, B191,1, TRUE,"Dati"))</f>
        <v>--</v>
      </c>
      <c r="K191" s="319">
        <f ca="1">INDIRECT(ADDRESS( A192, B191+1,1, TRUE,"Dati"))</f>
        <v>0</v>
      </c>
      <c r="L191" s="313">
        <f ca="1">Q191/Q$192</f>
        <v>0.15217391304347827</v>
      </c>
      <c r="M191" s="313">
        <f ca="1">L191-N191</f>
        <v>-3.3872598584428704E-2</v>
      </c>
      <c r="N191" s="313">
        <v>0.18604651162790697</v>
      </c>
      <c r="O191" s="313">
        <f>N191-P191</f>
        <v>-4.6096345514950177E-2</v>
      </c>
      <c r="P191" s="313">
        <v>0.23214285714285715</v>
      </c>
      <c r="Q191" s="316">
        <f ca="1">INDIRECT(ADDRESS( $C191+1, A192+8,1, TRUE,"KPI4"))</f>
        <v>7</v>
      </c>
      <c r="R191" s="316">
        <v>8</v>
      </c>
      <c r="S191" s="316">
        <v>13</v>
      </c>
      <c r="T191" s="316">
        <v>7</v>
      </c>
      <c r="U191" s="632"/>
      <c r="W191" s="427">
        <v>6.1428571428571432</v>
      </c>
      <c r="AF191" s="29"/>
      <c r="AG191" s="29"/>
      <c r="AH191" s="29"/>
      <c r="AI191" s="29"/>
      <c r="AJ191" s="29"/>
      <c r="AK191" s="29"/>
    </row>
    <row r="192" spans="1:37">
      <c r="A192" s="453">
        <v>1</v>
      </c>
      <c r="B192" s="453"/>
      <c r="C192" s="454"/>
      <c r="D192" s="455"/>
      <c r="E192" s="455"/>
      <c r="F192" s="456"/>
      <c r="G192" s="457"/>
      <c r="H192" s="456"/>
      <c r="I192" s="456"/>
      <c r="J192" s="314" t="s">
        <v>391</v>
      </c>
      <c r="K192" s="315"/>
      <c r="L192" s="313">
        <f ca="1">SUM(L189:L191)</f>
        <v>1</v>
      </c>
      <c r="M192" s="313"/>
      <c r="N192" s="313">
        <v>0.99999999999999989</v>
      </c>
      <c r="O192" s="313"/>
      <c r="P192" s="313">
        <v>1</v>
      </c>
      <c r="Q192" s="315">
        <f ca="1">SUM(Q189:Q191)</f>
        <v>46</v>
      </c>
      <c r="R192" s="447">
        <v>43</v>
      </c>
      <c r="S192" s="447">
        <v>56</v>
      </c>
      <c r="T192" s="447">
        <v>59</v>
      </c>
      <c r="U192" s="463"/>
      <c r="W192" s="427">
        <v>7.3214285714285712</v>
      </c>
      <c r="AF192" s="29"/>
      <c r="AG192" s="29"/>
      <c r="AH192" s="29"/>
      <c r="AI192" s="29"/>
      <c r="AJ192" s="29"/>
      <c r="AK192" s="29"/>
    </row>
    <row r="193" spans="1:37">
      <c r="A193" s="453"/>
      <c r="B193" s="453"/>
      <c r="C193" s="454"/>
      <c r="D193" s="455"/>
      <c r="E193" s="455"/>
      <c r="F193" s="456"/>
      <c r="G193" s="457"/>
      <c r="H193" s="456"/>
      <c r="I193" s="456"/>
      <c r="J193" s="318"/>
      <c r="K193" s="319"/>
      <c r="L193" s="313"/>
      <c r="M193" s="313"/>
      <c r="N193" s="313"/>
      <c r="O193" s="313"/>
      <c r="P193" s="313"/>
      <c r="Q193" s="316"/>
      <c r="R193" s="316"/>
      <c r="S193" s="316"/>
      <c r="T193" s="316"/>
      <c r="U193" s="463"/>
      <c r="W193" s="427">
        <v>2.1071428571428572</v>
      </c>
      <c r="AF193" s="29"/>
      <c r="AG193" s="29"/>
      <c r="AH193" s="29"/>
      <c r="AI193" s="29"/>
      <c r="AJ193" s="29"/>
      <c r="AK193" s="29"/>
    </row>
    <row r="194" spans="1:37">
      <c r="A194" s="453"/>
      <c r="B194" s="453">
        <f>B191+2</f>
        <v>101</v>
      </c>
      <c r="C194" s="453">
        <f>C191+2</f>
        <v>8</v>
      </c>
      <c r="D194" s="455">
        <f ca="1">INDIRECT(ADDRESS( C194, 2,1, TRUE,"KPI4"))</f>
        <v>48</v>
      </c>
      <c r="E194" s="455" t="str">
        <f ca="1">INDIRECT(ADDRESS( C194, 3,1, TRUE,"KPI4"))</f>
        <v>KPI 4.3</v>
      </c>
      <c r="F194" s="464">
        <f ca="1">'Quesiti x SI'!AJ52</f>
        <v>4.3478260869565215</v>
      </c>
      <c r="G194" s="713">
        <f>'Risultati 2009'!$AJ$52</f>
        <v>4.5116279069767442</v>
      </c>
      <c r="H194" s="713">
        <f>'Risultati 2008'!$AJ$62</f>
        <v>4.2142857142857144</v>
      </c>
      <c r="I194" s="713">
        <f>'Risultati 2007'!$AJ$67</f>
        <v>4.0327868852459012</v>
      </c>
      <c r="J194" s="316" t="str">
        <f ca="1">INDIRECT(ADDRESS( A195, B194,1, TRUE,"Dati"))</f>
        <v>Sì, tutti</v>
      </c>
      <c r="K194" s="319">
        <f ca="1">INDIRECT(ADDRESS( A195, B194+1,1, TRUE,"Dati"))</f>
        <v>10</v>
      </c>
      <c r="L194" s="313">
        <f ca="1">Q194/Q$198</f>
        <v>0.30434782608695654</v>
      </c>
      <c r="M194" s="313">
        <f ca="1">L194-N194</f>
        <v>4.8533872598584438E-2</v>
      </c>
      <c r="N194" s="313">
        <v>0.2558139534883721</v>
      </c>
      <c r="O194" s="313">
        <f>N194-P194</f>
        <v>5.9385382059800679E-2</v>
      </c>
      <c r="P194" s="313">
        <v>0.19642857142857142</v>
      </c>
      <c r="Q194" s="316">
        <f ca="1">INDIRECT(ADDRESS( $C194+1, A195+8,1, TRUE,"KPI4"))</f>
        <v>14</v>
      </c>
      <c r="R194" s="316">
        <v>11</v>
      </c>
      <c r="S194" s="316">
        <v>11</v>
      </c>
      <c r="T194" s="316">
        <v>9</v>
      </c>
      <c r="U194" s="631" t="str">
        <f ca="1">INDIRECT(ADDRESS( C194, 4,1, TRUE,"KPI4"))</f>
        <v>Sono stati attribuiti i ruoli e le responsabilità secondo quanto previsto dal DM 16-2-02?</v>
      </c>
      <c r="W194" s="427">
        <v>5.2857142857142856</v>
      </c>
      <c r="AF194" s="29"/>
      <c r="AG194" s="29"/>
      <c r="AH194" s="29"/>
      <c r="AI194" s="29"/>
      <c r="AJ194" s="29"/>
      <c r="AK194" s="29"/>
    </row>
    <row r="195" spans="1:37">
      <c r="A195" s="453">
        <v>4</v>
      </c>
      <c r="B195" s="453">
        <f>B194</f>
        <v>101</v>
      </c>
      <c r="C195" s="454">
        <f>C194</f>
        <v>8</v>
      </c>
      <c r="D195" s="455"/>
      <c r="E195" s="455"/>
      <c r="F195" s="714">
        <f ca="1">(F194-G194)/G194</f>
        <v>-3.6306588973554516E-2</v>
      </c>
      <c r="G195" s="714">
        <f>(G194-H194)/H194</f>
        <v>7.0555774536854521E-2</v>
      </c>
      <c r="H195" s="714">
        <f>(H194-I194)/I194</f>
        <v>4.5005807200929289E-2</v>
      </c>
      <c r="I195" s="456"/>
      <c r="J195" s="316" t="str">
        <f ca="1">INDIRECT(ADDRESS( A196, B195,1, TRUE,"Dati"))</f>
        <v>Sì, alcuni</v>
      </c>
      <c r="K195" s="319">
        <f ca="1">INDIRECT(ADDRESS( A196, B195+1,1, TRUE,"Dati"))</f>
        <v>6</v>
      </c>
      <c r="L195" s="313">
        <f ca="1">Q195/Q$198</f>
        <v>0.21739130434782608</v>
      </c>
      <c r="M195" s="313">
        <f ca="1">L195-N195</f>
        <v>-0.10819009100101115</v>
      </c>
      <c r="N195" s="313">
        <v>0.32558139534883723</v>
      </c>
      <c r="O195" s="313">
        <f>N195-P195</f>
        <v>-4.9418604651162767E-2</v>
      </c>
      <c r="P195" s="313">
        <v>0.375</v>
      </c>
      <c r="Q195" s="316">
        <f ca="1">INDIRECT(ADDRESS( $C195+1, A196+8,1, TRUE,"KPI4"))</f>
        <v>10</v>
      </c>
      <c r="R195" s="316">
        <v>14</v>
      </c>
      <c r="S195" s="316">
        <v>21</v>
      </c>
      <c r="T195" s="316">
        <v>26</v>
      </c>
      <c r="U195" s="632"/>
      <c r="W195" s="427">
        <v>7.5</v>
      </c>
      <c r="AF195" s="29"/>
      <c r="AG195" s="29"/>
      <c r="AH195" s="29"/>
      <c r="AI195" s="29"/>
      <c r="AJ195" s="29"/>
      <c r="AK195" s="29"/>
    </row>
    <row r="196" spans="1:37">
      <c r="A196" s="453">
        <v>3</v>
      </c>
      <c r="B196" s="453">
        <f>B194</f>
        <v>101</v>
      </c>
      <c r="C196" s="454">
        <f>C194</f>
        <v>8</v>
      </c>
      <c r="D196" s="455"/>
      <c r="E196" s="455"/>
      <c r="F196" s="456"/>
      <c r="G196" s="457"/>
      <c r="H196" s="456"/>
      <c r="I196" s="456"/>
      <c r="J196" s="316" t="str">
        <f ca="1">INDIRECT(ADDRESS( A197, B196,1, TRUE,"Dati"))</f>
        <v>NO</v>
      </c>
      <c r="K196" s="319">
        <f ca="1">INDIRECT(ADDRESS( A197, B196+1,1, TRUE,"Dati"))</f>
        <v>0</v>
      </c>
      <c r="L196" s="313">
        <f ca="1">Q196/Q$198</f>
        <v>0.15217391304347827</v>
      </c>
      <c r="M196" s="313">
        <f ca="1">L196-N196</f>
        <v>3.5894843276036412E-2</v>
      </c>
      <c r="N196" s="313">
        <v>0.11627906976744186</v>
      </c>
      <c r="O196" s="313">
        <f>N196-P196</f>
        <v>-4.4435215946843867E-2</v>
      </c>
      <c r="P196" s="313">
        <v>0.16071428571428573</v>
      </c>
      <c r="Q196" s="316">
        <f ca="1">INDIRECT(ADDRESS( $C196+1, A197+8,1, TRUE,"KPI4"))</f>
        <v>7</v>
      </c>
      <c r="R196" s="316">
        <v>5</v>
      </c>
      <c r="S196" s="316">
        <v>9</v>
      </c>
      <c r="T196" s="316">
        <v>10</v>
      </c>
      <c r="U196" s="632"/>
      <c r="W196" s="427">
        <v>3.25</v>
      </c>
      <c r="AF196" s="29"/>
      <c r="AG196" s="29"/>
      <c r="AH196" s="29"/>
      <c r="AI196" s="29"/>
      <c r="AJ196" s="29"/>
      <c r="AK196" s="29"/>
    </row>
    <row r="197" spans="1:37">
      <c r="A197" s="453">
        <v>2</v>
      </c>
      <c r="B197" s="453">
        <f>B195</f>
        <v>101</v>
      </c>
      <c r="C197" s="454">
        <f>C195</f>
        <v>8</v>
      </c>
      <c r="D197" s="455"/>
      <c r="E197" s="455"/>
      <c r="F197" s="456"/>
      <c r="G197" s="457"/>
      <c r="H197" s="456"/>
      <c r="I197" s="456"/>
      <c r="J197" s="316" t="str">
        <f ca="1">INDIRECT(ADDRESS( A198, B197,1, TRUE,"Dati"))</f>
        <v>--</v>
      </c>
      <c r="K197" s="319">
        <f ca="1">INDIRECT(ADDRESS( A198, B197+1,1, TRUE,"Dati"))</f>
        <v>0</v>
      </c>
      <c r="L197" s="313">
        <f ca="1">Q197/Q$198</f>
        <v>0.32608695652173914</v>
      </c>
      <c r="M197" s="313">
        <f ca="1">L197-N197</f>
        <v>2.3761375126390316E-2</v>
      </c>
      <c r="N197" s="313">
        <v>0.30232558139534882</v>
      </c>
      <c r="O197" s="313">
        <f>N197-P197</f>
        <v>3.446843853820597E-2</v>
      </c>
      <c r="P197" s="313">
        <v>0.26785714285714285</v>
      </c>
      <c r="Q197" s="316">
        <f ca="1">INDIRECT(ADDRESS( $C197+1, A198+8,1, TRUE,"KPI4"))</f>
        <v>15</v>
      </c>
      <c r="R197" s="316">
        <v>13</v>
      </c>
      <c r="S197" s="316">
        <v>15</v>
      </c>
      <c r="T197" s="316">
        <v>14</v>
      </c>
      <c r="U197" s="632"/>
      <c r="W197" s="426"/>
      <c r="AF197" s="29"/>
      <c r="AG197" s="29"/>
      <c r="AH197" s="29"/>
      <c r="AI197" s="29"/>
      <c r="AJ197" s="29"/>
      <c r="AK197" s="29"/>
    </row>
    <row r="198" spans="1:37">
      <c r="A198" s="453">
        <v>1</v>
      </c>
      <c r="B198" s="453"/>
      <c r="C198" s="454"/>
      <c r="D198" s="455"/>
      <c r="E198" s="455"/>
      <c r="F198" s="456"/>
      <c r="G198" s="457"/>
      <c r="H198" s="456"/>
      <c r="I198" s="456"/>
      <c r="J198" s="314" t="s">
        <v>391</v>
      </c>
      <c r="K198" s="315"/>
      <c r="L198" s="313">
        <f ca="1">SUM(L194:L197)</f>
        <v>1</v>
      </c>
      <c r="M198" s="313"/>
      <c r="N198" s="313">
        <v>1</v>
      </c>
      <c r="O198" s="313"/>
      <c r="P198" s="313">
        <v>1</v>
      </c>
      <c r="Q198" s="315">
        <f ca="1">SUM(Q194:Q197)</f>
        <v>46</v>
      </c>
      <c r="R198" s="447">
        <v>43</v>
      </c>
      <c r="S198" s="447">
        <v>56</v>
      </c>
      <c r="T198" s="447">
        <v>59</v>
      </c>
      <c r="U198" s="463"/>
      <c r="W198" s="426"/>
      <c r="AF198" s="29"/>
      <c r="AG198" s="29"/>
      <c r="AH198" s="29"/>
      <c r="AI198" s="29"/>
      <c r="AJ198" s="29"/>
      <c r="AK198" s="29"/>
    </row>
    <row r="199" spans="1:37">
      <c r="A199" s="453"/>
      <c r="B199" s="453"/>
      <c r="C199" s="454"/>
      <c r="D199" s="455"/>
      <c r="E199" s="455"/>
      <c r="F199" s="456"/>
      <c r="G199" s="457"/>
      <c r="H199" s="456"/>
      <c r="I199" s="456"/>
      <c r="J199" s="314"/>
      <c r="K199" s="315"/>
      <c r="L199" s="313"/>
      <c r="M199" s="313"/>
      <c r="N199" s="313"/>
      <c r="O199" s="313"/>
      <c r="P199" s="313"/>
      <c r="Q199" s="315"/>
      <c r="R199" s="447"/>
      <c r="S199" s="447"/>
      <c r="T199" s="316"/>
      <c r="U199" s="463"/>
      <c r="W199" s="426"/>
      <c r="AF199" s="29"/>
      <c r="AG199" s="29"/>
      <c r="AH199" s="29"/>
      <c r="AI199" s="29"/>
      <c r="AJ199" s="29"/>
      <c r="AK199" s="29"/>
    </row>
    <row r="200" spans="1:37">
      <c r="A200" s="453"/>
      <c r="B200" s="453">
        <f>B197+2</f>
        <v>103</v>
      </c>
      <c r="C200" s="453">
        <f>C197+2</f>
        <v>10</v>
      </c>
      <c r="D200" s="455">
        <f ca="1">INDIRECT(ADDRESS( C200, 2,1, TRUE,"KPI4"))</f>
        <v>49</v>
      </c>
      <c r="E200" s="455" t="str">
        <f ca="1">INDIRECT(ADDRESS( C200, 3,1, TRUE,"KPI4"))</f>
        <v>KPI 4.4</v>
      </c>
      <c r="F200" s="464">
        <f ca="1">'Quesiti x SI'!AK52</f>
        <v>6.9565217391304346</v>
      </c>
      <c r="G200" s="713">
        <f>'Risultati 2009'!$AK$52</f>
        <v>6.2790697674418601</v>
      </c>
      <c r="H200" s="713">
        <f>'Risultati 2008'!$AK$62</f>
        <v>5.3571428571428568</v>
      </c>
      <c r="I200" s="713">
        <f>'Risultati 2007'!$AK$67</f>
        <v>5.4098360655737707</v>
      </c>
      <c r="J200" s="316" t="str">
        <f ca="1">INDIRECT(ADDRESS( A201, B200,1, TRUE,"Dati"))</f>
        <v>SI</v>
      </c>
      <c r="K200" s="319">
        <f ca="1">INDIRECT(ADDRESS( A201, B200+1,1, TRUE,"Dati"))</f>
        <v>10</v>
      </c>
      <c r="L200" s="313">
        <f ca="1">Q200/Q$203</f>
        <v>0.69565217391304346</v>
      </c>
      <c r="M200" s="313">
        <f ca="1">L200-N200</f>
        <v>6.7745197168857407E-2</v>
      </c>
      <c r="N200" s="313">
        <v>0.62790697674418605</v>
      </c>
      <c r="O200" s="313">
        <f>N200-P200</f>
        <v>9.2192691029900353E-2</v>
      </c>
      <c r="P200" s="313">
        <v>0.5357142857142857</v>
      </c>
      <c r="Q200" s="316">
        <f ca="1">INDIRECT(ADDRESS( $C200+1, A201+8,1, TRUE,"KPI4"))</f>
        <v>32</v>
      </c>
      <c r="R200" s="316">
        <v>27</v>
      </c>
      <c r="S200" s="316">
        <v>30</v>
      </c>
      <c r="T200" s="316">
        <v>33</v>
      </c>
      <c r="U200" s="631" t="str">
        <f ca="1">INDIRECT(ADDRESS( C200, 4,1, TRUE,"KPI4"))</f>
        <v>Esiste ed è attivo un centro di gestione ed amministrazione della sicurezza ICT ?</v>
      </c>
      <c r="W200" s="427"/>
      <c r="AF200" s="29"/>
      <c r="AG200" s="29"/>
      <c r="AH200" s="29"/>
      <c r="AI200" s="29"/>
      <c r="AJ200" s="29"/>
      <c r="AK200" s="29"/>
    </row>
    <row r="201" spans="1:37">
      <c r="A201" s="453">
        <v>3</v>
      </c>
      <c r="B201" s="453">
        <f>B200</f>
        <v>103</v>
      </c>
      <c r="C201" s="454">
        <f>C200</f>
        <v>10</v>
      </c>
      <c r="D201" s="455"/>
      <c r="E201" s="455"/>
      <c r="F201" s="714">
        <f ca="1">(F200-G200)/G200</f>
        <v>0.10789049919484706</v>
      </c>
      <c r="G201" s="714">
        <f>(G200-H200)/H200</f>
        <v>0.17209302325581396</v>
      </c>
      <c r="H201" s="714">
        <f>(H200-I200)/I200</f>
        <v>-9.7402597402598528E-3</v>
      </c>
      <c r="I201" s="456"/>
      <c r="J201" s="316" t="str">
        <f ca="1">INDIRECT(ADDRESS( A202, B201,1, TRUE,"Dati"))</f>
        <v>NO</v>
      </c>
      <c r="K201" s="319">
        <f ca="1">INDIRECT(ADDRESS( A202, B201+1,1, TRUE,"Dati"))</f>
        <v>0</v>
      </c>
      <c r="L201" s="313">
        <f ca="1">Q201/Q$203</f>
        <v>0.15217391304347827</v>
      </c>
      <c r="M201" s="313">
        <f ca="1">L201-N201</f>
        <v>-3.3872598584428704E-2</v>
      </c>
      <c r="N201" s="313">
        <v>0.18604651162790697</v>
      </c>
      <c r="O201" s="313">
        <f>N201-P201</f>
        <v>-6.3953488372093026E-2</v>
      </c>
      <c r="P201" s="313">
        <v>0.25</v>
      </c>
      <c r="Q201" s="316">
        <f ca="1">INDIRECT(ADDRESS( $C201+1, A202+8,1, TRUE,"KPI4"))</f>
        <v>7</v>
      </c>
      <c r="R201" s="316">
        <v>8</v>
      </c>
      <c r="S201" s="316">
        <v>14</v>
      </c>
      <c r="T201" s="316">
        <v>21</v>
      </c>
      <c r="U201" s="632"/>
      <c r="W201" s="426"/>
      <c r="AF201" s="29"/>
      <c r="AG201" s="29"/>
      <c r="AH201" s="29"/>
      <c r="AI201" s="29"/>
      <c r="AJ201" s="29"/>
      <c r="AK201" s="29"/>
    </row>
    <row r="202" spans="1:37">
      <c r="A202" s="453">
        <v>2</v>
      </c>
      <c r="B202" s="453">
        <f>B200</f>
        <v>103</v>
      </c>
      <c r="C202" s="454">
        <f>C200</f>
        <v>10</v>
      </c>
      <c r="D202" s="455"/>
      <c r="E202" s="455"/>
      <c r="F202" s="456"/>
      <c r="G202" s="457"/>
      <c r="H202" s="456"/>
      <c r="I202" s="456"/>
      <c r="J202" s="316" t="str">
        <f ca="1">INDIRECT(ADDRESS( A203, B202,1, TRUE,"Dati"))</f>
        <v>--</v>
      </c>
      <c r="K202" s="319">
        <f ca="1">INDIRECT(ADDRESS( A203, B202+1,1, TRUE,"Dati"))</f>
        <v>0</v>
      </c>
      <c r="L202" s="313">
        <f ca="1">Q202/Q$203</f>
        <v>0.15217391304347827</v>
      </c>
      <c r="M202" s="313">
        <f ca="1">L202-N202</f>
        <v>-3.3872598584428704E-2</v>
      </c>
      <c r="N202" s="313">
        <v>0.18604651162790697</v>
      </c>
      <c r="O202" s="313">
        <f>N202-P202</f>
        <v>-2.82392026578073E-2</v>
      </c>
      <c r="P202" s="313">
        <v>0.21428571428571427</v>
      </c>
      <c r="Q202" s="316">
        <f ca="1">INDIRECT(ADDRESS( $C202+1, A203+8,1, TRUE,"KPI4"))</f>
        <v>7</v>
      </c>
      <c r="R202" s="316">
        <v>8</v>
      </c>
      <c r="S202" s="316">
        <v>12</v>
      </c>
      <c r="T202" s="316">
        <v>5</v>
      </c>
      <c r="U202" s="632"/>
      <c r="W202" s="426"/>
      <c r="AF202" s="29"/>
      <c r="AG202" s="29"/>
      <c r="AH202" s="29"/>
      <c r="AI202" s="29"/>
      <c r="AJ202" s="29"/>
      <c r="AK202" s="29"/>
    </row>
    <row r="203" spans="1:37">
      <c r="A203" s="453">
        <v>1</v>
      </c>
      <c r="B203" s="453"/>
      <c r="C203" s="454"/>
      <c r="D203" s="455"/>
      <c r="E203" s="455"/>
      <c r="F203" s="456"/>
      <c r="G203" s="457"/>
      <c r="H203" s="456"/>
      <c r="I203" s="456"/>
      <c r="J203" s="314" t="s">
        <v>391</v>
      </c>
      <c r="K203" s="315"/>
      <c r="L203" s="313">
        <f ca="1">SUM(L200:L202)</f>
        <v>1</v>
      </c>
      <c r="M203" s="313"/>
      <c r="N203" s="313">
        <v>1</v>
      </c>
      <c r="O203" s="313"/>
      <c r="P203" s="313">
        <v>1</v>
      </c>
      <c r="Q203" s="315">
        <f ca="1">SUM(Q200:Q202)</f>
        <v>46</v>
      </c>
      <c r="R203" s="447">
        <v>43</v>
      </c>
      <c r="S203" s="447">
        <v>56</v>
      </c>
      <c r="T203" s="447">
        <v>59</v>
      </c>
      <c r="U203" s="463"/>
      <c r="W203" s="426"/>
      <c r="AF203" s="29"/>
      <c r="AG203" s="29"/>
      <c r="AH203" s="29"/>
      <c r="AI203" s="29"/>
      <c r="AJ203" s="29"/>
      <c r="AK203" s="29"/>
    </row>
    <row r="204" spans="1:37">
      <c r="A204" s="453"/>
      <c r="B204" s="453"/>
      <c r="C204" s="454"/>
      <c r="D204" s="455"/>
      <c r="E204" s="455"/>
      <c r="F204" s="456"/>
      <c r="G204" s="457"/>
      <c r="H204" s="456"/>
      <c r="I204" s="456"/>
      <c r="J204" s="318"/>
      <c r="K204" s="319"/>
      <c r="L204" s="313"/>
      <c r="M204" s="313"/>
      <c r="N204" s="313"/>
      <c r="O204" s="313"/>
      <c r="P204" s="313"/>
      <c r="Q204" s="316"/>
      <c r="R204" s="316"/>
      <c r="S204" s="316"/>
      <c r="T204" s="316"/>
      <c r="U204" s="463"/>
      <c r="W204" s="426"/>
      <c r="AF204" s="29"/>
      <c r="AG204" s="29"/>
      <c r="AH204" s="29"/>
      <c r="AI204" s="29"/>
      <c r="AJ204" s="29"/>
      <c r="AK204" s="29"/>
    </row>
    <row r="205" spans="1:37">
      <c r="A205" s="453"/>
      <c r="B205" s="453">
        <f>B202+2</f>
        <v>105</v>
      </c>
      <c r="C205" s="453">
        <f>C202+2</f>
        <v>12</v>
      </c>
      <c r="D205" s="455">
        <f ca="1">INDIRECT(ADDRESS( C205, 2,1, TRUE,"KPI4"))</f>
        <v>50</v>
      </c>
      <c r="E205" s="455" t="str">
        <f ca="1">INDIRECT(ADDRESS( C205, 3,1, TRUE,"KPI4"))</f>
        <v>KPI 4.5</v>
      </c>
      <c r="F205" s="464">
        <f ca="1">'Quesiti x SI'!AL52</f>
        <v>6.5217391304347823</v>
      </c>
      <c r="G205" s="713">
        <f>'Risultati 2009'!$AL$52</f>
        <v>6.0465116279069768</v>
      </c>
      <c r="H205" s="713">
        <f>'Risultati 2008'!$AL$62</f>
        <v>6.0714285714285712</v>
      </c>
      <c r="I205" s="713">
        <f>'Risultati 2007'!$AL$67</f>
        <v>5.081967213114754</v>
      </c>
      <c r="J205" s="316" t="str">
        <f ca="1">INDIRECT(ADDRESS( A206, B205,1, TRUE,"Dati"))</f>
        <v>SI</v>
      </c>
      <c r="K205" s="319">
        <f ca="1">INDIRECT(ADDRESS( A206, B205+1,1, TRUE,"Dati"))</f>
        <v>10</v>
      </c>
      <c r="L205" s="313">
        <f ca="1">Q205/Q$208</f>
        <v>0.65217391304347827</v>
      </c>
      <c r="M205" s="313">
        <f ca="1">L205-N205</f>
        <v>4.7522750252780632E-2</v>
      </c>
      <c r="N205" s="313">
        <v>0.60465116279069764</v>
      </c>
      <c r="O205" s="313">
        <f>N205-P205</f>
        <v>-2.491694352159457E-3</v>
      </c>
      <c r="P205" s="313">
        <v>0.6071428571428571</v>
      </c>
      <c r="Q205" s="316">
        <f ca="1">INDIRECT(ADDRESS( $C205+1, A206+8,1, TRUE,"KPI4"))</f>
        <v>30</v>
      </c>
      <c r="R205" s="316">
        <v>26</v>
      </c>
      <c r="S205" s="316">
        <v>34</v>
      </c>
      <c r="T205" s="316">
        <v>31</v>
      </c>
      <c r="U205" s="455" t="str">
        <f ca="1">INDIRECT(ADDRESS( C205, 4,1, TRUE,"KPI4"))</f>
        <v>Esiste ed è attivo un gruppo di gestione degli incidenti ?</v>
      </c>
      <c r="W205" s="426"/>
      <c r="AF205" s="29"/>
      <c r="AG205" s="29"/>
      <c r="AH205" s="29"/>
      <c r="AI205" s="29"/>
      <c r="AJ205" s="29"/>
      <c r="AK205" s="29"/>
    </row>
    <row r="206" spans="1:37">
      <c r="A206" s="453">
        <v>3</v>
      </c>
      <c r="B206" s="453">
        <f>B205</f>
        <v>105</v>
      </c>
      <c r="C206" s="454">
        <f>C205</f>
        <v>12</v>
      </c>
      <c r="D206" s="455"/>
      <c r="E206" s="455"/>
      <c r="F206" s="714">
        <f ca="1">(F205-G205)/G205</f>
        <v>7.8595317725752442E-2</v>
      </c>
      <c r="G206" s="714">
        <f>(G205-H205)/H205</f>
        <v>-4.1039671682625983E-3</v>
      </c>
      <c r="H206" s="714">
        <f>(H205-I205)/I205</f>
        <v>0.19470046082949308</v>
      </c>
      <c r="I206" s="456"/>
      <c r="J206" s="316" t="str">
        <f ca="1">INDIRECT(ADDRESS( A207, B206,1, TRUE,"Dati"))</f>
        <v>NO</v>
      </c>
      <c r="K206" s="319">
        <f ca="1">INDIRECT(ADDRESS( A207, B206+1,1, TRUE,"Dati"))</f>
        <v>0</v>
      </c>
      <c r="L206" s="313">
        <f ca="1">Q206/Q$208</f>
        <v>0.19565217391304349</v>
      </c>
      <c r="M206" s="313">
        <f ca="1">L206-N206</f>
        <v>9.6056622851365125E-3</v>
      </c>
      <c r="N206" s="313">
        <v>0.18604651162790697</v>
      </c>
      <c r="O206" s="313">
        <f>N206-P206</f>
        <v>-1.038205980066445E-2</v>
      </c>
      <c r="P206" s="313">
        <v>0.19642857142857142</v>
      </c>
      <c r="Q206" s="316">
        <f ca="1">INDIRECT(ADDRESS( $C206+1, A207+8,1, TRUE,"KPI4"))</f>
        <v>9</v>
      </c>
      <c r="R206" s="316">
        <v>8</v>
      </c>
      <c r="S206" s="316">
        <v>11</v>
      </c>
      <c r="T206" s="316">
        <v>24</v>
      </c>
      <c r="U206" s="463"/>
      <c r="AF206" s="29"/>
      <c r="AG206" s="29"/>
      <c r="AH206" s="29"/>
      <c r="AI206" s="29"/>
      <c r="AJ206" s="29"/>
      <c r="AK206" s="29"/>
    </row>
    <row r="207" spans="1:37">
      <c r="A207" s="453">
        <v>2</v>
      </c>
      <c r="B207" s="453">
        <f>B205</f>
        <v>105</v>
      </c>
      <c r="C207" s="454">
        <f>C205</f>
        <v>12</v>
      </c>
      <c r="D207" s="455"/>
      <c r="E207" s="455"/>
      <c r="F207" s="456"/>
      <c r="G207" s="457"/>
      <c r="H207" s="456"/>
      <c r="I207" s="456"/>
      <c r="J207" s="316" t="str">
        <f ca="1">INDIRECT(ADDRESS( A208, B207,1, TRUE,"Dati"))</f>
        <v>--</v>
      </c>
      <c r="K207" s="319">
        <f ca="1">INDIRECT(ADDRESS( A208, B207+1,1, TRUE,"Dati"))</f>
        <v>0</v>
      </c>
      <c r="L207" s="313">
        <f ca="1">Q207/Q$208</f>
        <v>0.15217391304347827</v>
      </c>
      <c r="M207" s="313">
        <f ca="1">L207-N207</f>
        <v>-5.7128412537917089E-2</v>
      </c>
      <c r="N207" s="313">
        <v>0.20930232558139536</v>
      </c>
      <c r="O207" s="313">
        <f>N207-P207</f>
        <v>1.2873754152823935E-2</v>
      </c>
      <c r="P207" s="313">
        <v>0.19642857142857142</v>
      </c>
      <c r="Q207" s="316">
        <f ca="1">INDIRECT(ADDRESS( $C207+1, A208+8,1, TRUE,"KPI4"))</f>
        <v>7</v>
      </c>
      <c r="R207" s="316">
        <v>9</v>
      </c>
      <c r="S207" s="316">
        <v>11</v>
      </c>
      <c r="T207" s="316">
        <v>4</v>
      </c>
      <c r="U207" s="463"/>
      <c r="AF207" s="29"/>
      <c r="AG207" s="29"/>
      <c r="AH207" s="29"/>
      <c r="AI207" s="29"/>
      <c r="AJ207" s="29"/>
      <c r="AK207" s="29"/>
    </row>
    <row r="208" spans="1:37">
      <c r="A208" s="453">
        <v>1</v>
      </c>
      <c r="B208" s="453"/>
      <c r="C208" s="454"/>
      <c r="D208" s="455"/>
      <c r="E208" s="455"/>
      <c r="F208" s="456"/>
      <c r="G208" s="457"/>
      <c r="H208" s="456"/>
      <c r="I208" s="456"/>
      <c r="J208" s="314" t="s">
        <v>391</v>
      </c>
      <c r="K208" s="315"/>
      <c r="L208" s="313">
        <f ca="1">SUM(L205:L207)</f>
        <v>1</v>
      </c>
      <c r="M208" s="313"/>
      <c r="N208" s="313">
        <v>1</v>
      </c>
      <c r="O208" s="313"/>
      <c r="P208" s="313">
        <v>0.99999999999999989</v>
      </c>
      <c r="Q208" s="315">
        <f ca="1">SUM(Q205:Q207)</f>
        <v>46</v>
      </c>
      <c r="R208" s="447">
        <v>43</v>
      </c>
      <c r="S208" s="447">
        <v>56</v>
      </c>
      <c r="T208" s="447">
        <v>59</v>
      </c>
      <c r="U208" s="463"/>
      <c r="AF208" s="29"/>
      <c r="AG208" s="29"/>
      <c r="AH208" s="29"/>
      <c r="AI208" s="29"/>
      <c r="AJ208" s="29"/>
      <c r="AK208" s="29"/>
    </row>
    <row r="209" spans="1:37">
      <c r="A209" s="453"/>
      <c r="B209" s="453"/>
      <c r="C209" s="454"/>
      <c r="D209" s="455"/>
      <c r="E209" s="455"/>
      <c r="F209" s="456"/>
      <c r="G209" s="457"/>
      <c r="H209" s="456"/>
      <c r="I209" s="456"/>
      <c r="J209" s="318"/>
      <c r="K209" s="319"/>
      <c r="L209" s="313"/>
      <c r="M209" s="313"/>
      <c r="N209" s="313"/>
      <c r="O209" s="313"/>
      <c r="P209" s="313"/>
      <c r="Q209" s="316"/>
      <c r="R209" s="316"/>
      <c r="S209" s="316"/>
      <c r="T209" s="316"/>
      <c r="U209" s="463"/>
      <c r="AF209" s="29"/>
      <c r="AG209" s="29"/>
      <c r="AH209" s="29"/>
      <c r="AI209" s="29"/>
      <c r="AJ209" s="29"/>
      <c r="AK209" s="29"/>
    </row>
    <row r="210" spans="1:37">
      <c r="A210" s="453"/>
      <c r="B210" s="453">
        <f>B207+2</f>
        <v>107</v>
      </c>
      <c r="C210" s="453">
        <f>C207+2</f>
        <v>14</v>
      </c>
      <c r="D210" s="455">
        <f ca="1">INDIRECT(ADDRESS( C210, 2,1, TRUE,"KPI4"))</f>
        <v>51</v>
      </c>
      <c r="E210" s="455" t="str">
        <f ca="1">INDIRECT(ADDRESS( C210, 3,1, TRUE,"KPI4"))</f>
        <v>KPI 4.6</v>
      </c>
      <c r="F210" s="464">
        <f ca="1">'Quesiti x SI'!AM52</f>
        <v>7.6086956521739131</v>
      </c>
      <c r="G210" s="713">
        <f>'Risultati 2009'!$AM$52</f>
        <v>5.8139534883720927</v>
      </c>
      <c r="H210" s="713">
        <f>'Risultati 2008'!$AM$62</f>
        <v>5.8928571428571432</v>
      </c>
      <c r="I210" s="713">
        <f>'Risultati 2007'!$AM$67</f>
        <v>5.5737704918032787</v>
      </c>
      <c r="J210" s="316" t="str">
        <f ca="1">INDIRECT(ADDRESS( A211, B210,1, TRUE,"Dati"))</f>
        <v>SI</v>
      </c>
      <c r="K210" s="319">
        <f ca="1">INDIRECT(ADDRESS( A211, B210+1,1, TRUE,"Dati"))</f>
        <v>10</v>
      </c>
      <c r="L210" s="313">
        <f ca="1">Q210/Q$213</f>
        <v>0.76086956521739135</v>
      </c>
      <c r="M210" s="313">
        <f ca="1">L210-N210</f>
        <v>0.17947421638018202</v>
      </c>
      <c r="N210" s="313">
        <v>0.58139534883720934</v>
      </c>
      <c r="O210" s="313">
        <f>N210-P210</f>
        <v>-7.8903654485049657E-3</v>
      </c>
      <c r="P210" s="313">
        <v>0.5892857142857143</v>
      </c>
      <c r="Q210" s="316">
        <f ca="1">INDIRECT(ADDRESS( $C210+1, A211+8,1, TRUE,"KPI4"))</f>
        <v>35</v>
      </c>
      <c r="R210" s="316">
        <v>25</v>
      </c>
      <c r="S210" s="316">
        <v>33</v>
      </c>
      <c r="T210" s="316">
        <v>34</v>
      </c>
      <c r="U210" s="455" t="str">
        <f ca="1">INDIRECT(ADDRESS( C210, 4,1, TRUE,"KPI4"))</f>
        <v>Esiste la figura di 'Responsabile protezione dati personali' ?</v>
      </c>
      <c r="AF210" s="29"/>
      <c r="AG210" s="29"/>
      <c r="AH210" s="29"/>
      <c r="AI210" s="29"/>
      <c r="AJ210" s="29"/>
      <c r="AK210" s="29"/>
    </row>
    <row r="211" spans="1:37">
      <c r="A211" s="453">
        <v>3</v>
      </c>
      <c r="B211" s="453">
        <f>B210</f>
        <v>107</v>
      </c>
      <c r="C211" s="454">
        <f>C210</f>
        <v>14</v>
      </c>
      <c r="D211" s="455"/>
      <c r="E211" s="455"/>
      <c r="F211" s="714">
        <f ca="1">(F210-G210)/G210</f>
        <v>0.30869565217391315</v>
      </c>
      <c r="G211" s="714">
        <f>(G210-H210)/H210</f>
        <v>-1.3389711064129789E-2</v>
      </c>
      <c r="H211" s="714">
        <f>(H210-I210)/I210</f>
        <v>5.724789915966394E-2</v>
      </c>
      <c r="I211" s="456"/>
      <c r="J211" s="316" t="str">
        <f ca="1">INDIRECT(ADDRESS( A212, B211,1, TRUE,"Dati"))</f>
        <v>NO</v>
      </c>
      <c r="K211" s="319">
        <f ca="1">INDIRECT(ADDRESS( A212, B211+1,1, TRUE,"Dati"))</f>
        <v>0</v>
      </c>
      <c r="L211" s="313">
        <f ca="1">Q211/Q$213</f>
        <v>0.13043478260869565</v>
      </c>
      <c r="M211" s="313">
        <f ca="1">L211-N211</f>
        <v>-7.8867542972699711E-2</v>
      </c>
      <c r="N211" s="313">
        <v>0.20930232558139536</v>
      </c>
      <c r="O211" s="313">
        <f>N211-P211</f>
        <v>-4.983388704318914E-3</v>
      </c>
      <c r="P211" s="313">
        <v>0.21428571428571427</v>
      </c>
      <c r="Q211" s="316">
        <f ca="1">INDIRECT(ADDRESS( $C211+1, A212+8,1, TRUE,"KPI4"))</f>
        <v>6</v>
      </c>
      <c r="R211" s="316">
        <v>9</v>
      </c>
      <c r="S211" s="316">
        <v>12</v>
      </c>
      <c r="T211" s="316">
        <v>14</v>
      </c>
      <c r="U211" s="463"/>
      <c r="AF211" s="29"/>
      <c r="AG211" s="29"/>
      <c r="AH211" s="29"/>
      <c r="AI211" s="29"/>
      <c r="AJ211" s="29"/>
      <c r="AK211" s="29"/>
    </row>
    <row r="212" spans="1:37">
      <c r="A212" s="453">
        <v>2</v>
      </c>
      <c r="B212" s="453">
        <f>B210</f>
        <v>107</v>
      </c>
      <c r="C212" s="454">
        <f>C210</f>
        <v>14</v>
      </c>
      <c r="D212" s="455"/>
      <c r="E212" s="455"/>
      <c r="F212" s="456"/>
      <c r="G212" s="457"/>
      <c r="H212" s="456"/>
      <c r="I212" s="456"/>
      <c r="J212" s="316" t="str">
        <f ca="1">INDIRECT(ADDRESS( A213, B212,1, TRUE,"Dati"))</f>
        <v>--</v>
      </c>
      <c r="K212" s="319">
        <f ca="1">INDIRECT(ADDRESS( A213, B212+1,1, TRUE,"Dati"))</f>
        <v>0</v>
      </c>
      <c r="L212" s="313">
        <f ca="1">Q212/Q$213</f>
        <v>0.10869565217391304</v>
      </c>
      <c r="M212" s="313">
        <f ca="1">L212-N212</f>
        <v>-0.10060667340748232</v>
      </c>
      <c r="N212" s="313">
        <v>0.20930232558139536</v>
      </c>
      <c r="O212" s="313">
        <f>N212-P212</f>
        <v>1.2873754152823935E-2</v>
      </c>
      <c r="P212" s="313">
        <v>0.19642857142857142</v>
      </c>
      <c r="Q212" s="316">
        <f ca="1">INDIRECT(ADDRESS( $C212+1, A213+8,1, TRUE,"KPI4"))</f>
        <v>5</v>
      </c>
      <c r="R212" s="316">
        <v>9</v>
      </c>
      <c r="S212" s="316">
        <v>11</v>
      </c>
      <c r="T212" s="316">
        <v>11</v>
      </c>
      <c r="U212" s="463"/>
      <c r="AF212" s="29"/>
      <c r="AG212" s="29"/>
      <c r="AH212" s="29"/>
      <c r="AI212" s="29"/>
      <c r="AJ212" s="29"/>
      <c r="AK212" s="29"/>
    </row>
    <row r="213" spans="1:37">
      <c r="A213" s="453">
        <v>1</v>
      </c>
      <c r="B213" s="453"/>
      <c r="C213" s="454"/>
      <c r="D213" s="455"/>
      <c r="E213" s="455"/>
      <c r="F213" s="456"/>
      <c r="G213" s="457"/>
      <c r="H213" s="456"/>
      <c r="I213" s="456"/>
      <c r="J213" s="314" t="s">
        <v>391</v>
      </c>
      <c r="K213" s="315"/>
      <c r="L213" s="313">
        <f ca="1">SUM(L210:L212)</f>
        <v>1</v>
      </c>
      <c r="M213" s="313"/>
      <c r="N213" s="313">
        <v>1</v>
      </c>
      <c r="O213" s="313"/>
      <c r="P213" s="313">
        <v>1</v>
      </c>
      <c r="Q213" s="315">
        <f ca="1">SUM(Q210:Q212)</f>
        <v>46</v>
      </c>
      <c r="R213" s="447">
        <v>43</v>
      </c>
      <c r="S213" s="447">
        <v>56</v>
      </c>
      <c r="T213" s="447">
        <v>59</v>
      </c>
      <c r="U213" s="463"/>
      <c r="AF213" s="29"/>
      <c r="AG213" s="29"/>
      <c r="AH213" s="29"/>
      <c r="AI213" s="29"/>
      <c r="AJ213" s="29"/>
      <c r="AK213" s="29"/>
    </row>
    <row r="214" spans="1:37">
      <c r="A214" s="453"/>
      <c r="B214" s="453"/>
      <c r="C214" s="454"/>
      <c r="D214" s="455"/>
      <c r="E214" s="455"/>
      <c r="F214" s="456"/>
      <c r="G214" s="457"/>
      <c r="H214" s="456"/>
      <c r="I214" s="456"/>
      <c r="J214" s="318"/>
      <c r="K214" s="319"/>
      <c r="L214" s="313"/>
      <c r="M214" s="313"/>
      <c r="N214" s="313"/>
      <c r="O214" s="313"/>
      <c r="P214" s="313"/>
      <c r="Q214" s="316"/>
      <c r="R214" s="316"/>
      <c r="S214" s="316"/>
      <c r="T214" s="316"/>
      <c r="U214" s="463"/>
      <c r="AF214" s="29"/>
      <c r="AG214" s="29"/>
      <c r="AH214" s="29"/>
      <c r="AI214" s="29"/>
      <c r="AJ214" s="29"/>
      <c r="AK214" s="29"/>
    </row>
    <row r="215" spans="1:37">
      <c r="A215" s="453"/>
      <c r="B215" s="453">
        <f>B212+2</f>
        <v>109</v>
      </c>
      <c r="C215" s="453">
        <f>C212+2</f>
        <v>16</v>
      </c>
      <c r="D215" s="455">
        <f ca="1">INDIRECT(ADDRESS( C215, 2,1, TRUE,"KPI4"))</f>
        <v>52</v>
      </c>
      <c r="E215" s="455" t="str">
        <f ca="1">INDIRECT(ADDRESS( C215, 3,1, TRUE,"KPI4"))</f>
        <v>KPI 4.7</v>
      </c>
      <c r="F215" s="464">
        <f ca="1">'Quesiti x SI'!AN52</f>
        <v>7.8260869565217392</v>
      </c>
      <c r="G215" s="713">
        <f>'Risultati 2009'!$AN$52</f>
        <v>7.6744186046511631</v>
      </c>
      <c r="H215" s="713">
        <f>'Risultati 2008'!$AN$62</f>
        <v>5.8928571428571432</v>
      </c>
      <c r="I215" s="713">
        <f>'Risultati 2007'!$AN$67</f>
        <v>6.2295081967213113</v>
      </c>
      <c r="J215" s="316" t="str">
        <f ca="1">INDIRECT(ADDRESS( A216, B215,1, TRUE,"Dati"))</f>
        <v>SI</v>
      </c>
      <c r="K215" s="319">
        <f ca="1">INDIRECT(ADDRESS( A216, B215+1,1, TRUE,"Dati"))</f>
        <v>10</v>
      </c>
      <c r="L215" s="313">
        <f ca="1">Q215/Q$218</f>
        <v>0.78260869565217395</v>
      </c>
      <c r="M215" s="313">
        <f ca="1">L215-N215</f>
        <v>1.5166835187057637E-2</v>
      </c>
      <c r="N215" s="313">
        <v>0.76744186046511631</v>
      </c>
      <c r="O215" s="313">
        <f>N215-P215</f>
        <v>0.17815614617940201</v>
      </c>
      <c r="P215" s="313">
        <v>0.5892857142857143</v>
      </c>
      <c r="Q215" s="316">
        <f ca="1">INDIRECT(ADDRESS( $C215+1, A216+8,1, TRUE,"KPI4"))</f>
        <v>36</v>
      </c>
      <c r="R215" s="316">
        <v>33</v>
      </c>
      <c r="S215" s="316">
        <v>33</v>
      </c>
      <c r="T215" s="316">
        <v>38</v>
      </c>
      <c r="U215" s="455" t="str">
        <f ca="1">INDIRECT(ADDRESS( C215, 4,1, TRUE,"KPI4"))</f>
        <v xml:space="preserve">Esistono una o più procedure di gestione dei log ? </v>
      </c>
      <c r="AF215" s="29"/>
      <c r="AG215" s="29"/>
      <c r="AH215" s="29"/>
      <c r="AI215" s="29"/>
      <c r="AJ215" s="29"/>
      <c r="AK215" s="29"/>
    </row>
    <row r="216" spans="1:37">
      <c r="A216" s="453">
        <v>3</v>
      </c>
      <c r="B216" s="453">
        <f>B215</f>
        <v>109</v>
      </c>
      <c r="C216" s="454">
        <f>C215</f>
        <v>16</v>
      </c>
      <c r="D216" s="455"/>
      <c r="E216" s="455"/>
      <c r="F216" s="714">
        <f ca="1">(F215-G215)/G215</f>
        <v>1.9762845849802344E-2</v>
      </c>
      <c r="G216" s="714">
        <f>(G215-H215)/H215</f>
        <v>0.30232558139534882</v>
      </c>
      <c r="H216" s="714">
        <f>(H215-I215)/I215</f>
        <v>-5.4041353383458557E-2</v>
      </c>
      <c r="I216" s="456"/>
      <c r="J216" s="316" t="str">
        <f ca="1">INDIRECT(ADDRESS( A217, B216,1, TRUE,"Dati"))</f>
        <v>NO</v>
      </c>
      <c r="K216" s="319">
        <f ca="1">INDIRECT(ADDRESS( A217, B216+1,1, TRUE,"Dati"))</f>
        <v>0</v>
      </c>
      <c r="L216" s="313">
        <f ca="1">Q216/Q$218</f>
        <v>4.3478260869565216E-2</v>
      </c>
      <c r="M216" s="313">
        <f ca="1">L216-N216</f>
        <v>-7.2800808897876643E-2</v>
      </c>
      <c r="N216" s="313">
        <v>0.11627906976744186</v>
      </c>
      <c r="O216" s="313">
        <f>N216-P216</f>
        <v>-0.11586378737541529</v>
      </c>
      <c r="P216" s="313">
        <v>0.23214285714285715</v>
      </c>
      <c r="Q216" s="316">
        <f ca="1">INDIRECT(ADDRESS( $C216+1, A217+8,1, TRUE,"KPI4"))</f>
        <v>2</v>
      </c>
      <c r="R216" s="316">
        <v>5</v>
      </c>
      <c r="S216" s="316">
        <v>13</v>
      </c>
      <c r="T216" s="316">
        <v>14</v>
      </c>
      <c r="U216" s="463"/>
      <c r="AF216" s="29"/>
      <c r="AG216" s="29"/>
      <c r="AH216" s="29"/>
      <c r="AI216" s="29"/>
      <c r="AJ216" s="29"/>
      <c r="AK216" s="29"/>
    </row>
    <row r="217" spans="1:37">
      <c r="A217" s="453">
        <v>2</v>
      </c>
      <c r="B217" s="453">
        <f>B215</f>
        <v>109</v>
      </c>
      <c r="C217" s="454">
        <f>C215</f>
        <v>16</v>
      </c>
      <c r="D217" s="455"/>
      <c r="E217" s="455"/>
      <c r="F217" s="456"/>
      <c r="G217" s="457"/>
      <c r="H217" s="456"/>
      <c r="I217" s="456"/>
      <c r="J217" s="316" t="str">
        <f ca="1">INDIRECT(ADDRESS( A218, B217,1, TRUE,"Dati"))</f>
        <v>--</v>
      </c>
      <c r="K217" s="319">
        <f ca="1">INDIRECT(ADDRESS( A218, B217+1,1, TRUE,"Dati"))</f>
        <v>0</v>
      </c>
      <c r="L217" s="313">
        <f ca="1">Q217/Q$218</f>
        <v>0.17391304347826086</v>
      </c>
      <c r="M217" s="313">
        <f ca="1">L217-N217</f>
        <v>5.7633973710819006E-2</v>
      </c>
      <c r="N217" s="313">
        <v>0.11627906976744186</v>
      </c>
      <c r="O217" s="313">
        <f>N217-P217</f>
        <v>-6.2292358803986717E-2</v>
      </c>
      <c r="P217" s="313">
        <v>0.17857142857142858</v>
      </c>
      <c r="Q217" s="316">
        <f ca="1">INDIRECT(ADDRESS( $C217+1, A218+8,1, TRUE,"KPI4"))</f>
        <v>8</v>
      </c>
      <c r="R217" s="316">
        <v>5</v>
      </c>
      <c r="S217" s="316">
        <v>10</v>
      </c>
      <c r="T217" s="316">
        <v>7</v>
      </c>
      <c r="U217" s="463"/>
      <c r="AF217" s="29"/>
      <c r="AG217" s="29"/>
      <c r="AH217" s="29"/>
      <c r="AI217" s="29"/>
      <c r="AJ217" s="29"/>
      <c r="AK217" s="29"/>
    </row>
    <row r="218" spans="1:37">
      <c r="A218" s="453">
        <v>1</v>
      </c>
      <c r="B218" s="453"/>
      <c r="C218" s="454"/>
      <c r="D218" s="455"/>
      <c r="E218" s="455"/>
      <c r="F218" s="456"/>
      <c r="G218" s="457"/>
      <c r="H218" s="456"/>
      <c r="I218" s="456"/>
      <c r="J218" s="314" t="s">
        <v>391</v>
      </c>
      <c r="K218" s="315"/>
      <c r="L218" s="313">
        <f ca="1">SUM(L215:L217)</f>
        <v>1</v>
      </c>
      <c r="M218" s="313"/>
      <c r="N218" s="313">
        <v>1</v>
      </c>
      <c r="O218" s="313"/>
      <c r="P218" s="313">
        <v>1</v>
      </c>
      <c r="Q218" s="315">
        <f ca="1">SUM(Q215:Q217)</f>
        <v>46</v>
      </c>
      <c r="R218" s="447">
        <v>43</v>
      </c>
      <c r="S218" s="447">
        <v>56</v>
      </c>
      <c r="T218" s="447">
        <v>59</v>
      </c>
      <c r="U218" s="463"/>
      <c r="AF218" s="29"/>
      <c r="AG218" s="29"/>
      <c r="AH218" s="29"/>
      <c r="AI218" s="29"/>
      <c r="AJ218" s="29"/>
      <c r="AK218" s="29"/>
    </row>
    <row r="219" spans="1:37">
      <c r="A219" s="453"/>
      <c r="B219" s="453"/>
      <c r="C219" s="454"/>
      <c r="D219" s="455"/>
      <c r="E219" s="455"/>
      <c r="F219" s="456"/>
      <c r="G219" s="457"/>
      <c r="H219" s="456"/>
      <c r="I219" s="456"/>
      <c r="J219" s="318"/>
      <c r="K219" s="319"/>
      <c r="L219" s="313"/>
      <c r="M219" s="313"/>
      <c r="N219" s="313"/>
      <c r="O219" s="313"/>
      <c r="P219" s="313"/>
      <c r="Q219" s="316"/>
      <c r="R219" s="316"/>
      <c r="S219" s="316"/>
      <c r="T219" s="316"/>
      <c r="U219" s="463"/>
      <c r="AF219" s="29"/>
      <c r="AG219" s="29"/>
      <c r="AH219" s="29"/>
      <c r="AI219" s="29"/>
      <c r="AJ219" s="29"/>
      <c r="AK219" s="29"/>
    </row>
    <row r="220" spans="1:37">
      <c r="A220" s="453"/>
      <c r="B220" s="453">
        <f>B217+2</f>
        <v>111</v>
      </c>
      <c r="C220" s="453">
        <f>C217+2</f>
        <v>18</v>
      </c>
      <c r="D220" s="455">
        <f ca="1">INDIRECT(ADDRESS( C220, 2,1, TRUE,"KPI4"))</f>
        <v>53</v>
      </c>
      <c r="E220" s="455" t="str">
        <f ca="1">INDIRECT(ADDRESS( C220, 3,1, TRUE,"KPI4"))</f>
        <v>KPI 4.8</v>
      </c>
      <c r="F220" s="464">
        <f ca="1">'Quesiti x SI'!AO52</f>
        <v>7.5217391304347823</v>
      </c>
      <c r="G220" s="713">
        <f>'Risultati 2009'!$AO$52</f>
        <v>6.2173913043478262</v>
      </c>
      <c r="H220" s="713">
        <f>'Risultati 2008'!$AO$62</f>
        <v>6.1428571428571432</v>
      </c>
      <c r="I220" s="713">
        <f>'Risultati 2007'!$AO$67</f>
        <v>5.7049180327868854</v>
      </c>
      <c r="J220" s="316" t="str">
        <f ca="1">INDIRECT(ADDRESS( A221, B220,1, TRUE,"Dati"))</f>
        <v>SI</v>
      </c>
      <c r="K220" s="319">
        <f ca="1">INDIRECT(ADDRESS( A221, B220+1,1, TRUE,"Dati"))</f>
        <v>6</v>
      </c>
      <c r="L220" s="313">
        <f ca="1">Q220/Q$223</f>
        <v>0.76086956521739135</v>
      </c>
      <c r="M220" s="313">
        <f ca="1">L220-N220</f>
        <v>3.9939332659251869E-2</v>
      </c>
      <c r="N220" s="313">
        <v>0.72093023255813948</v>
      </c>
      <c r="O220" s="313">
        <f>N220-P220</f>
        <v>0.11378737541528239</v>
      </c>
      <c r="P220" s="313">
        <v>0.6071428571428571</v>
      </c>
      <c r="Q220" s="316">
        <f ca="1">INDIRECT(ADDRESS( $C220+1, A221+8,1, TRUE,"KPI4"))</f>
        <v>35</v>
      </c>
      <c r="R220" s="316">
        <v>31</v>
      </c>
      <c r="S220" s="316">
        <v>34</v>
      </c>
      <c r="T220" s="316">
        <v>34</v>
      </c>
      <c r="U220" s="631" t="str">
        <f ca="1">INDIRECT(ADDRESS( C220, 4,1, TRUE,"KPI4"))</f>
        <v>Esiste un responsabile per la gestione ed attuazione delle policy di backup / restore ?</v>
      </c>
      <c r="AF220" s="29"/>
      <c r="AG220" s="29"/>
      <c r="AH220" s="29"/>
      <c r="AI220" s="29"/>
      <c r="AJ220" s="29"/>
      <c r="AK220" s="29"/>
    </row>
    <row r="221" spans="1:37">
      <c r="A221" s="453">
        <v>3</v>
      </c>
      <c r="B221" s="453">
        <f>B220</f>
        <v>111</v>
      </c>
      <c r="C221" s="454">
        <f>C220</f>
        <v>18</v>
      </c>
      <c r="D221" s="455"/>
      <c r="E221" s="455"/>
      <c r="F221" s="714">
        <f ca="1">(F220-G220)/G220</f>
        <v>0.20979020979020971</v>
      </c>
      <c r="G221" s="714">
        <f>(G220-H220)/H220</f>
        <v>1.2133468149646057E-2</v>
      </c>
      <c r="H221" s="714">
        <f>(H220-I220)/I220</f>
        <v>7.6765188834154396E-2</v>
      </c>
      <c r="I221" s="456"/>
      <c r="J221" s="316" t="str">
        <f ca="1">INDIRECT(ADDRESS( A222, B221,1, TRUE,"Dati"))</f>
        <v>NO</v>
      </c>
      <c r="K221" s="319">
        <f ca="1">INDIRECT(ADDRESS( A222, B221+1,1, TRUE,"Dati"))</f>
        <v>0</v>
      </c>
      <c r="L221" s="313">
        <f ca="1">Q221/Q$223</f>
        <v>0.10869565217391304</v>
      </c>
      <c r="M221" s="313">
        <f ca="1">L221-N221</f>
        <v>-3.083923154701719E-2</v>
      </c>
      <c r="N221" s="313">
        <v>0.13953488372093023</v>
      </c>
      <c r="O221" s="313">
        <f>N221-P221</f>
        <v>-7.4750830564784043E-2</v>
      </c>
      <c r="P221" s="313">
        <v>0.21428571428571427</v>
      </c>
      <c r="Q221" s="316">
        <f ca="1">INDIRECT(ADDRESS( $C221+1, A222+8,1, TRUE,"KPI4"))</f>
        <v>5</v>
      </c>
      <c r="R221" s="316">
        <v>6</v>
      </c>
      <c r="S221" s="316">
        <v>12</v>
      </c>
      <c r="T221" s="316">
        <v>17</v>
      </c>
      <c r="U221" s="632"/>
      <c r="AF221" s="29"/>
      <c r="AG221" s="29"/>
      <c r="AH221" s="29"/>
      <c r="AI221" s="29"/>
      <c r="AJ221" s="29"/>
      <c r="AK221" s="29"/>
    </row>
    <row r="222" spans="1:37">
      <c r="A222" s="453">
        <v>2</v>
      </c>
      <c r="B222" s="453">
        <f>B220</f>
        <v>111</v>
      </c>
      <c r="C222" s="454">
        <f>C220</f>
        <v>18</v>
      </c>
      <c r="D222" s="455"/>
      <c r="E222" s="455"/>
      <c r="F222" s="456"/>
      <c r="G222" s="457"/>
      <c r="H222" s="456"/>
      <c r="I222" s="456"/>
      <c r="J222" s="316" t="str">
        <f ca="1">INDIRECT(ADDRESS( A223, B222,1, TRUE,"Dati"))</f>
        <v>--</v>
      </c>
      <c r="K222" s="319">
        <f ca="1">INDIRECT(ADDRESS( A223, B222+1,1, TRUE,"Dati"))</f>
        <v>0</v>
      </c>
      <c r="L222" s="313">
        <f ca="1">Q222/Q$223</f>
        <v>0.13043478260869565</v>
      </c>
      <c r="M222" s="313">
        <f ca="1">L222-N222</f>
        <v>-9.1001011122345821E-3</v>
      </c>
      <c r="N222" s="313">
        <v>0.13953488372093023</v>
      </c>
      <c r="O222" s="313">
        <f>N222-P222</f>
        <v>-3.9036544850498345E-2</v>
      </c>
      <c r="P222" s="313">
        <v>0.17857142857142858</v>
      </c>
      <c r="Q222" s="316">
        <f ca="1">INDIRECT(ADDRESS( $C222+1, A223+8,1, TRUE,"KPI4"))</f>
        <v>6</v>
      </c>
      <c r="R222" s="316">
        <v>6</v>
      </c>
      <c r="S222" s="316">
        <v>10</v>
      </c>
      <c r="T222" s="316">
        <v>8</v>
      </c>
      <c r="U222" s="632"/>
      <c r="AF222" s="29"/>
      <c r="AG222" s="29"/>
      <c r="AH222" s="29"/>
      <c r="AI222" s="29"/>
      <c r="AJ222" s="29"/>
      <c r="AK222" s="29"/>
    </row>
    <row r="223" spans="1:37">
      <c r="A223" s="453">
        <v>1</v>
      </c>
      <c r="B223" s="453"/>
      <c r="C223" s="454"/>
      <c r="D223" s="455"/>
      <c r="E223" s="455"/>
      <c r="F223" s="456"/>
      <c r="G223" s="457"/>
      <c r="H223" s="456"/>
      <c r="I223" s="456"/>
      <c r="J223" s="314" t="s">
        <v>391</v>
      </c>
      <c r="K223" s="315"/>
      <c r="L223" s="313">
        <f ca="1">SUM(L220:L222)</f>
        <v>1</v>
      </c>
      <c r="M223" s="313"/>
      <c r="N223" s="313">
        <v>1</v>
      </c>
      <c r="O223" s="313"/>
      <c r="P223" s="313">
        <v>1</v>
      </c>
      <c r="Q223" s="315">
        <f ca="1">SUM(Q220:Q222)</f>
        <v>46</v>
      </c>
      <c r="R223" s="447">
        <v>43</v>
      </c>
      <c r="S223" s="447">
        <v>56</v>
      </c>
      <c r="T223" s="447">
        <v>59</v>
      </c>
      <c r="U223" s="463"/>
      <c r="AF223" s="29"/>
      <c r="AG223" s="29"/>
      <c r="AH223" s="29"/>
      <c r="AI223" s="29"/>
      <c r="AJ223" s="29"/>
      <c r="AK223" s="29"/>
    </row>
    <row r="224" spans="1:37">
      <c r="A224" s="453"/>
      <c r="B224" s="453">
        <f>B222+2</f>
        <v>113</v>
      </c>
      <c r="C224" s="453">
        <f>C222+2</f>
        <v>20</v>
      </c>
      <c r="D224" s="455">
        <f ca="1">INDIRECT(ADDRESS( C224, 2,1, TRUE,"KPI4"))</f>
        <v>54</v>
      </c>
      <c r="E224" s="455" t="str">
        <f ca="1">INDIRECT(ADDRESS( C224, 3,1, TRUE,"KPI4"))</f>
        <v>KPI 4.8a</v>
      </c>
      <c r="F224" s="464"/>
      <c r="G224" s="466"/>
      <c r="H224" s="464"/>
      <c r="I224" s="464"/>
      <c r="J224" s="316" t="str">
        <f ca="1">INDIRECT(ADDRESS( A172, B172,1, TRUE,"Dati"))</f>
        <v>La procedura è ben documentata</v>
      </c>
      <c r="K224" s="319">
        <f ca="1">INDIRECT(ADDRESS( A225, B224+1,1, TRUE,"Dati"))</f>
        <v>4</v>
      </c>
      <c r="L224" s="313">
        <f ca="1">Q224/Q$227</f>
        <v>0.73913043478260865</v>
      </c>
      <c r="M224" s="313">
        <f ca="1">L224-N224</f>
        <v>0.15773508594539931</v>
      </c>
      <c r="N224" s="313">
        <v>0.58139534883720934</v>
      </c>
      <c r="O224" s="313">
        <f>N224-P224</f>
        <v>-4.3604651162790664E-2</v>
      </c>
      <c r="P224" s="313">
        <v>0.625</v>
      </c>
      <c r="Q224" s="480">
        <f ca="1">INDIRECT(ADDRESS( $C224+1, A225+8,1, TRUE,"KPI4"))</f>
        <v>34</v>
      </c>
      <c r="R224" s="480">
        <v>25</v>
      </c>
      <c r="S224" s="480">
        <v>35</v>
      </c>
      <c r="T224" s="316">
        <v>36</v>
      </c>
      <c r="U224" s="455" t="str">
        <f ca="1">INDIRECT(ADDRESS( C224, 4,1, TRUE,"KPI4"))</f>
        <v>La procedura di backup è documentata?</v>
      </c>
      <c r="V224" s="393"/>
      <c r="X224" s="320"/>
      <c r="Y224" s="320"/>
      <c r="Z224" s="320"/>
      <c r="AA224" s="320"/>
      <c r="AF224" s="29"/>
      <c r="AG224" s="29"/>
      <c r="AH224" s="29"/>
      <c r="AI224" s="29"/>
      <c r="AJ224" s="29"/>
      <c r="AK224" s="29"/>
    </row>
    <row r="225" spans="1:37">
      <c r="A225" s="453">
        <v>4</v>
      </c>
      <c r="B225" s="453">
        <f>B224</f>
        <v>113</v>
      </c>
      <c r="C225" s="454">
        <f>C224</f>
        <v>20</v>
      </c>
      <c r="D225" s="455"/>
      <c r="E225" s="455"/>
      <c r="F225" s="456"/>
      <c r="G225" s="457"/>
      <c r="H225" s="456"/>
      <c r="I225" s="456"/>
      <c r="J225" s="316" t="str">
        <f ca="1">INDIRECT(ADDRESS( A226, B225,1, TRUE,"Dati"))</f>
        <v>No</v>
      </c>
      <c r="K225" s="319">
        <f ca="1">INDIRECT(ADDRESS( A226, B225+1,1, TRUE,"Dati"))</f>
        <v>0</v>
      </c>
      <c r="L225" s="313">
        <f ca="1">Q225/Q$227</f>
        <v>0.10869565217391304</v>
      </c>
      <c r="M225" s="313">
        <f ca="1">L225-N225</f>
        <v>-5.4095045500505576E-2</v>
      </c>
      <c r="N225" s="313">
        <v>0.16279069767441862</v>
      </c>
      <c r="O225" s="313">
        <f>N225-P225</f>
        <v>-1.5780730897009959E-2</v>
      </c>
      <c r="P225" s="313">
        <v>0.17857142857142858</v>
      </c>
      <c r="Q225" s="480">
        <f ca="1">INDIRECT(ADDRESS( $C225+1, A226+8,1, TRUE,"KPI4"))</f>
        <v>5</v>
      </c>
      <c r="R225" s="480">
        <v>7</v>
      </c>
      <c r="S225" s="480">
        <v>10</v>
      </c>
      <c r="T225" s="316">
        <v>12</v>
      </c>
      <c r="U225" s="463"/>
      <c r="AF225" s="29"/>
      <c r="AG225" s="29"/>
      <c r="AH225" s="29"/>
      <c r="AI225" s="29"/>
      <c r="AJ225" s="29"/>
      <c r="AK225" s="29"/>
    </row>
    <row r="226" spans="1:37">
      <c r="A226" s="453">
        <v>3</v>
      </c>
      <c r="B226" s="453">
        <f>B224</f>
        <v>113</v>
      </c>
      <c r="C226" s="454">
        <f>C224</f>
        <v>20</v>
      </c>
      <c r="D226" s="455"/>
      <c r="E226" s="455"/>
      <c r="F226" s="456"/>
      <c r="G226" s="457"/>
      <c r="H226" s="456"/>
      <c r="I226" s="456"/>
      <c r="J226" s="316" t="str">
        <f ca="1">INDIRECT(ADDRESS( A227, B226,1, TRUE,"Dati"))</f>
        <v>--</v>
      </c>
      <c r="K226" s="319">
        <f ca="1">INDIRECT(ADDRESS( A227, B226+1,1, TRUE,"Dati"))</f>
        <v>0</v>
      </c>
      <c r="L226" s="313">
        <f ca="1">Q226/Q$227</f>
        <v>0.15217391304347827</v>
      </c>
      <c r="M226" s="313">
        <f ca="1">L226-N226</f>
        <v>-0.10364004044489383</v>
      </c>
      <c r="N226" s="313">
        <v>0.2558139534883721</v>
      </c>
      <c r="O226" s="313">
        <f>N226-P226</f>
        <v>5.9385382059800679E-2</v>
      </c>
      <c r="P226" s="313">
        <v>0.19642857142857142</v>
      </c>
      <c r="Q226" s="316">
        <f ca="1">INDIRECT(ADDRESS( $C226+1, A227+8,1, TRUE,"KPI4"))</f>
        <v>7</v>
      </c>
      <c r="R226" s="316">
        <v>11</v>
      </c>
      <c r="S226" s="316">
        <v>11</v>
      </c>
      <c r="T226" s="316">
        <v>11</v>
      </c>
      <c r="U226" s="463"/>
      <c r="AF226" s="29"/>
      <c r="AG226" s="29"/>
      <c r="AH226" s="29"/>
      <c r="AI226" s="29"/>
      <c r="AJ226" s="29"/>
      <c r="AK226" s="29"/>
    </row>
    <row r="227" spans="1:37">
      <c r="A227" s="453">
        <v>1</v>
      </c>
      <c r="B227" s="453"/>
      <c r="C227" s="454"/>
      <c r="D227" s="455"/>
      <c r="E227" s="455"/>
      <c r="F227" s="456"/>
      <c r="G227" s="457"/>
      <c r="H227" s="456"/>
      <c r="I227" s="456"/>
      <c r="J227" s="314" t="s">
        <v>391</v>
      </c>
      <c r="K227" s="315"/>
      <c r="L227" s="313">
        <f ca="1">SUM(L224:L226)</f>
        <v>1</v>
      </c>
      <c r="M227" s="313"/>
      <c r="N227" s="313">
        <v>1</v>
      </c>
      <c r="O227" s="313"/>
      <c r="P227" s="313">
        <v>1</v>
      </c>
      <c r="Q227" s="315">
        <f ca="1">SUM(Q224:Q226)</f>
        <v>46</v>
      </c>
      <c r="R227" s="447">
        <v>43</v>
      </c>
      <c r="S227" s="447">
        <v>56</v>
      </c>
      <c r="T227" s="447">
        <v>59</v>
      </c>
      <c r="U227" s="463"/>
      <c r="AF227" s="29"/>
      <c r="AG227" s="29"/>
      <c r="AH227" s="29"/>
      <c r="AI227" s="29"/>
      <c r="AJ227" s="29"/>
      <c r="AK227" s="29"/>
    </row>
    <row r="228" spans="1:37">
      <c r="A228" s="453"/>
      <c r="B228" s="453"/>
      <c r="C228" s="454"/>
      <c r="D228" s="455"/>
      <c r="E228" s="455"/>
      <c r="F228" s="456"/>
      <c r="G228" s="457"/>
      <c r="H228" s="456"/>
      <c r="I228" s="456"/>
      <c r="J228" s="318"/>
      <c r="K228" s="319"/>
      <c r="L228" s="313"/>
      <c r="M228" s="313"/>
      <c r="N228" s="313"/>
      <c r="O228" s="313"/>
      <c r="P228" s="313"/>
      <c r="Q228" s="316"/>
      <c r="R228" s="316"/>
      <c r="S228" s="316"/>
      <c r="T228" s="316"/>
      <c r="U228" s="463"/>
      <c r="AF228" s="29"/>
      <c r="AG228" s="29"/>
      <c r="AH228" s="29"/>
      <c r="AI228" s="29"/>
      <c r="AJ228" s="29"/>
      <c r="AK228" s="29"/>
    </row>
    <row r="229" spans="1:37">
      <c r="A229" s="453"/>
      <c r="B229" s="453">
        <f>B226+2</f>
        <v>115</v>
      </c>
      <c r="C229" s="453">
        <f>C226+2</f>
        <v>22</v>
      </c>
      <c r="D229" s="455">
        <f ca="1">INDIRECT(ADDRESS( C229, 2,1, TRUE,"KPI4"))</f>
        <v>55</v>
      </c>
      <c r="E229" s="455" t="str">
        <f ca="1">INDIRECT(ADDRESS( C229, 3,1, TRUE,"KPI4"))</f>
        <v>KPI 4.9</v>
      </c>
      <c r="F229" s="464">
        <f ca="1">'Quesiti x SI'!AP52</f>
        <v>8.0434782608695645</v>
      </c>
      <c r="G229" s="713">
        <f>'Risultati 2009'!$AP$52</f>
        <v>6.4347826086956523</v>
      </c>
      <c r="H229" s="713">
        <f>'Risultati 2008'!$AP$62</f>
        <v>7.3214285714285712</v>
      </c>
      <c r="I229" s="713">
        <f>'Risultati 2007'!$AP$67</f>
        <v>7.081967213114754</v>
      </c>
      <c r="J229" s="316" t="str">
        <f ca="1">INDIRECT(ADDRESS( A230, B229,1, TRUE,"Dati"))</f>
        <v>Solo personale interno</v>
      </c>
      <c r="K229" s="319">
        <f ca="1">INDIRECT(ADDRESS( A230, B229+1,1, TRUE,"Dati"))</f>
        <v>10</v>
      </c>
      <c r="L229" s="313">
        <f ca="1">Q229/Q$223</f>
        <v>0.73913043478260865</v>
      </c>
      <c r="M229" s="313">
        <f ca="1">L229-N229</f>
        <v>0.15773508594539931</v>
      </c>
      <c r="N229" s="313">
        <v>0.58139534883720934</v>
      </c>
      <c r="O229" s="313">
        <f>N229-P229</f>
        <v>-4.3604651162790664E-2</v>
      </c>
      <c r="P229" s="313">
        <v>0.625</v>
      </c>
      <c r="Q229" s="316">
        <f ca="1">INDIRECT(ADDRESS( $C229+1, A230+8,1, TRUE,"KPI4"))</f>
        <v>34</v>
      </c>
      <c r="R229" s="316">
        <v>25</v>
      </c>
      <c r="S229" s="316">
        <v>35</v>
      </c>
      <c r="T229" s="316">
        <v>36</v>
      </c>
      <c r="U229" s="631" t="str">
        <f ca="1">INDIRECT(ADDRESS( C229, 4,1, TRUE,"KPI4"))</f>
        <v>Che tipo di personale viene impiegato per la gestione e l'amministrazione della sicurezza del sistema informativo ?</v>
      </c>
      <c r="AF229" s="29"/>
      <c r="AG229" s="29"/>
      <c r="AH229" s="29"/>
      <c r="AI229" s="29"/>
      <c r="AJ229" s="29"/>
      <c r="AK229" s="29"/>
    </row>
    <row r="230" spans="1:37">
      <c r="A230" s="453">
        <v>4</v>
      </c>
      <c r="B230" s="453">
        <f>B229</f>
        <v>115</v>
      </c>
      <c r="C230" s="454">
        <f>C229</f>
        <v>22</v>
      </c>
      <c r="D230" s="455"/>
      <c r="E230" s="455"/>
      <c r="F230" s="714">
        <f ca="1">(F229-G229)/G229</f>
        <v>0.24999999999999986</v>
      </c>
      <c r="G230" s="714">
        <f>(G229-H229)/H229</f>
        <v>-0.12110286320254501</v>
      </c>
      <c r="H230" s="714">
        <f>(H229-I229)/I229</f>
        <v>3.3812830687830669E-2</v>
      </c>
      <c r="I230" s="456"/>
      <c r="J230" s="316" t="str">
        <f ca="1">INDIRECT(ADDRESS( A231, B230,1, TRUE,"Dati"))</f>
        <v>Personale misto</v>
      </c>
      <c r="K230" s="319">
        <f ca="1">INDIRECT(ADDRESS( A231, B230+1,1, TRUE,"Dati"))</f>
        <v>6</v>
      </c>
      <c r="L230" s="313">
        <f ca="1">Q230/Q$223</f>
        <v>0.10869565217391304</v>
      </c>
      <c r="M230" s="313">
        <f ca="1">L230-N230</f>
        <v>-5.4095045500505576E-2</v>
      </c>
      <c r="N230" s="313">
        <v>0.16279069767441862</v>
      </c>
      <c r="O230" s="313">
        <f>N230-P230</f>
        <v>-1.5780730897009959E-2</v>
      </c>
      <c r="P230" s="313">
        <v>0.17857142857142858</v>
      </c>
      <c r="Q230" s="316">
        <f ca="1">INDIRECT(ADDRESS( $C230+1, A231+8,1, TRUE,"KPI4"))</f>
        <v>5</v>
      </c>
      <c r="R230" s="316">
        <v>7</v>
      </c>
      <c r="S230" s="316">
        <v>10</v>
      </c>
      <c r="T230" s="316">
        <v>12</v>
      </c>
      <c r="U230" s="632"/>
      <c r="AF230" s="29"/>
      <c r="AG230" s="29"/>
      <c r="AH230" s="29"/>
      <c r="AI230" s="29"/>
      <c r="AJ230" s="29"/>
      <c r="AK230" s="29"/>
    </row>
    <row r="231" spans="1:37">
      <c r="A231" s="453">
        <v>3</v>
      </c>
      <c r="B231" s="453">
        <f>B230</f>
        <v>115</v>
      </c>
      <c r="C231" s="454">
        <f>C230</f>
        <v>22</v>
      </c>
      <c r="D231" s="455"/>
      <c r="E231" s="455"/>
      <c r="F231" s="456"/>
      <c r="G231" s="457"/>
      <c r="H231" s="456"/>
      <c r="I231" s="456"/>
      <c r="J231" s="316" t="str">
        <f ca="1">INDIRECT(ADDRESS( A232, B231,1, TRUE,"Dati"))</f>
        <v>Outsourcing per la gestione sicurezza</v>
      </c>
      <c r="K231" s="319">
        <f ca="1">INDIRECT(ADDRESS( A232, B231+1,1, TRUE,"Dati"))</f>
        <v>0</v>
      </c>
      <c r="L231" s="313">
        <f ca="1">Q231/Q$223</f>
        <v>0</v>
      </c>
      <c r="M231" s="313">
        <f ca="1">L231-N231</f>
        <v>0</v>
      </c>
      <c r="N231" s="313">
        <v>0</v>
      </c>
      <c r="O231" s="313">
        <f>N231-P231</f>
        <v>0</v>
      </c>
      <c r="P231" s="313">
        <v>0</v>
      </c>
      <c r="Q231" s="316">
        <f ca="1">INDIRECT(ADDRESS( $C231+1, A232+8,1, TRUE,"KPI4"))</f>
        <v>0</v>
      </c>
      <c r="R231" s="316">
        <v>0</v>
      </c>
      <c r="S231" s="316">
        <v>0</v>
      </c>
      <c r="T231" s="316">
        <v>0</v>
      </c>
      <c r="U231" s="632"/>
      <c r="AF231" s="29"/>
      <c r="AG231" s="29"/>
      <c r="AH231" s="29"/>
      <c r="AI231" s="29"/>
      <c r="AJ231" s="29"/>
      <c r="AK231" s="29"/>
    </row>
    <row r="232" spans="1:37">
      <c r="A232" s="453">
        <v>2</v>
      </c>
      <c r="B232" s="453">
        <f>B230</f>
        <v>115</v>
      </c>
      <c r="C232" s="454">
        <f>C231</f>
        <v>22</v>
      </c>
      <c r="D232" s="455"/>
      <c r="E232" s="455"/>
      <c r="F232" s="456"/>
      <c r="G232" s="457"/>
      <c r="H232" s="456"/>
      <c r="I232" s="456"/>
      <c r="J232" s="316" t="str">
        <f ca="1">INDIRECT(ADDRESS( A233, B232,1, TRUE,"Dati"))</f>
        <v>--</v>
      </c>
      <c r="K232" s="319">
        <f ca="1">INDIRECT(ADDRESS( A233, B232+1,1, TRUE,"Dati"))</f>
        <v>0</v>
      </c>
      <c r="L232" s="313">
        <f ca="1">Q232/Q$223</f>
        <v>0.15217391304347827</v>
      </c>
      <c r="M232" s="313">
        <f ca="1">L232-N232</f>
        <v>-0.10364004044489383</v>
      </c>
      <c r="N232" s="313">
        <v>0.2558139534883721</v>
      </c>
      <c r="O232" s="313">
        <f>N232-P232</f>
        <v>5.9385382059800679E-2</v>
      </c>
      <c r="P232" s="313">
        <v>0.19642857142857142</v>
      </c>
      <c r="Q232" s="316">
        <f ca="1">INDIRECT(ADDRESS( $C232+1, A233+8,1, TRUE,"KPI4"))</f>
        <v>7</v>
      </c>
      <c r="R232" s="316">
        <v>11</v>
      </c>
      <c r="S232" s="316">
        <v>11</v>
      </c>
      <c r="T232" s="316">
        <v>11</v>
      </c>
      <c r="U232" s="632"/>
      <c r="AF232" s="29"/>
      <c r="AG232" s="29"/>
      <c r="AH232" s="29"/>
      <c r="AI232" s="29"/>
      <c r="AJ232" s="29"/>
      <c r="AK232" s="29"/>
    </row>
    <row r="233" spans="1:37">
      <c r="A233" s="453">
        <v>1</v>
      </c>
      <c r="B233" s="453"/>
      <c r="C233" s="454"/>
      <c r="D233" s="455"/>
      <c r="E233" s="455"/>
      <c r="F233" s="456"/>
      <c r="G233" s="457"/>
      <c r="H233" s="456"/>
      <c r="I233" s="456"/>
      <c r="J233" s="314" t="s">
        <v>391</v>
      </c>
      <c r="K233" s="315"/>
      <c r="L233" s="313">
        <f ca="1">SUM(L229:L232)</f>
        <v>1</v>
      </c>
      <c r="M233" s="313"/>
      <c r="N233" s="313">
        <v>1</v>
      </c>
      <c r="O233" s="313"/>
      <c r="P233" s="313">
        <v>1</v>
      </c>
      <c r="Q233" s="315">
        <f ca="1">SUM(Q229:Q232)</f>
        <v>46</v>
      </c>
      <c r="R233" s="447">
        <v>43</v>
      </c>
      <c r="S233" s="447">
        <v>56</v>
      </c>
      <c r="T233" s="447">
        <v>59</v>
      </c>
      <c r="U233" s="463"/>
      <c r="AF233" s="29"/>
      <c r="AG233" s="29"/>
      <c r="AH233" s="29"/>
      <c r="AI233" s="29"/>
      <c r="AJ233" s="29"/>
      <c r="AK233" s="29"/>
    </row>
    <row r="234" spans="1:37">
      <c r="A234" s="453"/>
      <c r="B234" s="453">
        <f>B231+2</f>
        <v>117</v>
      </c>
      <c r="C234" s="453">
        <f>C231+2</f>
        <v>24</v>
      </c>
      <c r="D234" s="455">
        <f ca="1">INDIRECT(ADDRESS( C234, 2,1, TRUE,"KPI4"))</f>
        <v>56</v>
      </c>
      <c r="E234" s="455" t="str">
        <f ca="1">INDIRECT(ADDRESS( C234, 3,1, TRUE,"KPI4"))</f>
        <v>KPI 4.9a</v>
      </c>
      <c r="F234" s="464"/>
      <c r="G234" s="466"/>
      <c r="H234" s="464"/>
      <c r="I234" s="464"/>
      <c r="J234" s="316" t="str">
        <f ca="1">INDIRECT(ADDRESS( A235, B234,1, TRUE,"Dati"))</f>
        <v>Previsto audit</v>
      </c>
      <c r="K234" s="319">
        <f ca="1">INDIRECT(ADDRESS( A235, B234+1,1, TRUE,"Dati"))</f>
        <v>5</v>
      </c>
      <c r="L234" s="313">
        <f ca="1">Q234/(Q$230+Q$231)</f>
        <v>0.2</v>
      </c>
      <c r="M234" s="313">
        <f ca="1">L234-N234</f>
        <v>-0.22857142857142854</v>
      </c>
      <c r="N234" s="313">
        <v>0.42857142857142855</v>
      </c>
      <c r="O234" s="313">
        <f>N234-P234</f>
        <v>0.32857142857142851</v>
      </c>
      <c r="P234" s="313">
        <v>0.1</v>
      </c>
      <c r="Q234" s="316">
        <f ca="1">INDIRECT(ADDRESS( $C234+1, A235+8,1, TRUE,"KPI4"))</f>
        <v>1</v>
      </c>
      <c r="R234" s="316">
        <v>3</v>
      </c>
      <c r="S234" s="316">
        <v>1</v>
      </c>
      <c r="T234" s="316">
        <v>4</v>
      </c>
      <c r="U234" s="631" t="str">
        <f ca="1">INDIRECT(ADDRESS( C234, 4,1, TRUE,"KPI4"))</f>
        <v>Se esiste un contratto di outsourcing, il contratto prevede che l'amministrazione appaltante effettui verifiche su come è gestita la sicurezza ?</v>
      </c>
      <c r="AF234" s="29"/>
      <c r="AG234" s="29"/>
      <c r="AH234" s="29"/>
      <c r="AI234" s="29"/>
      <c r="AJ234" s="29"/>
      <c r="AK234" s="29"/>
    </row>
    <row r="235" spans="1:37">
      <c r="A235" s="453">
        <v>2</v>
      </c>
      <c r="B235" s="453">
        <f>B234</f>
        <v>117</v>
      </c>
      <c r="C235" s="454">
        <f>C234</f>
        <v>24</v>
      </c>
      <c r="D235" s="455"/>
      <c r="E235" s="455"/>
      <c r="F235" s="456"/>
      <c r="G235" s="457"/>
      <c r="H235" s="456"/>
      <c r="I235" s="456"/>
      <c r="J235" s="316" t="str">
        <f ca="1">INDIRECT(ADDRESS( A236, B235,1, TRUE,"Dati"))</f>
        <v>Non previsto audit</v>
      </c>
      <c r="K235" s="319">
        <f ca="1">INDIRECT(ADDRESS( A236, B235+1,1, TRUE,"Dati"))</f>
        <v>0</v>
      </c>
      <c r="L235" s="313">
        <f ca="1">Q235/(Q$230+Q$231)</f>
        <v>0.6</v>
      </c>
      <c r="M235" s="313">
        <f ca="1">L235-N235</f>
        <v>2.8571428571428581E-2</v>
      </c>
      <c r="N235" s="313">
        <v>0.5714285714285714</v>
      </c>
      <c r="O235" s="313">
        <f>N235-P235</f>
        <v>-2.8571428571428581E-2</v>
      </c>
      <c r="P235" s="313">
        <v>0.6</v>
      </c>
      <c r="Q235" s="475">
        <f ca="1">(Q230+Q231)-(Q234+Q236)</f>
        <v>3</v>
      </c>
      <c r="R235" s="475">
        <v>4</v>
      </c>
      <c r="S235" s="475">
        <v>6</v>
      </c>
      <c r="T235" s="316">
        <v>8</v>
      </c>
      <c r="U235" s="632"/>
      <c r="AF235" s="29"/>
      <c r="AG235" s="29"/>
      <c r="AH235" s="29"/>
      <c r="AI235" s="29"/>
      <c r="AJ235" s="29"/>
      <c r="AK235" s="29"/>
    </row>
    <row r="236" spans="1:37">
      <c r="A236" s="453">
        <v>3</v>
      </c>
      <c r="B236" s="453">
        <f>B235</f>
        <v>117</v>
      </c>
      <c r="C236" s="454">
        <f>C235</f>
        <v>24</v>
      </c>
      <c r="D236" s="455"/>
      <c r="E236" s="455"/>
      <c r="F236" s="456"/>
      <c r="G236" s="457"/>
      <c r="H236" s="456"/>
      <c r="I236" s="456"/>
      <c r="J236" s="316" t="str">
        <f ca="1">INDIRECT(ADDRESS( A237, B236,1, TRUE,"Dati"))</f>
        <v>--</v>
      </c>
      <c r="K236" s="319">
        <f ca="1">INDIRECT(ADDRESS( A237, B236+1,1, TRUE,"Dati"))</f>
        <v>0</v>
      </c>
      <c r="L236" s="313">
        <f ca="1">Q236/(Q$230+Q$231)</f>
        <v>0.2</v>
      </c>
      <c r="M236" s="313">
        <f ca="1">L236-N236</f>
        <v>0.2</v>
      </c>
      <c r="N236" s="313">
        <v>0</v>
      </c>
      <c r="O236" s="313">
        <f>N236-P236</f>
        <v>-0.3</v>
      </c>
      <c r="P236" s="313">
        <v>0.3</v>
      </c>
      <c r="Q236" s="316">
        <f ca="1">INDIRECT(ADDRESS( $C236+1, A237+8,1, TRUE,"KPI4"))</f>
        <v>1</v>
      </c>
      <c r="R236" s="316">
        <v>0</v>
      </c>
      <c r="S236" s="316">
        <v>3</v>
      </c>
      <c r="T236" s="316">
        <v>0</v>
      </c>
      <c r="U236" s="632"/>
      <c r="AF236" s="29"/>
      <c r="AG236" s="29"/>
      <c r="AH236" s="29"/>
      <c r="AI236" s="29"/>
      <c r="AJ236" s="29"/>
      <c r="AK236" s="29"/>
    </row>
    <row r="237" spans="1:37">
      <c r="A237" s="453">
        <v>1</v>
      </c>
      <c r="B237" s="453"/>
      <c r="C237" s="454"/>
      <c r="D237" s="455"/>
      <c r="E237" s="455"/>
      <c r="F237" s="456"/>
      <c r="G237" s="457"/>
      <c r="H237" s="456"/>
      <c r="I237" s="456"/>
      <c r="J237" s="314" t="s">
        <v>391</v>
      </c>
      <c r="K237" s="315"/>
      <c r="L237" s="313">
        <f ca="1">SUM(L234:L236)</f>
        <v>1</v>
      </c>
      <c r="M237" s="313"/>
      <c r="N237" s="313">
        <v>1</v>
      </c>
      <c r="O237" s="313"/>
      <c r="P237" s="313">
        <v>1</v>
      </c>
      <c r="Q237" s="315">
        <f ca="1">SUM(Q234:Q236)</f>
        <v>5</v>
      </c>
      <c r="R237" s="447">
        <v>7</v>
      </c>
      <c r="S237" s="447">
        <v>10</v>
      </c>
      <c r="T237" s="447">
        <v>12</v>
      </c>
      <c r="U237" s="463"/>
      <c r="AF237" s="29"/>
      <c r="AG237" s="29"/>
      <c r="AH237" s="29"/>
      <c r="AI237" s="29"/>
      <c r="AJ237" s="29"/>
      <c r="AK237" s="29"/>
    </row>
    <row r="238" spans="1:37">
      <c r="A238" s="453"/>
      <c r="B238" s="453">
        <f>B235+2</f>
        <v>119</v>
      </c>
      <c r="C238" s="453">
        <f>C235+2</f>
        <v>26</v>
      </c>
      <c r="D238" s="455">
        <f ca="1">INDIRECT(ADDRESS( C238, 2,1, TRUE,"KPI4"))</f>
        <v>57</v>
      </c>
      <c r="E238" s="455" t="str">
        <f ca="1">INDIRECT(ADDRESS( C238, 3,1, TRUE,"KPI4"))</f>
        <v>KPI 4.9b</v>
      </c>
      <c r="F238" s="464"/>
      <c r="G238" s="466"/>
      <c r="H238" s="464"/>
      <c r="I238" s="464"/>
      <c r="J238" s="316" t="str">
        <f ca="1">INDIRECT(ADDRESS( A239, B238,1, TRUE,"Dati"))</f>
        <v>SI</v>
      </c>
      <c r="K238" s="319">
        <f ca="1">INDIRECT(ADDRESS( A239, B238+1,1, TRUE,"Dati"))</f>
        <v>5</v>
      </c>
      <c r="L238" s="313">
        <f ca="1">Q238/(Q$230+Q$231)</f>
        <v>0</v>
      </c>
      <c r="M238" s="313">
        <f ca="1">L238-N238</f>
        <v>-0.14285714285714285</v>
      </c>
      <c r="N238" s="313">
        <v>0.14285714285714285</v>
      </c>
      <c r="O238" s="313">
        <f>N238-P238</f>
        <v>0.14285714285714285</v>
      </c>
      <c r="P238" s="313">
        <v>0</v>
      </c>
      <c r="Q238" s="316">
        <f ca="1">INDIRECT(ADDRESS( $C238+1, A239+8,1, TRUE,"KPI4"))</f>
        <v>0</v>
      </c>
      <c r="R238" s="316">
        <v>1</v>
      </c>
      <c r="S238" s="316">
        <v>0</v>
      </c>
      <c r="T238" s="316">
        <v>4</v>
      </c>
      <c r="U238" s="631" t="str">
        <f ca="1">INDIRECT(ADDRESS( C238, 4,1, TRUE,"KPI4"))</f>
        <v>Se è previsto l'audit della gestione della sicurezza dell'outsourcer, l'audit viene effettuato con regolarità ?</v>
      </c>
      <c r="AF238" s="29"/>
      <c r="AG238" s="29"/>
      <c r="AH238" s="29"/>
      <c r="AI238" s="29"/>
      <c r="AJ238" s="29"/>
      <c r="AK238" s="29"/>
    </row>
    <row r="239" spans="1:37">
      <c r="A239" s="453">
        <v>3</v>
      </c>
      <c r="B239" s="453">
        <f>B238</f>
        <v>119</v>
      </c>
      <c r="C239" s="454">
        <f>C238</f>
        <v>26</v>
      </c>
      <c r="D239" s="455"/>
      <c r="E239" s="455"/>
      <c r="F239" s="456"/>
      <c r="G239" s="457"/>
      <c r="H239" s="456"/>
      <c r="I239" s="456"/>
      <c r="J239" s="316" t="str">
        <f ca="1">INDIRECT(ADDRESS( A240, B239,1, TRUE,"Dati"))</f>
        <v>NO</v>
      </c>
      <c r="K239" s="319">
        <f ca="1">INDIRECT(ADDRESS( A240, B239+1,1, TRUE,"Dati"))</f>
        <v>0</v>
      </c>
      <c r="L239" s="313">
        <f ca="1">Q239/(Q$230+Q$231)</f>
        <v>0.4</v>
      </c>
      <c r="M239" s="313">
        <f ca="1">L239-N239</f>
        <v>-2.8571428571428525E-2</v>
      </c>
      <c r="N239" s="313">
        <v>0.42857142857142855</v>
      </c>
      <c r="O239" s="313">
        <f>N239-P239</f>
        <v>0.42857142857142855</v>
      </c>
      <c r="P239" s="313">
        <f>T239/T241</f>
        <v>0</v>
      </c>
      <c r="Q239" s="480">
        <f ca="1">INDIRECT(ADDRESS( $C239+1, A240+8,1, TRUE,"KPI4"))</f>
        <v>2</v>
      </c>
      <c r="R239" s="480">
        <v>3</v>
      </c>
      <c r="S239" s="480">
        <v>1</v>
      </c>
      <c r="T239" s="316">
        <v>0</v>
      </c>
      <c r="U239" s="632"/>
      <c r="AF239" s="29"/>
      <c r="AG239" s="29"/>
      <c r="AH239" s="29"/>
      <c r="AI239" s="29"/>
      <c r="AJ239" s="29"/>
      <c r="AK239" s="29"/>
    </row>
    <row r="240" spans="1:37">
      <c r="A240" s="453">
        <v>2</v>
      </c>
      <c r="B240" s="453">
        <f>B239</f>
        <v>119</v>
      </c>
      <c r="C240" s="454">
        <f>C239</f>
        <v>26</v>
      </c>
      <c r="D240" s="455"/>
      <c r="E240" s="455"/>
      <c r="F240" s="456"/>
      <c r="G240" s="457"/>
      <c r="H240" s="456"/>
      <c r="I240" s="456"/>
      <c r="J240" s="316" t="str">
        <f ca="1">INDIRECT(ADDRESS( A241, B240,1, TRUE,"Dati"))</f>
        <v>--</v>
      </c>
      <c r="K240" s="319">
        <f ca="1">INDIRECT(ADDRESS( A241, B240+1,1, TRUE,"Dati"))</f>
        <v>0</v>
      </c>
      <c r="L240" s="313">
        <f ca="1">Q240/(Q$230+Q$231)</f>
        <v>0.6</v>
      </c>
      <c r="M240" s="313">
        <f ca="1">L240-N240</f>
        <v>0.17142857142857143</v>
      </c>
      <c r="N240" s="313">
        <v>0.42857142857142855</v>
      </c>
      <c r="O240" s="313">
        <f>N240-P240</f>
        <v>-0.23809523809523808</v>
      </c>
      <c r="P240" s="313">
        <f>T240/T241</f>
        <v>0.66666666666666663</v>
      </c>
      <c r="Q240" s="475">
        <f ca="1">(Q230+Q231)-(Q238+Q239)</f>
        <v>3</v>
      </c>
      <c r="R240" s="475">
        <v>3</v>
      </c>
      <c r="S240" s="475">
        <v>10</v>
      </c>
      <c r="T240" s="316">
        <v>8</v>
      </c>
      <c r="U240" s="632"/>
      <c r="AF240" s="29"/>
      <c r="AG240" s="29"/>
      <c r="AH240" s="29"/>
      <c r="AI240" s="29"/>
      <c r="AJ240" s="29"/>
      <c r="AK240" s="29"/>
    </row>
    <row r="241" spans="1:37">
      <c r="A241" s="453">
        <v>1</v>
      </c>
      <c r="B241" s="453"/>
      <c r="C241" s="454"/>
      <c r="D241" s="455"/>
      <c r="E241" s="455"/>
      <c r="F241" s="456"/>
      <c r="G241" s="457"/>
      <c r="H241" s="456"/>
      <c r="I241" s="456"/>
      <c r="J241" s="314" t="s">
        <v>391</v>
      </c>
      <c r="K241" s="315"/>
      <c r="L241" s="313">
        <f ca="1">SUM(L238:L240)</f>
        <v>1</v>
      </c>
      <c r="M241" s="313"/>
      <c r="N241" s="313">
        <v>1</v>
      </c>
      <c r="O241" s="313"/>
      <c r="P241" s="313">
        <f>SUM(P238:P240)</f>
        <v>0.66666666666666663</v>
      </c>
      <c r="Q241" s="315">
        <f ca="1">SUM(Q238:Q240)</f>
        <v>5</v>
      </c>
      <c r="R241" s="447">
        <v>7</v>
      </c>
      <c r="S241" s="447">
        <v>11</v>
      </c>
      <c r="T241" s="447">
        <v>12</v>
      </c>
      <c r="U241" s="463"/>
      <c r="AF241" s="29"/>
      <c r="AG241" s="29"/>
      <c r="AH241" s="29"/>
      <c r="AI241" s="29"/>
      <c r="AJ241" s="29"/>
      <c r="AK241" s="29"/>
    </row>
    <row r="242" spans="1:37">
      <c r="A242" s="453"/>
      <c r="B242" s="453"/>
      <c r="C242" s="454"/>
      <c r="D242" s="455"/>
      <c r="E242" s="455"/>
      <c r="F242" s="456"/>
      <c r="G242" s="457"/>
      <c r="H242" s="456"/>
      <c r="I242" s="456"/>
      <c r="J242" s="314"/>
      <c r="K242" s="315"/>
      <c r="L242" s="313"/>
      <c r="M242" s="313"/>
      <c r="N242" s="313"/>
      <c r="O242" s="313"/>
      <c r="P242" s="313"/>
      <c r="Q242" s="315"/>
      <c r="R242" s="447"/>
      <c r="S242" s="447"/>
      <c r="T242" s="316"/>
      <c r="U242" s="463"/>
      <c r="AF242" s="29"/>
      <c r="AG242" s="29"/>
      <c r="AH242" s="29"/>
      <c r="AI242" s="29"/>
      <c r="AJ242" s="29"/>
      <c r="AK242" s="29"/>
    </row>
    <row r="243" spans="1:37">
      <c r="A243" s="453"/>
      <c r="B243" s="453">
        <f>B239+2</f>
        <v>121</v>
      </c>
      <c r="C243" s="453">
        <f>C239+2</f>
        <v>28</v>
      </c>
      <c r="D243" s="455">
        <f ca="1">INDIRECT(ADDRESS( C243, 2,1, TRUE,"KPI4"))</f>
        <v>58</v>
      </c>
      <c r="E243" s="455" t="str">
        <f ca="1">INDIRECT(ADDRESS( C243, 3,1, TRUE,"KPI4"))</f>
        <v>KPI 4.10</v>
      </c>
      <c r="F243" s="464">
        <f ca="1">'Quesiti x SI'!AQ52</f>
        <v>2.7826086956521738</v>
      </c>
      <c r="G243" s="713">
        <f>'Risultati 2009'!$AQ$52</f>
        <v>2.5652173913043477</v>
      </c>
      <c r="H243" s="713">
        <f>'Risultati 2008'!$AQ$62</f>
        <v>2.1071428571428572</v>
      </c>
      <c r="I243" s="713">
        <f>'Risultati 2007'!$AQ$67</f>
        <v>2.1967213114754101</v>
      </c>
      <c r="J243" s="316" t="str">
        <f ca="1">INDIRECT(ADDRESS( A244, B243,1, TRUE,"Dati"))</f>
        <v>SI</v>
      </c>
      <c r="K243" s="319">
        <f ca="1">INDIRECT(ADDRESS( A244, B243+1,1, TRUE,"Dati"))</f>
        <v>4</v>
      </c>
      <c r="L243" s="313">
        <f ca="1">Q243/Q$246</f>
        <v>0.41304347826086957</v>
      </c>
      <c r="M243" s="313">
        <f ca="1">L243-N243</f>
        <v>1.7694641051567261E-2</v>
      </c>
      <c r="N243" s="313">
        <v>0.39534883720930231</v>
      </c>
      <c r="O243" s="313">
        <f>N243-P243</f>
        <v>7.3920265780730854E-2</v>
      </c>
      <c r="P243" s="313">
        <v>0.32142857142857145</v>
      </c>
      <c r="Q243" s="316">
        <f ca="1">INDIRECT(ADDRESS( $C243+1, A244+8,1, TRUE,"KPI4"))</f>
        <v>19</v>
      </c>
      <c r="R243" s="316">
        <v>17</v>
      </c>
      <c r="S243" s="316">
        <v>18</v>
      </c>
      <c r="T243" s="316">
        <v>20</v>
      </c>
      <c r="U243" s="631" t="str">
        <f ca="1">INDIRECT(ADDRESS( C243, 4,1, TRUE,"KPI4"))</f>
        <v>Esiste una previsione di spesa dedicata specificatamente alla sicurezza ?</v>
      </c>
      <c r="AF243" s="29"/>
      <c r="AG243" s="29"/>
      <c r="AH243" s="29"/>
      <c r="AI243" s="29"/>
      <c r="AJ243" s="29"/>
      <c r="AK243" s="29"/>
    </row>
    <row r="244" spans="1:37">
      <c r="A244" s="453">
        <v>3</v>
      </c>
      <c r="B244" s="453">
        <f>B243</f>
        <v>121</v>
      </c>
      <c r="C244" s="454">
        <f>C243</f>
        <v>28</v>
      </c>
      <c r="D244" s="455"/>
      <c r="E244" s="455"/>
      <c r="F244" s="714">
        <f ca="1">(F243-G243)/G243</f>
        <v>8.4745762711864445E-2</v>
      </c>
      <c r="G244" s="714">
        <f>(G243-H243)/H243</f>
        <v>0.21739130434782597</v>
      </c>
      <c r="H244" s="714">
        <f>(H243-I243)/I243</f>
        <v>-4.0778251599147185E-2</v>
      </c>
      <c r="I244" s="456"/>
      <c r="J244" s="316" t="str">
        <f ca="1">INDIRECT(ADDRESS( A245, B244,1, TRUE,"Dati"))</f>
        <v>NO</v>
      </c>
      <c r="K244" s="319">
        <f ca="1">INDIRECT(ADDRESS( A245, B244+1,1, TRUE,"Dati"))</f>
        <v>0</v>
      </c>
      <c r="L244" s="313">
        <f ca="1">Q244/Q$246</f>
        <v>0.36956521739130432</v>
      </c>
      <c r="M244" s="313">
        <f ca="1">L244-N244</f>
        <v>-2.5783619817997983E-2</v>
      </c>
      <c r="N244" s="313">
        <v>0.39534883720930231</v>
      </c>
      <c r="O244" s="313">
        <f>N244-P244</f>
        <v>-0.10465116279069769</v>
      </c>
      <c r="P244" s="313">
        <v>0.5</v>
      </c>
      <c r="Q244" s="316">
        <f ca="1">INDIRECT(ADDRESS( $C244+1, A245+8,1, TRUE,"KPI4"))</f>
        <v>17</v>
      </c>
      <c r="R244" s="316">
        <v>17</v>
      </c>
      <c r="S244" s="316">
        <v>28</v>
      </c>
      <c r="T244" s="316">
        <v>31</v>
      </c>
      <c r="U244" s="632"/>
      <c r="AF244" s="29"/>
      <c r="AG244" s="29"/>
      <c r="AH244" s="29"/>
      <c r="AI244" s="29"/>
      <c r="AJ244" s="29"/>
      <c r="AK244" s="29"/>
    </row>
    <row r="245" spans="1:37">
      <c r="A245" s="453">
        <v>2</v>
      </c>
      <c r="B245" s="453">
        <f>B243</f>
        <v>121</v>
      </c>
      <c r="C245" s="454">
        <f>C243</f>
        <v>28</v>
      </c>
      <c r="D245" s="455"/>
      <c r="E245" s="455"/>
      <c r="F245" s="456"/>
      <c r="G245" s="457"/>
      <c r="H245" s="456"/>
      <c r="I245" s="456"/>
      <c r="J245" s="316" t="str">
        <f ca="1">INDIRECT(ADDRESS( A246, B245,1, TRUE,"Dati"))</f>
        <v>--</v>
      </c>
      <c r="K245" s="319">
        <f ca="1">INDIRECT(ADDRESS( A246, B245+1,1, TRUE,"Dati"))</f>
        <v>0</v>
      </c>
      <c r="L245" s="313">
        <f ca="1">Q245/Q$246</f>
        <v>0.21739130434782608</v>
      </c>
      <c r="M245" s="313">
        <f ca="1">L245-N245</f>
        <v>8.0889787664307211E-3</v>
      </c>
      <c r="N245" s="313">
        <v>0.20930232558139536</v>
      </c>
      <c r="O245" s="313">
        <f>N245-P245</f>
        <v>3.0730897009966784E-2</v>
      </c>
      <c r="P245" s="313">
        <v>0.17857142857142858</v>
      </c>
      <c r="Q245" s="316">
        <f ca="1">INDIRECT(ADDRESS( $C245+1, A246+8,1, TRUE,"KPI4"))</f>
        <v>10</v>
      </c>
      <c r="R245" s="316">
        <v>9</v>
      </c>
      <c r="S245" s="316">
        <v>10</v>
      </c>
      <c r="T245" s="316">
        <v>8</v>
      </c>
      <c r="U245" s="632"/>
      <c r="AF245" s="29"/>
      <c r="AG245" s="29"/>
      <c r="AH245" s="29"/>
      <c r="AI245" s="29"/>
      <c r="AJ245" s="29"/>
      <c r="AK245" s="29"/>
    </row>
    <row r="246" spans="1:37">
      <c r="A246" s="453">
        <v>1</v>
      </c>
      <c r="B246" s="453"/>
      <c r="C246" s="454"/>
      <c r="D246" s="455"/>
      <c r="E246" s="455"/>
      <c r="F246" s="456"/>
      <c r="G246" s="457"/>
      <c r="H246" s="456"/>
      <c r="I246" s="456"/>
      <c r="J246" s="314" t="s">
        <v>391</v>
      </c>
      <c r="K246" s="315"/>
      <c r="L246" s="313">
        <f ca="1">SUM(L243:L245)</f>
        <v>0.99999999999999989</v>
      </c>
      <c r="M246" s="313"/>
      <c r="N246" s="313">
        <v>1</v>
      </c>
      <c r="O246" s="313"/>
      <c r="P246" s="313">
        <v>1</v>
      </c>
      <c r="Q246" s="315">
        <f ca="1">SUM(Q243:Q245)</f>
        <v>46</v>
      </c>
      <c r="R246" s="447">
        <v>43</v>
      </c>
      <c r="S246" s="447">
        <v>56</v>
      </c>
      <c r="T246" s="447">
        <v>59</v>
      </c>
      <c r="U246" s="463"/>
      <c r="AF246" s="29"/>
      <c r="AG246" s="29"/>
      <c r="AH246" s="29"/>
      <c r="AI246" s="29"/>
      <c r="AJ246" s="29"/>
      <c r="AK246" s="29"/>
    </row>
    <row r="247" spans="1:37">
      <c r="A247" s="453"/>
      <c r="B247" s="453">
        <f>B244+2</f>
        <v>123</v>
      </c>
      <c r="C247" s="453">
        <f>C244+2</f>
        <v>30</v>
      </c>
      <c r="D247" s="455">
        <f ca="1">INDIRECT(ADDRESS( C247, 2,1, TRUE,"KPI4"))</f>
        <v>59</v>
      </c>
      <c r="E247" s="455" t="str">
        <f ca="1">INDIRECT(ADDRESS( C247, 3,1, TRUE,"KPI4"))</f>
        <v>KPI 4.10a</v>
      </c>
      <c r="F247" s="464"/>
      <c r="G247" s="466"/>
      <c r="H247" s="464"/>
      <c r="I247" s="464"/>
      <c r="J247" s="316" t="str">
        <f ca="1">INDIRECT(ADDRESS( A248, B247,1, TRUE,"Dati"))</f>
        <v>Inferiore al 5 %</v>
      </c>
      <c r="K247" s="319">
        <f ca="1">INDIRECT(ADDRESS( A248, B247+1,1, TRUE,"Dati"))</f>
        <v>2</v>
      </c>
      <c r="L247" s="313">
        <f ca="1">Q247/Q$243</f>
        <v>0.36842105263157893</v>
      </c>
      <c r="M247" s="313">
        <f ca="1">L247-N247</f>
        <v>7.4303405572755388E-2</v>
      </c>
      <c r="N247" s="313">
        <v>0.29411764705882354</v>
      </c>
      <c r="O247" s="313">
        <f>N247-P247</f>
        <v>-0.31699346405228762</v>
      </c>
      <c r="P247" s="313">
        <v>0.61111111111111116</v>
      </c>
      <c r="Q247" s="316">
        <f ca="1">INDIRECT(ADDRESS( $C247+1, A248+8,1, TRUE,"KPI4"))</f>
        <v>7</v>
      </c>
      <c r="R247" s="316">
        <v>5</v>
      </c>
      <c r="S247" s="316">
        <v>11</v>
      </c>
      <c r="T247" s="316">
        <v>7</v>
      </c>
      <c r="U247" s="631" t="str">
        <f ca="1">INDIRECT(ADDRESS( C247, 4,1, TRUE,"KPI4"))</f>
        <v>Se esiste una previsione di spesa dedicata alla sicurezza quale è la percentuale sul budget IT complessivo ?</v>
      </c>
      <c r="AF247" s="29"/>
      <c r="AG247" s="29"/>
      <c r="AH247" s="29"/>
      <c r="AI247" s="29"/>
      <c r="AJ247" s="29"/>
      <c r="AK247" s="29"/>
    </row>
    <row r="248" spans="1:37">
      <c r="A248" s="453">
        <v>3</v>
      </c>
      <c r="B248" s="453">
        <f>B247</f>
        <v>123</v>
      </c>
      <c r="C248" s="454">
        <f>C247</f>
        <v>30</v>
      </c>
      <c r="D248" s="455"/>
      <c r="E248" s="455"/>
      <c r="F248" s="456"/>
      <c r="G248" s="457"/>
      <c r="H248" s="456"/>
      <c r="I248" s="456"/>
      <c r="J248" s="316" t="str">
        <f ca="1">INDIRECT(ADDRESS( A249, B248,1, TRUE,"Dati"))</f>
        <v>Compresa tra 5 % e 10%</v>
      </c>
      <c r="K248" s="319">
        <f ca="1">INDIRECT(ADDRESS( A249, B248+1,1, TRUE,"Dati"))</f>
        <v>4</v>
      </c>
      <c r="L248" s="313">
        <f ca="1">Q248/Q$243</f>
        <v>0.42105263157894735</v>
      </c>
      <c r="M248" s="313">
        <f ca="1">L248-N248</f>
        <v>-0.16718266253869973</v>
      </c>
      <c r="N248" s="313">
        <v>0.58823529411764708</v>
      </c>
      <c r="O248" s="313">
        <f>N248-P248</f>
        <v>0.25490196078431376</v>
      </c>
      <c r="P248" s="313">
        <v>0.33333333333333331</v>
      </c>
      <c r="Q248" s="316">
        <f ca="1">INDIRECT(ADDRESS( $C248+1, A249+8,1, TRUE,"KPI4"))</f>
        <v>8</v>
      </c>
      <c r="R248" s="316">
        <v>10</v>
      </c>
      <c r="S248" s="316">
        <v>6</v>
      </c>
      <c r="T248" s="316">
        <v>10</v>
      </c>
      <c r="U248" s="632"/>
      <c r="AF248" s="29"/>
      <c r="AG248" s="29"/>
      <c r="AH248" s="29"/>
      <c r="AI248" s="29"/>
      <c r="AJ248" s="29"/>
      <c r="AK248" s="29"/>
    </row>
    <row r="249" spans="1:37">
      <c r="A249" s="453">
        <v>2</v>
      </c>
      <c r="B249" s="453">
        <f>B248</f>
        <v>123</v>
      </c>
      <c r="C249" s="454">
        <f>C248</f>
        <v>30</v>
      </c>
      <c r="D249" s="455"/>
      <c r="E249" s="455"/>
      <c r="F249" s="456"/>
      <c r="G249" s="457"/>
      <c r="H249" s="456"/>
      <c r="I249" s="456"/>
      <c r="J249" s="316" t="str">
        <f ca="1">INDIRECT(ADDRESS( A250, B249,1, TRUE,"Dati"))</f>
        <v>Maggiore del 10%</v>
      </c>
      <c r="K249" s="319">
        <f ca="1">INDIRECT(ADDRESS( A250, B249+1,1, TRUE,"Dati"))</f>
        <v>6</v>
      </c>
      <c r="L249" s="313">
        <f ca="1">Q249/Q$243</f>
        <v>5.2631578947368418E-2</v>
      </c>
      <c r="M249" s="313">
        <f ca="1">L249-N249</f>
        <v>5.2631578947368418E-2</v>
      </c>
      <c r="N249" s="313">
        <v>0</v>
      </c>
      <c r="O249" s="313">
        <f>N249-P249</f>
        <v>0</v>
      </c>
      <c r="P249" s="313">
        <v>0</v>
      </c>
      <c r="Q249" s="316">
        <f ca="1">INDIRECT(ADDRESS( $C249+1, A250+8,1, TRUE,"KPI4"))</f>
        <v>1</v>
      </c>
      <c r="R249" s="316">
        <v>0</v>
      </c>
      <c r="S249" s="316">
        <v>0</v>
      </c>
      <c r="T249" s="316">
        <v>0</v>
      </c>
      <c r="U249" s="632"/>
      <c r="AF249" s="29"/>
      <c r="AG249" s="29"/>
      <c r="AH249" s="29"/>
      <c r="AI249" s="29"/>
      <c r="AJ249" s="29"/>
      <c r="AK249" s="29"/>
    </row>
    <row r="250" spans="1:37">
      <c r="A250" s="453">
        <v>4</v>
      </c>
      <c r="B250" s="453">
        <f>B248</f>
        <v>123</v>
      </c>
      <c r="C250" s="454">
        <f>C249</f>
        <v>30</v>
      </c>
      <c r="D250" s="455"/>
      <c r="E250" s="455"/>
      <c r="F250" s="456"/>
      <c r="G250" s="457"/>
      <c r="H250" s="456"/>
      <c r="I250" s="456"/>
      <c r="J250" s="316" t="str">
        <f ca="1">INDIRECT(ADDRESS( A251, B250,1, TRUE,"Dati"))</f>
        <v>--</v>
      </c>
      <c r="K250" s="319">
        <f ca="1">INDIRECT(ADDRESS( A251, B250+1,1, TRUE,"Dati"))</f>
        <v>0</v>
      </c>
      <c r="L250" s="313">
        <f ca="1">Q250/Q$243</f>
        <v>0.15789473684210525</v>
      </c>
      <c r="M250" s="313">
        <f ca="1">L250-N250</f>
        <v>4.0247678018575844E-2</v>
      </c>
      <c r="N250" s="313">
        <v>0.11764705882352941</v>
      </c>
      <c r="O250" s="313">
        <f>N250-P250</f>
        <v>6.2091503267973858E-2</v>
      </c>
      <c r="P250" s="313">
        <v>5.5555555555555552E-2</v>
      </c>
      <c r="Q250" s="316">
        <f ca="1">Q243-(Q247+Q248+Q249)</f>
        <v>3</v>
      </c>
      <c r="R250" s="316">
        <v>2</v>
      </c>
      <c r="S250" s="316">
        <v>1</v>
      </c>
      <c r="T250" s="316">
        <v>3</v>
      </c>
      <c r="U250" s="632"/>
      <c r="AF250" s="29"/>
      <c r="AG250" s="29"/>
      <c r="AH250" s="29"/>
      <c r="AI250" s="29"/>
      <c r="AJ250" s="29"/>
      <c r="AK250" s="29"/>
    </row>
    <row r="251" spans="1:37">
      <c r="A251" s="453">
        <v>1</v>
      </c>
      <c r="B251" s="453"/>
      <c r="C251" s="454"/>
      <c r="D251" s="455"/>
      <c r="E251" s="455"/>
      <c r="F251" s="456"/>
      <c r="G251" s="457"/>
      <c r="H251" s="456"/>
      <c r="I251" s="456"/>
      <c r="J251" s="314" t="s">
        <v>391</v>
      </c>
      <c r="K251" s="315"/>
      <c r="L251" s="716">
        <f ca="1">SUM(L247:L250)</f>
        <v>1</v>
      </c>
      <c r="M251" s="313"/>
      <c r="N251" s="313">
        <v>1</v>
      </c>
      <c r="O251" s="313"/>
      <c r="P251" s="313">
        <v>1</v>
      </c>
      <c r="Q251" s="315">
        <f ca="1">SUM(Q247:Q250)</f>
        <v>19</v>
      </c>
      <c r="R251" s="447">
        <v>17</v>
      </c>
      <c r="S251" s="447">
        <v>18</v>
      </c>
      <c r="T251" s="447">
        <v>20</v>
      </c>
      <c r="U251" s="463"/>
      <c r="AF251" s="29"/>
      <c r="AG251" s="29"/>
      <c r="AH251" s="29"/>
      <c r="AI251" s="29"/>
      <c r="AJ251" s="29"/>
      <c r="AK251" s="29"/>
    </row>
    <row r="252" spans="1:37">
      <c r="A252" s="453"/>
      <c r="B252" s="453"/>
      <c r="C252" s="454"/>
      <c r="D252" s="455"/>
      <c r="E252" s="455"/>
      <c r="F252" s="456"/>
      <c r="G252" s="457"/>
      <c r="H252" s="456"/>
      <c r="I252" s="456"/>
      <c r="J252" s="314"/>
      <c r="K252" s="315"/>
      <c r="L252" s="313"/>
      <c r="M252" s="313"/>
      <c r="N252" s="313"/>
      <c r="O252" s="313"/>
      <c r="P252" s="313"/>
      <c r="Q252" s="315"/>
      <c r="R252" s="447"/>
      <c r="S252" s="447"/>
      <c r="T252" s="316"/>
      <c r="U252" s="463"/>
      <c r="AF252" s="29"/>
      <c r="AG252" s="29"/>
      <c r="AH252" s="29"/>
      <c r="AI252" s="29"/>
      <c r="AJ252" s="29"/>
      <c r="AK252" s="29"/>
    </row>
    <row r="253" spans="1:37">
      <c r="A253" s="453"/>
      <c r="B253" s="453">
        <f>B250+2</f>
        <v>125</v>
      </c>
      <c r="C253" s="453">
        <f>C250+2</f>
        <v>32</v>
      </c>
      <c r="D253" s="455">
        <f ca="1">INDIRECT(ADDRESS( C253, 2,1, TRUE,"KPI4"))</f>
        <v>60</v>
      </c>
      <c r="E253" s="455" t="str">
        <f ca="1">INDIRECT(ADDRESS( C253, 3,1, TRUE,"KPI4"))</f>
        <v>KPI 4.11</v>
      </c>
      <c r="F253" s="464">
        <f ca="1">'Quesiti x SI'!AR52</f>
        <v>5.7391304347826084</v>
      </c>
      <c r="G253" s="713">
        <f>'Risultati 2009'!$AR$52</f>
        <v>5.441860465116279</v>
      </c>
      <c r="H253" s="713">
        <f>'Risultati 2008'!$AR$62</f>
        <v>5.2857142857142856</v>
      </c>
      <c r="I253" s="713">
        <f>'Risultati 2007'!$AR$67</f>
        <v>5.639344262295082</v>
      </c>
      <c r="J253" s="316" t="str">
        <f t="shared" ref="J253:J258" ca="1" si="10">INDIRECT(ADDRESS( A254, B253,1, TRUE,"Dati"))</f>
        <v>Sì</v>
      </c>
      <c r="K253" s="319">
        <f t="shared" ref="K253:K258" ca="1" si="11">INDIRECT(ADDRESS( A254, B253+1,1, TRUE,"Dati"))</f>
        <v>4</v>
      </c>
      <c r="L253" s="313">
        <f t="shared" ref="L253:L258" ca="1" si="12">Q253/Q$259</f>
        <v>0</v>
      </c>
      <c r="M253" s="313">
        <f t="shared" ref="M253:O258" ca="1" si="13">L253-N253</f>
        <v>0</v>
      </c>
      <c r="N253" s="313">
        <v>0</v>
      </c>
      <c r="O253" s="313">
        <f t="shared" si="13"/>
        <v>0</v>
      </c>
      <c r="P253" s="313">
        <v>0</v>
      </c>
      <c r="Q253" s="316">
        <f t="shared" ref="Q253:Q258" ca="1" si="14">INDIRECT(ADDRESS( $C253+1, A254+8,1, TRUE,"KPI4"))</f>
        <v>0</v>
      </c>
      <c r="R253" s="316">
        <v>0</v>
      </c>
      <c r="S253" s="316">
        <v>0</v>
      </c>
      <c r="T253" s="316">
        <v>0</v>
      </c>
      <c r="U253" s="631" t="str">
        <f ca="1">INDIRECT(ADDRESS( C253, 4,1, TRUE,"KPI4"))</f>
        <v>E' stata effettuata un'analisi dei rischi connessi alla sicurezza ICT ?</v>
      </c>
      <c r="AF253" s="29"/>
      <c r="AG253" s="29"/>
      <c r="AH253" s="29"/>
      <c r="AI253" s="29"/>
      <c r="AJ253" s="29"/>
      <c r="AK253" s="29"/>
    </row>
    <row r="254" spans="1:37">
      <c r="A254" s="453">
        <v>3</v>
      </c>
      <c r="B254" s="453">
        <f>B253</f>
        <v>125</v>
      </c>
      <c r="C254" s="454">
        <f>C253</f>
        <v>32</v>
      </c>
      <c r="D254" s="455"/>
      <c r="E254" s="455"/>
      <c r="F254" s="714">
        <f ca="1">(F253-G253)/G253</f>
        <v>5.4626532887402421E-2</v>
      </c>
      <c r="G254" s="714">
        <f>(G253-H253)/H253</f>
        <v>2.9541169076052802E-2</v>
      </c>
      <c r="H254" s="714">
        <f>(H253-I253)/I253</f>
        <v>-6.2707641196013325E-2</v>
      </c>
      <c r="I254" s="456"/>
      <c r="J254" s="316" t="str">
        <f t="shared" ca="1" si="10"/>
        <v>No</v>
      </c>
      <c r="K254" s="319">
        <f t="shared" ca="1" si="11"/>
        <v>0</v>
      </c>
      <c r="L254" s="313">
        <f t="shared" ca="1" si="12"/>
        <v>0.17391304347826086</v>
      </c>
      <c r="M254" s="313">
        <f t="shared" ca="1" si="13"/>
        <v>5.7633973710819006E-2</v>
      </c>
      <c r="N254" s="313">
        <v>0.11627906976744186</v>
      </c>
      <c r="O254" s="313">
        <f t="shared" si="13"/>
        <v>-8.0149501661129566E-2</v>
      </c>
      <c r="P254" s="313">
        <v>0.19642857142857142</v>
      </c>
      <c r="Q254" s="316">
        <f t="shared" ca="1" si="14"/>
        <v>8</v>
      </c>
      <c r="R254" s="316">
        <v>5</v>
      </c>
      <c r="S254" s="316">
        <v>11</v>
      </c>
      <c r="T254" s="316">
        <v>10</v>
      </c>
      <c r="U254" s="632"/>
      <c r="AF254" s="29"/>
      <c r="AG254" s="29"/>
      <c r="AH254" s="29"/>
      <c r="AI254" s="29"/>
      <c r="AJ254" s="29"/>
      <c r="AK254" s="29"/>
    </row>
    <row r="255" spans="1:37">
      <c r="A255" s="453">
        <v>2</v>
      </c>
      <c r="B255" s="453">
        <f>B254</f>
        <v>125</v>
      </c>
      <c r="C255" s="454">
        <f>C254</f>
        <v>32</v>
      </c>
      <c r="D255" s="455"/>
      <c r="E255" s="455"/>
      <c r="F255" s="456"/>
      <c r="G255" s="457"/>
      <c r="H255" s="456"/>
      <c r="I255" s="456"/>
      <c r="J255" s="316" t="str">
        <f t="shared" ca="1" si="10"/>
        <v>Sì, con copertura analisi rischi totale</v>
      </c>
      <c r="K255" s="319">
        <f t="shared" ca="1" si="11"/>
        <v>10</v>
      </c>
      <c r="L255" s="313">
        <f t="shared" ca="1" si="12"/>
        <v>0.19565217391304349</v>
      </c>
      <c r="M255" s="313">
        <f t="shared" ca="1" si="13"/>
        <v>3.286147623862487E-2</v>
      </c>
      <c r="N255" s="313">
        <v>0.16279069767441862</v>
      </c>
      <c r="O255" s="313">
        <f t="shared" si="13"/>
        <v>-6.9352159468438535E-2</v>
      </c>
      <c r="P255" s="313">
        <v>0.23214285714285715</v>
      </c>
      <c r="Q255" s="316">
        <f t="shared" ca="1" si="14"/>
        <v>9</v>
      </c>
      <c r="R255" s="316">
        <v>7</v>
      </c>
      <c r="S255" s="316">
        <v>13</v>
      </c>
      <c r="T255" s="316">
        <v>15</v>
      </c>
      <c r="U255" s="632"/>
      <c r="AF255" s="29"/>
      <c r="AG255" s="29"/>
      <c r="AH255" s="29"/>
      <c r="AI255" s="29"/>
      <c r="AJ255" s="29"/>
      <c r="AK255" s="29"/>
    </row>
    <row r="256" spans="1:37">
      <c r="A256" s="453">
        <v>6</v>
      </c>
      <c r="B256" s="453">
        <f>B253</f>
        <v>125</v>
      </c>
      <c r="C256" s="454">
        <f>C254</f>
        <v>32</v>
      </c>
      <c r="D256" s="455"/>
      <c r="E256" s="455"/>
      <c r="F256" s="456"/>
      <c r="G256" s="457"/>
      <c r="H256" s="456"/>
      <c r="I256" s="456"/>
      <c r="J256" s="316" t="str">
        <f t="shared" ca="1" si="10"/>
        <v>Sì, con copertura analisi rischi parziale</v>
      </c>
      <c r="K256" s="319">
        <f t="shared" ca="1" si="11"/>
        <v>8</v>
      </c>
      <c r="L256" s="313">
        <f t="shared" ca="1" si="12"/>
        <v>0.39130434782608697</v>
      </c>
      <c r="M256" s="313">
        <f t="shared" ca="1" si="13"/>
        <v>1.9211324570273025E-2</v>
      </c>
      <c r="N256" s="313">
        <v>0.37209302325581395</v>
      </c>
      <c r="O256" s="313">
        <f t="shared" si="13"/>
        <v>6.8521594684385401E-2</v>
      </c>
      <c r="P256" s="313">
        <v>0.30357142857142855</v>
      </c>
      <c r="Q256" s="316">
        <f t="shared" ca="1" si="14"/>
        <v>18</v>
      </c>
      <c r="R256" s="316">
        <v>16</v>
      </c>
      <c r="S256" s="316">
        <v>17</v>
      </c>
      <c r="T256" s="316">
        <v>19</v>
      </c>
      <c r="U256" s="632"/>
      <c r="AF256" s="29"/>
      <c r="AG256" s="29"/>
      <c r="AH256" s="29"/>
      <c r="AI256" s="29"/>
      <c r="AJ256" s="29"/>
      <c r="AK256" s="29"/>
    </row>
    <row r="257" spans="1:37">
      <c r="A257" s="453">
        <v>5</v>
      </c>
      <c r="B257" s="453">
        <f>B253</f>
        <v>125</v>
      </c>
      <c r="C257" s="454">
        <f>C254</f>
        <v>32</v>
      </c>
      <c r="D257" s="455"/>
      <c r="E257" s="455"/>
      <c r="F257" s="456"/>
      <c r="G257" s="457"/>
      <c r="H257" s="456"/>
      <c r="I257" s="456"/>
      <c r="J257" s="316" t="str">
        <f t="shared" ca="1" si="10"/>
        <v>Sì, con copertura analisi rischi minima</v>
      </c>
      <c r="K257" s="319">
        <f t="shared" ca="1" si="11"/>
        <v>6</v>
      </c>
      <c r="L257" s="313">
        <f t="shared" ca="1" si="12"/>
        <v>0.10869565217391304</v>
      </c>
      <c r="M257" s="313">
        <f t="shared" ca="1" si="13"/>
        <v>-3.083923154701719E-2</v>
      </c>
      <c r="N257" s="313">
        <v>0.13953488372093023</v>
      </c>
      <c r="O257" s="313">
        <f t="shared" si="13"/>
        <v>5.0249169435215943E-2</v>
      </c>
      <c r="P257" s="313">
        <v>8.9285714285714288E-2</v>
      </c>
      <c r="Q257" s="316">
        <f t="shared" ca="1" si="14"/>
        <v>5</v>
      </c>
      <c r="R257" s="316">
        <v>6</v>
      </c>
      <c r="S257" s="316">
        <v>5</v>
      </c>
      <c r="T257" s="316">
        <v>7</v>
      </c>
      <c r="U257" s="632"/>
      <c r="AF257" s="29"/>
      <c r="AG257" s="29"/>
      <c r="AH257" s="29"/>
      <c r="AI257" s="29"/>
      <c r="AJ257" s="29"/>
      <c r="AK257" s="29"/>
    </row>
    <row r="258" spans="1:37">
      <c r="A258" s="453">
        <v>4</v>
      </c>
      <c r="B258" s="453">
        <f>B254</f>
        <v>125</v>
      </c>
      <c r="C258" s="454">
        <f>C255</f>
        <v>32</v>
      </c>
      <c r="D258" s="455"/>
      <c r="E258" s="455"/>
      <c r="F258" s="456"/>
      <c r="G258" s="457"/>
      <c r="H258" s="456"/>
      <c r="I258" s="456"/>
      <c r="J258" s="316" t="str">
        <f t="shared" ca="1" si="10"/>
        <v>--</v>
      </c>
      <c r="K258" s="319">
        <f t="shared" ca="1" si="11"/>
        <v>0</v>
      </c>
      <c r="L258" s="313">
        <f t="shared" ca="1" si="12"/>
        <v>0.13043478260869565</v>
      </c>
      <c r="M258" s="313">
        <f t="shared" ca="1" si="13"/>
        <v>-7.8867542972699711E-2</v>
      </c>
      <c r="N258" s="313">
        <v>0.20930232558139536</v>
      </c>
      <c r="O258" s="313">
        <f t="shared" si="13"/>
        <v>3.0730897009966784E-2</v>
      </c>
      <c r="P258" s="313">
        <v>0.17857142857142858</v>
      </c>
      <c r="Q258" s="316">
        <f t="shared" ca="1" si="14"/>
        <v>6</v>
      </c>
      <c r="R258" s="316">
        <v>9</v>
      </c>
      <c r="S258" s="316">
        <v>10</v>
      </c>
      <c r="T258" s="316">
        <v>8</v>
      </c>
      <c r="U258" s="632"/>
      <c r="AF258" s="29"/>
      <c r="AG258" s="29"/>
      <c r="AH258" s="29"/>
      <c r="AI258" s="29"/>
      <c r="AJ258" s="29"/>
      <c r="AK258" s="29"/>
    </row>
    <row r="259" spans="1:37">
      <c r="A259" s="453">
        <v>1</v>
      </c>
      <c r="B259" s="453"/>
      <c r="C259" s="454"/>
      <c r="D259" s="455"/>
      <c r="E259" s="455"/>
      <c r="F259" s="456"/>
      <c r="G259" s="457"/>
      <c r="H259" s="456"/>
      <c r="I259" s="456"/>
      <c r="J259" s="314" t="s">
        <v>391</v>
      </c>
      <c r="K259" s="315"/>
      <c r="L259" s="313">
        <f ca="1">SUM(L253:L258)</f>
        <v>1</v>
      </c>
      <c r="M259" s="313"/>
      <c r="N259" s="313">
        <v>1</v>
      </c>
      <c r="O259" s="313"/>
      <c r="P259" s="313">
        <v>1</v>
      </c>
      <c r="Q259" s="315">
        <f ca="1">SUM(Q253:Q258)</f>
        <v>46</v>
      </c>
      <c r="R259" s="447">
        <v>43</v>
      </c>
      <c r="S259" s="447">
        <v>56</v>
      </c>
      <c r="T259" s="447">
        <v>59</v>
      </c>
      <c r="U259" s="463"/>
      <c r="AF259" s="29"/>
      <c r="AG259" s="29"/>
      <c r="AH259" s="29"/>
      <c r="AI259" s="29"/>
      <c r="AJ259" s="29"/>
      <c r="AK259" s="29"/>
    </row>
    <row r="260" spans="1:37">
      <c r="A260" s="453"/>
      <c r="B260" s="453"/>
      <c r="C260" s="454"/>
      <c r="D260" s="455"/>
      <c r="E260" s="455"/>
      <c r="F260" s="456"/>
      <c r="G260" s="457"/>
      <c r="H260" s="456"/>
      <c r="I260" s="456"/>
      <c r="J260" s="318"/>
      <c r="K260" s="319"/>
      <c r="L260" s="313"/>
      <c r="M260" s="313"/>
      <c r="N260" s="313"/>
      <c r="O260" s="313"/>
      <c r="P260" s="313"/>
      <c r="Q260" s="316"/>
      <c r="R260" s="316"/>
      <c r="S260" s="316"/>
      <c r="T260" s="316"/>
      <c r="U260" s="463"/>
      <c r="AF260" s="29"/>
      <c r="AG260" s="29"/>
      <c r="AH260" s="29"/>
      <c r="AI260" s="29"/>
      <c r="AJ260" s="29"/>
      <c r="AK260" s="29"/>
    </row>
    <row r="261" spans="1:37">
      <c r="A261" s="453"/>
      <c r="B261" s="453">
        <f>B258+2</f>
        <v>127</v>
      </c>
      <c r="C261" s="453">
        <f>C258+2</f>
        <v>34</v>
      </c>
      <c r="D261" s="455">
        <f ca="1">INDIRECT(ADDRESS( C261, 2,1, TRUE,"KPI4"))</f>
        <v>61</v>
      </c>
      <c r="E261" s="455" t="str">
        <f ca="1">INDIRECT(ADDRESS( C261, 3,1, TRUE,"KPI4"))</f>
        <v>KPI 4.12</v>
      </c>
      <c r="F261" s="464">
        <f ca="1">'Quesiti x SI'!AS52</f>
        <v>6.7391304347826084</v>
      </c>
      <c r="G261" s="713">
        <f>'Risultati 2009'!$AS$52</f>
        <v>6.5116279069767442</v>
      </c>
      <c r="H261" s="713">
        <f>'Risultati 2008'!$AS$62</f>
        <v>7.5</v>
      </c>
      <c r="I261" s="713">
        <f>'Risultati 2007'!$AS$67</f>
        <v>7.5409836065573774</v>
      </c>
      <c r="J261" s="316" t="str">
        <f ca="1">INDIRECT(ADDRESS( A262, B261,1, TRUE,"Dati"))</f>
        <v>SI</v>
      </c>
      <c r="K261" s="319">
        <f ca="1">INDIRECT(ADDRESS( A262, B261+1,1, TRUE,"Dati"))</f>
        <v>10</v>
      </c>
      <c r="L261" s="313">
        <f ca="1">Q261/Q$213</f>
        <v>0.67391304347826086</v>
      </c>
      <c r="M261" s="313">
        <f ca="1">L261-N261</f>
        <v>2.27502527805864E-2</v>
      </c>
      <c r="N261" s="313">
        <v>0.65116279069767447</v>
      </c>
      <c r="O261" s="313">
        <f>N261-P261</f>
        <v>-9.8837209302325535E-2</v>
      </c>
      <c r="P261" s="313">
        <v>0.75</v>
      </c>
      <c r="Q261" s="316">
        <f ca="1">INDIRECT(ADDRESS( $C261+1, A262+8,1, TRUE,"KPI4"))</f>
        <v>31</v>
      </c>
      <c r="R261" s="316">
        <v>28</v>
      </c>
      <c r="S261" s="316">
        <v>42</v>
      </c>
      <c r="T261" s="316">
        <v>46</v>
      </c>
      <c r="U261" s="631" t="str">
        <f ca="1">INDIRECT(ADDRESS( C261, 4,1, TRUE,"KPI4"))</f>
        <v>Sono state prese iniziative per la sensibilizzazione alla sicurezza informatica rivolte a tutto il personale dell'amministrazione ?</v>
      </c>
      <c r="AF261" s="29"/>
      <c r="AG261" s="29"/>
      <c r="AH261" s="29"/>
      <c r="AI261" s="29"/>
      <c r="AJ261" s="29"/>
      <c r="AK261" s="29"/>
    </row>
    <row r="262" spans="1:37">
      <c r="A262" s="453">
        <v>3</v>
      </c>
      <c r="B262" s="453">
        <f>B261</f>
        <v>127</v>
      </c>
      <c r="C262" s="454">
        <f>C261</f>
        <v>34</v>
      </c>
      <c r="D262" s="455"/>
      <c r="E262" s="455"/>
      <c r="F262" s="714">
        <f ca="1">(F261-G261)/G261</f>
        <v>3.4937888198757719E-2</v>
      </c>
      <c r="G262" s="714">
        <f>(G261-H261)/H261</f>
        <v>-0.13178294573643409</v>
      </c>
      <c r="H262" s="714">
        <f>(H261-I261)/I261</f>
        <v>-5.4347826086957023E-3</v>
      </c>
      <c r="I262" s="456"/>
      <c r="J262" s="316" t="str">
        <f ca="1">INDIRECT(ADDRESS( A263, B262,1, TRUE,"Dati"))</f>
        <v>NO</v>
      </c>
      <c r="K262" s="319">
        <f ca="1">INDIRECT(ADDRESS( A263, B262+1,1, TRUE,"Dati"))</f>
        <v>0</v>
      </c>
      <c r="L262" s="313">
        <f ca="1">Q262/Q$213</f>
        <v>0.17391304347826086</v>
      </c>
      <c r="M262" s="313">
        <f ca="1">L262-N262</f>
        <v>-3.5389282103134495E-2</v>
      </c>
      <c r="N262" s="313">
        <v>0.20930232558139536</v>
      </c>
      <c r="O262" s="313">
        <f>N262-P262</f>
        <v>0.10215946843853822</v>
      </c>
      <c r="P262" s="313">
        <v>0.10714285714285714</v>
      </c>
      <c r="Q262" s="316">
        <f ca="1">INDIRECT(ADDRESS( $C262+1, A263+8,1, TRUE,"KPI4"))</f>
        <v>8</v>
      </c>
      <c r="R262" s="316">
        <v>9</v>
      </c>
      <c r="S262" s="316">
        <v>6</v>
      </c>
      <c r="T262" s="316">
        <v>9</v>
      </c>
      <c r="U262" s="632"/>
      <c r="AF262" s="29"/>
      <c r="AG262" s="29"/>
      <c r="AH262" s="29"/>
      <c r="AI262" s="29"/>
      <c r="AJ262" s="29"/>
      <c r="AK262" s="29"/>
    </row>
    <row r="263" spans="1:37">
      <c r="A263" s="453">
        <v>2</v>
      </c>
      <c r="B263" s="453">
        <f>B261</f>
        <v>127</v>
      </c>
      <c r="C263" s="454">
        <f>C261</f>
        <v>34</v>
      </c>
      <c r="D263" s="455"/>
      <c r="E263" s="455"/>
      <c r="F263" s="456"/>
      <c r="G263" s="457"/>
      <c r="H263" s="456"/>
      <c r="I263" s="456"/>
      <c r="J263" s="316" t="str">
        <f ca="1">INDIRECT(ADDRESS( A264, B263,1, TRUE,"Dati"))</f>
        <v>--</v>
      </c>
      <c r="K263" s="319">
        <f ca="1">INDIRECT(ADDRESS( A264, B263+1,1, TRUE,"Dati"))</f>
        <v>0</v>
      </c>
      <c r="L263" s="313">
        <f ca="1">Q263/Q$213</f>
        <v>0.15217391304347827</v>
      </c>
      <c r="M263" s="313">
        <f ca="1">L263-N263</f>
        <v>1.263902932254804E-2</v>
      </c>
      <c r="N263" s="313">
        <v>0.13953488372093023</v>
      </c>
      <c r="O263" s="313">
        <f>N263-P263</f>
        <v>-3.3222591362126186E-3</v>
      </c>
      <c r="P263" s="313">
        <v>0.14285714285714285</v>
      </c>
      <c r="Q263" s="316">
        <f ca="1">INDIRECT(ADDRESS( $C263+1, A264+8,1, TRUE,"KPI4"))</f>
        <v>7</v>
      </c>
      <c r="R263" s="316">
        <v>6</v>
      </c>
      <c r="S263" s="316">
        <v>8</v>
      </c>
      <c r="T263" s="316">
        <v>4</v>
      </c>
      <c r="U263" s="632"/>
      <c r="AF263" s="29"/>
      <c r="AG263" s="29"/>
      <c r="AH263" s="29"/>
      <c r="AI263" s="29"/>
      <c r="AJ263" s="29"/>
      <c r="AK263" s="29"/>
    </row>
    <row r="264" spans="1:37">
      <c r="A264" s="453">
        <v>1</v>
      </c>
      <c r="B264" s="453"/>
      <c r="C264" s="454"/>
      <c r="D264" s="455"/>
      <c r="E264" s="455"/>
      <c r="F264" s="456"/>
      <c r="G264" s="457"/>
      <c r="H264" s="456"/>
      <c r="I264" s="456"/>
      <c r="J264" s="314" t="s">
        <v>391</v>
      </c>
      <c r="K264" s="315"/>
      <c r="L264" s="313">
        <f ca="1">SUM(L261:L263)</f>
        <v>1</v>
      </c>
      <c r="M264" s="313"/>
      <c r="N264" s="313">
        <v>1</v>
      </c>
      <c r="O264" s="313"/>
      <c r="P264" s="313">
        <v>1</v>
      </c>
      <c r="Q264" s="315">
        <f ca="1">SUM(Q261:Q263)</f>
        <v>46</v>
      </c>
      <c r="R264" s="447">
        <v>43</v>
      </c>
      <c r="S264" s="447">
        <v>56</v>
      </c>
      <c r="T264" s="447">
        <v>59</v>
      </c>
      <c r="U264" s="463"/>
      <c r="AF264" s="29"/>
      <c r="AG264" s="29"/>
      <c r="AH264" s="29"/>
      <c r="AI264" s="29"/>
      <c r="AJ264" s="29"/>
      <c r="AK264" s="29"/>
    </row>
    <row r="265" spans="1:37">
      <c r="A265" s="453"/>
      <c r="B265" s="453"/>
      <c r="C265" s="454"/>
      <c r="D265" s="455"/>
      <c r="E265" s="455"/>
      <c r="F265" s="456"/>
      <c r="G265" s="457"/>
      <c r="H265" s="456"/>
      <c r="I265" s="456"/>
      <c r="J265" s="318"/>
      <c r="K265" s="319"/>
      <c r="L265" s="313"/>
      <c r="M265" s="313"/>
      <c r="N265" s="313"/>
      <c r="O265" s="313"/>
      <c r="P265" s="313"/>
      <c r="Q265" s="316"/>
      <c r="R265" s="316"/>
      <c r="S265" s="316"/>
      <c r="T265" s="316"/>
      <c r="U265" s="463"/>
      <c r="AF265" s="29"/>
      <c r="AG265" s="29"/>
      <c r="AH265" s="29"/>
      <c r="AI265" s="29"/>
      <c r="AJ265" s="29"/>
      <c r="AK265" s="29"/>
    </row>
    <row r="266" spans="1:37">
      <c r="A266" s="453"/>
      <c r="B266" s="453">
        <f>B263+2</f>
        <v>129</v>
      </c>
      <c r="C266" s="453">
        <f>C263+2</f>
        <v>36</v>
      </c>
      <c r="D266" s="455">
        <f ca="1">INDIRECT(ADDRESS( C266, 2,1, TRUE,"KPI4"))</f>
        <v>62</v>
      </c>
      <c r="E266" s="455" t="str">
        <f ca="1">INDIRECT(ADDRESS( C266, 3,1, TRUE,"KPI4"))</f>
        <v>KPI 4.13</v>
      </c>
      <c r="F266" s="464">
        <f ca="1">'Quesiti x SI'!AT52</f>
        <v>3.9130434782608696</v>
      </c>
      <c r="G266" s="713">
        <f>'Risultati 2009'!$AT$52</f>
        <v>3.6956521739130435</v>
      </c>
      <c r="H266" s="713">
        <f>'Risultati 2008'!$AT$62</f>
        <v>3.25</v>
      </c>
      <c r="I266" s="713">
        <f>'Risultati 2007'!$AT$67</f>
        <v>3.278688524590164</v>
      </c>
      <c r="J266" s="316" t="str">
        <f ca="1">INDIRECT(ADDRESS( A267, B266,1, TRUE,"Dati"))</f>
        <v>SI</v>
      </c>
      <c r="K266" s="319">
        <f ca="1">INDIRECT(ADDRESS( A267, B266+1,1, TRUE,"Dati"))</f>
        <v>4</v>
      </c>
      <c r="L266" s="313">
        <f ca="1">Q266/Q$213</f>
        <v>0.30434782608695654</v>
      </c>
      <c r="M266" s="313">
        <f ca="1">L266-N266</f>
        <v>2.0222446916077219E-3</v>
      </c>
      <c r="N266" s="313">
        <v>0.30232558139534882</v>
      </c>
      <c r="O266" s="313">
        <f>N266-P266</f>
        <v>8.8039867109634545E-2</v>
      </c>
      <c r="P266" s="313">
        <v>0.21428571428571427</v>
      </c>
      <c r="Q266" s="316">
        <f ca="1">INDIRECT(ADDRESS( $C266+1, A267+8,1, TRUE,"KPI4"))</f>
        <v>14</v>
      </c>
      <c r="R266" s="316">
        <v>13</v>
      </c>
      <c r="S266" s="316">
        <v>12</v>
      </c>
      <c r="T266" s="316">
        <v>13</v>
      </c>
      <c r="U266" s="631" t="str">
        <f ca="1">INDIRECT(ADDRESS( C266, 4,1, TRUE,"KPI4"))</f>
        <v>E' stato già redatto ed approvato un piano di formazione e sensibilizazzione per la sicurezza ICT ?</v>
      </c>
      <c r="AF266" s="29"/>
      <c r="AG266" s="29"/>
      <c r="AH266" s="29"/>
      <c r="AI266" s="29"/>
      <c r="AJ266" s="29"/>
      <c r="AK266" s="29"/>
    </row>
    <row r="267" spans="1:37">
      <c r="A267" s="453">
        <v>3</v>
      </c>
      <c r="B267" s="453">
        <f>B266</f>
        <v>129</v>
      </c>
      <c r="C267" s="454">
        <f>C266</f>
        <v>36</v>
      </c>
      <c r="D267" s="455"/>
      <c r="E267" s="455"/>
      <c r="F267" s="714">
        <f ca="1">(F266-G266)/G266</f>
        <v>5.8823529411764726E-2</v>
      </c>
      <c r="G267" s="714">
        <f>(G266-H266)/H266</f>
        <v>0.13712374581939799</v>
      </c>
      <c r="H267" s="714">
        <f>(H266-I266)/I266</f>
        <v>-8.7500000000000269E-3</v>
      </c>
      <c r="I267" s="456"/>
      <c r="J267" s="316" t="str">
        <f ca="1">INDIRECT(ADDRESS( A268, B267,1, TRUE,"Dati"))</f>
        <v>NO</v>
      </c>
      <c r="K267" s="319">
        <f ca="1">INDIRECT(ADDRESS( A268, B267+1,1, TRUE,"Dati"))</f>
        <v>0</v>
      </c>
      <c r="L267" s="313">
        <f ca="1">Q267/Q$213</f>
        <v>0.5</v>
      </c>
      <c r="M267" s="313">
        <f ca="1">L267-N267</f>
        <v>-3.4883720930232509E-2</v>
      </c>
      <c r="N267" s="313">
        <v>0.53488372093023251</v>
      </c>
      <c r="O267" s="313">
        <f>N267-P267</f>
        <v>-8.3056478405318934E-4</v>
      </c>
      <c r="P267" s="313">
        <v>0.5357142857142857</v>
      </c>
      <c r="Q267" s="316">
        <f ca="1">INDIRECT(ADDRESS( $C267+1, A268+8,1, TRUE,"KPI4"))</f>
        <v>23</v>
      </c>
      <c r="R267" s="316">
        <v>23</v>
      </c>
      <c r="S267" s="316">
        <v>30</v>
      </c>
      <c r="T267" s="316">
        <v>35</v>
      </c>
      <c r="U267" s="632"/>
      <c r="AF267" s="29"/>
      <c r="AG267" s="29"/>
      <c r="AH267" s="29"/>
      <c r="AI267" s="29"/>
      <c r="AJ267" s="29"/>
      <c r="AK267" s="29"/>
    </row>
    <row r="268" spans="1:37">
      <c r="A268" s="453">
        <v>2</v>
      </c>
      <c r="B268" s="453">
        <f>B266</f>
        <v>129</v>
      </c>
      <c r="C268" s="454">
        <f>C266</f>
        <v>36</v>
      </c>
      <c r="D268" s="455"/>
      <c r="E268" s="455"/>
      <c r="F268" s="456"/>
      <c r="G268" s="457"/>
      <c r="H268" s="456"/>
      <c r="I268" s="456"/>
      <c r="J268" s="316" t="str">
        <f ca="1">INDIRECT(ADDRESS( A269, B268,1, TRUE,"Dati"))</f>
        <v>--</v>
      </c>
      <c r="K268" s="319">
        <f ca="1">INDIRECT(ADDRESS( A269, B268+1,1, TRUE,"Dati"))</f>
        <v>0</v>
      </c>
      <c r="L268" s="313">
        <f ca="1">Q268/Q$213</f>
        <v>0.19565217391304349</v>
      </c>
      <c r="M268" s="313">
        <f ca="1">L268-N268</f>
        <v>3.286147623862487E-2</v>
      </c>
      <c r="N268" s="313">
        <v>0.16279069767441862</v>
      </c>
      <c r="O268" s="313">
        <f>N268-P268</f>
        <v>-8.7209302325581384E-2</v>
      </c>
      <c r="P268" s="313">
        <v>0.25</v>
      </c>
      <c r="Q268" s="316">
        <f ca="1">INDIRECT(ADDRESS( $C268+1, A269+8,1, TRUE,"KPI4"))</f>
        <v>9</v>
      </c>
      <c r="R268" s="316">
        <v>7</v>
      </c>
      <c r="S268" s="316">
        <v>14</v>
      </c>
      <c r="T268" s="316">
        <v>11</v>
      </c>
      <c r="U268" s="632"/>
      <c r="AF268" s="29"/>
      <c r="AG268" s="29"/>
      <c r="AH268" s="29"/>
      <c r="AI268" s="29"/>
      <c r="AJ268" s="29"/>
      <c r="AK268" s="29"/>
    </row>
    <row r="269" spans="1:37">
      <c r="A269" s="453">
        <v>1</v>
      </c>
      <c r="B269" s="453"/>
      <c r="C269" s="454"/>
      <c r="D269" s="455"/>
      <c r="E269" s="455"/>
      <c r="F269" s="456"/>
      <c r="G269" s="457"/>
      <c r="H269" s="456"/>
      <c r="I269" s="456"/>
      <c r="J269" s="314" t="s">
        <v>391</v>
      </c>
      <c r="K269" s="315"/>
      <c r="L269" s="313">
        <f ca="1">SUM(L266:L268)</f>
        <v>1</v>
      </c>
      <c r="M269" s="313"/>
      <c r="N269" s="313">
        <v>1</v>
      </c>
      <c r="O269" s="313"/>
      <c r="P269" s="313">
        <v>1</v>
      </c>
      <c r="Q269" s="315">
        <f ca="1">SUM(Q266:Q268)</f>
        <v>46</v>
      </c>
      <c r="R269" s="447">
        <v>43</v>
      </c>
      <c r="S269" s="447">
        <v>56</v>
      </c>
      <c r="T269" s="447">
        <v>59</v>
      </c>
      <c r="U269" s="463"/>
      <c r="AF269" s="29"/>
      <c r="AG269" s="29"/>
      <c r="AH269" s="29"/>
      <c r="AI269" s="29"/>
      <c r="AJ269" s="29"/>
      <c r="AK269" s="29"/>
    </row>
    <row r="270" spans="1:37">
      <c r="A270" s="453"/>
      <c r="B270" s="453">
        <f>B267+2</f>
        <v>131</v>
      </c>
      <c r="C270" s="453">
        <f>C267+2</f>
        <v>38</v>
      </c>
      <c r="D270" s="455">
        <f ca="1">INDIRECT(ADDRESS( C270, 2,1, TRUE,"KPI4"))</f>
        <v>63</v>
      </c>
      <c r="E270" s="455" t="str">
        <f ca="1">INDIRECT(ADDRESS( C270, 3,1, TRUE,"KPI4"))</f>
        <v>KPI 4.13a</v>
      </c>
      <c r="F270" s="464"/>
      <c r="G270" s="466"/>
      <c r="H270" s="464"/>
      <c r="I270" s="464"/>
      <c r="J270" s="316" t="str">
        <f ca="1">INDIRECT(ADDRESS( A271, B270,1, TRUE,"Dati"))</f>
        <v>Inferiore al 10 %</v>
      </c>
      <c r="K270" s="319">
        <f ca="1">INDIRECT(ADDRESS( A271, B270+1,1, TRUE,"Dati"))</f>
        <v>2</v>
      </c>
      <c r="L270" s="313">
        <f ca="1">Q270/Q$266</f>
        <v>0.2857142857142857</v>
      </c>
      <c r="M270" s="313">
        <f ca="1">L270-N270</f>
        <v>5.4945054945054916E-2</v>
      </c>
      <c r="N270" s="313">
        <v>0.23076923076923078</v>
      </c>
      <c r="O270" s="313">
        <f>N270-P270</f>
        <v>6.4102564102564125E-2</v>
      </c>
      <c r="P270" s="313">
        <v>0.16666666666666666</v>
      </c>
      <c r="Q270" s="475">
        <f ca="1">Q266-(Q271+Q272+Q273+Q274)</f>
        <v>4</v>
      </c>
      <c r="R270" s="475">
        <v>3</v>
      </c>
      <c r="S270" s="475">
        <v>2</v>
      </c>
      <c r="T270" s="316">
        <v>5</v>
      </c>
      <c r="U270" s="631" t="str">
        <f ca="1">INDIRECT(ADDRESS( C270, 4,1, TRUE,"KPI4"))</f>
        <v>Se sì quale percentuale di addetti al S.I. ne ha usufruito ?</v>
      </c>
      <c r="AF270" s="29"/>
      <c r="AG270" s="29"/>
      <c r="AH270" s="29"/>
      <c r="AI270" s="29"/>
      <c r="AJ270" s="29"/>
      <c r="AK270" s="29"/>
    </row>
    <row r="271" spans="1:37">
      <c r="A271" s="453">
        <v>4</v>
      </c>
      <c r="B271" s="453">
        <f>B270</f>
        <v>131</v>
      </c>
      <c r="C271" s="454">
        <f>C270</f>
        <v>38</v>
      </c>
      <c r="D271" s="455"/>
      <c r="E271" s="455"/>
      <c r="F271" s="456"/>
      <c r="G271" s="457"/>
      <c r="H271" s="456"/>
      <c r="I271" s="456"/>
      <c r="J271" s="316" t="str">
        <f ca="1">INDIRECT(ADDRESS( A272, B271,1, TRUE,"Dati"))</f>
        <v>Compresa tra il 10 % e il 30 %</v>
      </c>
      <c r="K271" s="319">
        <f ca="1">INDIRECT(ADDRESS( A272, B271+1,1, TRUE,"Dati"))</f>
        <v>4</v>
      </c>
      <c r="L271" s="313">
        <f ca="1">Q271/Q$266</f>
        <v>7.1428571428571425E-2</v>
      </c>
      <c r="M271" s="313">
        <f ca="1">L271-N271</f>
        <v>-0.23626373626373628</v>
      </c>
      <c r="N271" s="313">
        <v>0.30769230769230771</v>
      </c>
      <c r="O271" s="313">
        <f>N271-P271</f>
        <v>0.30769230769230771</v>
      </c>
      <c r="P271" s="313">
        <v>0</v>
      </c>
      <c r="Q271" s="316">
        <f ca="1">INDIRECT(ADDRESS( $C271+1, A272+8,1, TRUE,"KPI4"))</f>
        <v>1</v>
      </c>
      <c r="R271" s="316">
        <v>4</v>
      </c>
      <c r="S271" s="316">
        <v>0</v>
      </c>
      <c r="T271" s="316">
        <v>1</v>
      </c>
      <c r="U271" s="632"/>
      <c r="AF271" s="29"/>
      <c r="AG271" s="29"/>
      <c r="AH271" s="29"/>
      <c r="AI271" s="29"/>
      <c r="AJ271" s="29"/>
      <c r="AK271" s="29"/>
    </row>
    <row r="272" spans="1:37">
      <c r="A272" s="453">
        <v>2</v>
      </c>
      <c r="B272" s="453">
        <f>B271</f>
        <v>131</v>
      </c>
      <c r="C272" s="454">
        <f>C271</f>
        <v>38</v>
      </c>
      <c r="D272" s="455"/>
      <c r="E272" s="455"/>
      <c r="F272" s="456"/>
      <c r="G272" s="457"/>
      <c r="H272" s="456"/>
      <c r="I272" s="456"/>
      <c r="J272" s="316" t="str">
        <f ca="1">INDIRECT(ADDRESS( A273, B272,1, TRUE,"Dati"))</f>
        <v>Compresa tra il 30 % e il 50 %</v>
      </c>
      <c r="K272" s="319">
        <f ca="1">INDIRECT(ADDRESS( A273, B272+1,1, TRUE,"Dati"))</f>
        <v>6</v>
      </c>
      <c r="L272" s="313">
        <f ca="1">Q272/Q$266</f>
        <v>0.21428571428571427</v>
      </c>
      <c r="M272" s="313">
        <f ca="1">L272-N272</f>
        <v>0.13736263736263735</v>
      </c>
      <c r="N272" s="313">
        <v>7.6923076923076927E-2</v>
      </c>
      <c r="O272" s="313">
        <f>N272-P272</f>
        <v>7.6923076923076927E-2</v>
      </c>
      <c r="P272" s="313">
        <v>0</v>
      </c>
      <c r="Q272" s="316">
        <f ca="1">INDIRECT(ADDRESS( $C272+1, A273+8,1, TRUE,"KPI4"))</f>
        <v>3</v>
      </c>
      <c r="R272" s="316">
        <v>1</v>
      </c>
      <c r="S272" s="316">
        <v>0</v>
      </c>
      <c r="T272" s="316">
        <v>0</v>
      </c>
      <c r="U272" s="632"/>
      <c r="AF272" s="29"/>
      <c r="AG272" s="29"/>
      <c r="AH272" s="29"/>
      <c r="AI272" s="29"/>
      <c r="AJ272" s="29"/>
      <c r="AK272" s="29"/>
    </row>
    <row r="273" spans="1:37">
      <c r="A273" s="453">
        <v>3</v>
      </c>
      <c r="B273" s="453">
        <f>B270</f>
        <v>131</v>
      </c>
      <c r="C273" s="454">
        <f>C271</f>
        <v>38</v>
      </c>
      <c r="D273" s="455"/>
      <c r="E273" s="455"/>
      <c r="F273" s="456"/>
      <c r="G273" s="457"/>
      <c r="H273" s="456"/>
      <c r="I273" s="456"/>
      <c r="J273" s="316" t="str">
        <f ca="1">INDIRECT(ADDRESS( A274, B273,1, TRUE,"Dati"))</f>
        <v>maggiore del 50%</v>
      </c>
      <c r="K273" s="319">
        <f ca="1">INDIRECT(ADDRESS( A274, B273+1,1, TRUE,"Dati"))</f>
        <v>8</v>
      </c>
      <c r="L273" s="313">
        <f ca="1">Q273/Q$266</f>
        <v>0.35714285714285715</v>
      </c>
      <c r="M273" s="313">
        <f ca="1">L273-N273</f>
        <v>-2.7472527472527486E-2</v>
      </c>
      <c r="N273" s="313">
        <v>0.38461538461538464</v>
      </c>
      <c r="O273" s="313">
        <f>N273-P273</f>
        <v>-0.19871794871794873</v>
      </c>
      <c r="P273" s="313">
        <v>0.58333333333333337</v>
      </c>
      <c r="Q273" s="316">
        <f ca="1">INDIRECT(ADDRESS( $C273+1, A274+8,1, TRUE,"KPI4"))</f>
        <v>5</v>
      </c>
      <c r="R273" s="316">
        <v>5</v>
      </c>
      <c r="S273" s="316">
        <v>7</v>
      </c>
      <c r="T273" s="316">
        <v>7</v>
      </c>
      <c r="U273" s="632"/>
      <c r="AF273" s="29"/>
      <c r="AG273" s="29"/>
      <c r="AH273" s="29"/>
      <c r="AI273" s="29"/>
      <c r="AJ273" s="29"/>
      <c r="AK273" s="29"/>
    </row>
    <row r="274" spans="1:37">
      <c r="A274" s="453">
        <v>5</v>
      </c>
      <c r="B274" s="453">
        <f>B271</f>
        <v>131</v>
      </c>
      <c r="C274" s="454">
        <f>C272</f>
        <v>38</v>
      </c>
      <c r="D274" s="455"/>
      <c r="E274" s="455"/>
      <c r="F274" s="456"/>
      <c r="G274" s="457"/>
      <c r="H274" s="456"/>
      <c r="I274" s="456"/>
      <c r="J274" s="316" t="str">
        <f ca="1">INDIRECT(ADDRESS( A275, B274,1, TRUE,"Dati"))</f>
        <v>--</v>
      </c>
      <c r="K274" s="319">
        <f ca="1">INDIRECT(ADDRESS( A275, B274+1,1, TRUE,"Dati"))</f>
        <v>0</v>
      </c>
      <c r="L274" s="313">
        <f ca="1">Q274/Q$266</f>
        <v>7.1428571428571425E-2</v>
      </c>
      <c r="M274" s="313">
        <f ca="1">L274-N274</f>
        <v>7.1428571428571425E-2</v>
      </c>
      <c r="N274" s="313">
        <v>0</v>
      </c>
      <c r="O274" s="313">
        <f>N274-P274</f>
        <v>-0.25</v>
      </c>
      <c r="P274" s="313">
        <v>0.25</v>
      </c>
      <c r="Q274" s="316">
        <f ca="1">INDIRECT(ADDRESS( $C274+1, A275+8,1, TRUE,"KPI4"))</f>
        <v>1</v>
      </c>
      <c r="R274" s="316">
        <v>0</v>
      </c>
      <c r="S274" s="316">
        <v>3</v>
      </c>
      <c r="T274" s="316">
        <v>0</v>
      </c>
      <c r="U274" s="632"/>
      <c r="AF274" s="29"/>
      <c r="AG274" s="29"/>
      <c r="AH274" s="29"/>
      <c r="AI274" s="29"/>
      <c r="AJ274" s="29"/>
      <c r="AK274" s="29"/>
    </row>
    <row r="275" spans="1:37">
      <c r="A275" s="453">
        <v>1</v>
      </c>
      <c r="B275" s="453"/>
      <c r="C275" s="454"/>
      <c r="D275" s="455"/>
      <c r="E275" s="455"/>
      <c r="F275" s="456"/>
      <c r="G275" s="457"/>
      <c r="H275" s="456"/>
      <c r="I275" s="456"/>
      <c r="J275" s="314" t="s">
        <v>391</v>
      </c>
      <c r="K275" s="315"/>
      <c r="L275" s="313">
        <f ca="1">SUM(L270:L274)</f>
        <v>1</v>
      </c>
      <c r="M275" s="313"/>
      <c r="N275" s="313">
        <v>1</v>
      </c>
      <c r="O275" s="313"/>
      <c r="P275" s="313">
        <v>1</v>
      </c>
      <c r="Q275" s="315">
        <f ca="1">SUM(Q270:Q274)</f>
        <v>14</v>
      </c>
      <c r="R275" s="447">
        <v>13</v>
      </c>
      <c r="S275" s="447">
        <v>12</v>
      </c>
      <c r="T275" s="447">
        <v>13</v>
      </c>
      <c r="U275" s="463"/>
      <c r="AF275" s="29"/>
      <c r="AG275" s="29"/>
      <c r="AH275" s="29"/>
      <c r="AI275" s="29"/>
      <c r="AJ275" s="29"/>
      <c r="AK275" s="29"/>
    </row>
    <row r="276" spans="1:37">
      <c r="A276" s="453"/>
      <c r="B276" s="453"/>
      <c r="C276" s="454"/>
      <c r="D276" s="455"/>
      <c r="E276" s="455"/>
      <c r="F276" s="456"/>
      <c r="G276" s="457"/>
      <c r="H276" s="456"/>
      <c r="I276" s="456"/>
      <c r="J276" s="468"/>
      <c r="K276" s="471"/>
      <c r="L276" s="470"/>
      <c r="M276" s="470"/>
      <c r="N276" s="313"/>
      <c r="O276" s="470"/>
      <c r="P276" s="313"/>
      <c r="Q276" s="471"/>
      <c r="R276" s="316"/>
      <c r="S276" s="316"/>
      <c r="T276" s="481"/>
      <c r="U276" s="463"/>
    </row>
    <row r="277" spans="1:37">
      <c r="A277" s="453"/>
      <c r="B277" s="453"/>
      <c r="C277" s="454"/>
      <c r="D277" s="455"/>
      <c r="E277" s="455"/>
      <c r="F277" s="456"/>
      <c r="G277" s="457"/>
      <c r="H277" s="456"/>
      <c r="I277" s="456"/>
      <c r="J277" s="468"/>
      <c r="K277" s="471"/>
      <c r="L277" s="470"/>
      <c r="M277" s="470"/>
      <c r="N277" s="313"/>
      <c r="O277" s="470"/>
      <c r="P277" s="313"/>
      <c r="Q277" s="471"/>
      <c r="R277" s="316"/>
      <c r="S277" s="316"/>
      <c r="T277" s="481"/>
      <c r="U277" s="463"/>
    </row>
    <row r="278" spans="1:37">
      <c r="A278" s="453"/>
      <c r="B278" s="453"/>
      <c r="C278" s="454"/>
      <c r="D278" s="455"/>
      <c r="E278" s="455"/>
      <c r="F278" s="456"/>
      <c r="G278" s="457"/>
      <c r="H278" s="456"/>
      <c r="I278" s="456"/>
      <c r="J278" s="468"/>
      <c r="K278" s="471"/>
      <c r="L278" s="470"/>
      <c r="M278" s="470"/>
      <c r="N278" s="313"/>
      <c r="O278" s="470"/>
      <c r="P278" s="313"/>
      <c r="Q278" s="471"/>
      <c r="R278" s="316"/>
      <c r="S278" s="316"/>
      <c r="T278" s="481"/>
      <c r="U278" s="463"/>
    </row>
    <row r="279" spans="1:37">
      <c r="A279" s="453"/>
      <c r="B279" s="453"/>
      <c r="C279" s="454"/>
      <c r="D279" s="455"/>
      <c r="E279" s="455"/>
      <c r="F279" s="456"/>
      <c r="G279" s="457"/>
      <c r="H279" s="456"/>
      <c r="I279" s="456"/>
      <c r="J279" s="468"/>
      <c r="K279" s="471"/>
      <c r="L279" s="470"/>
      <c r="M279" s="470"/>
      <c r="N279" s="313"/>
      <c r="O279" s="470"/>
      <c r="P279" s="313"/>
      <c r="Q279" s="471"/>
      <c r="R279" s="316"/>
      <c r="S279" s="316"/>
      <c r="T279" s="481"/>
      <c r="U279" s="463"/>
    </row>
    <row r="280" spans="1:37">
      <c r="A280" s="453"/>
      <c r="B280" s="453"/>
      <c r="C280" s="454"/>
      <c r="D280" s="455"/>
      <c r="E280" s="455"/>
      <c r="F280" s="456"/>
      <c r="G280" s="457"/>
      <c r="H280" s="456"/>
      <c r="I280" s="456"/>
      <c r="J280" s="468"/>
      <c r="K280" s="471"/>
      <c r="L280" s="470"/>
      <c r="M280" s="470"/>
      <c r="N280" s="313"/>
      <c r="O280" s="470"/>
      <c r="P280" s="313"/>
      <c r="Q280" s="471"/>
      <c r="R280" s="316"/>
      <c r="S280" s="316"/>
      <c r="T280" s="481"/>
      <c r="U280" s="463"/>
    </row>
    <row r="281" spans="1:37">
      <c r="A281" s="453"/>
      <c r="B281" s="453"/>
      <c r="C281" s="454"/>
      <c r="D281" s="455"/>
      <c r="E281" s="455"/>
      <c r="F281" s="456"/>
      <c r="G281" s="457"/>
      <c r="H281" s="456"/>
      <c r="I281" s="456"/>
      <c r="J281" s="468"/>
      <c r="K281" s="471"/>
      <c r="L281" s="470"/>
      <c r="M281" s="470"/>
      <c r="N281" s="313"/>
      <c r="O281" s="470"/>
      <c r="P281" s="313"/>
      <c r="Q281" s="471"/>
      <c r="R281" s="316"/>
      <c r="S281" s="316"/>
      <c r="T281" s="481"/>
      <c r="U281" s="463"/>
    </row>
    <row r="282" spans="1:37">
      <c r="A282" s="453"/>
      <c r="B282" s="453"/>
      <c r="C282" s="454"/>
      <c r="D282" s="455"/>
      <c r="E282" s="455"/>
      <c r="F282" s="456"/>
      <c r="G282" s="457"/>
      <c r="H282" s="456"/>
      <c r="I282" s="456"/>
      <c r="J282" s="468"/>
      <c r="K282" s="471"/>
      <c r="L282" s="470"/>
      <c r="M282" s="470"/>
      <c r="N282" s="313"/>
      <c r="O282" s="470"/>
      <c r="P282" s="313"/>
      <c r="Q282" s="471"/>
      <c r="R282" s="316"/>
      <c r="S282" s="316"/>
      <c r="T282" s="481"/>
      <c r="U282" s="463"/>
    </row>
    <row r="283" spans="1:37">
      <c r="A283" s="453"/>
      <c r="B283" s="453"/>
      <c r="C283" s="454"/>
      <c r="D283" s="455"/>
      <c r="E283" s="455"/>
      <c r="F283" s="456"/>
      <c r="G283" s="457"/>
      <c r="H283" s="456"/>
      <c r="I283" s="456"/>
      <c r="J283" s="468"/>
      <c r="K283" s="471"/>
      <c r="L283" s="470"/>
      <c r="M283" s="470"/>
      <c r="N283" s="313"/>
      <c r="O283" s="470"/>
      <c r="P283" s="313"/>
      <c r="Q283" s="471"/>
      <c r="R283" s="316"/>
      <c r="S283" s="316"/>
      <c r="T283" s="481"/>
      <c r="U283" s="463"/>
    </row>
    <row r="284" spans="1:37">
      <c r="A284" s="453"/>
      <c r="B284" s="453"/>
      <c r="C284" s="454"/>
      <c r="D284" s="455"/>
      <c r="E284" s="455"/>
      <c r="F284" s="456"/>
      <c r="G284" s="457"/>
      <c r="H284" s="456"/>
      <c r="I284" s="456"/>
      <c r="J284" s="468"/>
      <c r="K284" s="471"/>
      <c r="L284" s="470"/>
      <c r="M284" s="470"/>
      <c r="N284" s="313"/>
      <c r="O284" s="470"/>
      <c r="P284" s="313"/>
      <c r="Q284" s="471"/>
      <c r="R284" s="316"/>
      <c r="S284" s="316"/>
      <c r="T284" s="481"/>
      <c r="U284" s="463"/>
    </row>
    <row r="285" spans="1:37">
      <c r="A285" s="453"/>
      <c r="B285" s="453"/>
      <c r="C285" s="454"/>
      <c r="D285" s="455"/>
      <c r="E285" s="455"/>
      <c r="F285" s="456"/>
      <c r="G285" s="457"/>
      <c r="H285" s="456"/>
      <c r="I285" s="456"/>
      <c r="J285" s="468"/>
      <c r="K285" s="471"/>
      <c r="L285" s="470"/>
      <c r="M285" s="470"/>
      <c r="N285" s="313"/>
      <c r="O285" s="470"/>
      <c r="P285" s="313"/>
      <c r="Q285" s="471"/>
      <c r="R285" s="316"/>
      <c r="S285" s="316"/>
      <c r="T285" s="481"/>
      <c r="U285" s="463"/>
    </row>
    <row r="286" spans="1:37">
      <c r="A286" s="453"/>
      <c r="B286" s="453"/>
      <c r="C286" s="454"/>
      <c r="D286" s="455"/>
      <c r="E286" s="455"/>
      <c r="F286" s="456"/>
      <c r="G286" s="457"/>
      <c r="H286" s="456"/>
      <c r="I286" s="456"/>
      <c r="J286" s="468"/>
      <c r="K286" s="471"/>
      <c r="L286" s="470"/>
      <c r="M286" s="470"/>
      <c r="N286" s="313"/>
      <c r="O286" s="470"/>
      <c r="P286" s="313"/>
      <c r="Q286" s="471"/>
      <c r="R286" s="316"/>
      <c r="S286" s="316"/>
      <c r="T286" s="481"/>
      <c r="U286" s="463"/>
    </row>
    <row r="287" spans="1:37">
      <c r="A287" s="453"/>
      <c r="B287" s="453"/>
      <c r="C287" s="454"/>
      <c r="D287" s="455"/>
      <c r="E287" s="455"/>
      <c r="F287" s="456"/>
      <c r="G287" s="457"/>
      <c r="H287" s="456"/>
      <c r="I287" s="456"/>
      <c r="J287" s="468"/>
      <c r="K287" s="471"/>
      <c r="L287" s="470"/>
      <c r="M287" s="470"/>
      <c r="N287" s="313"/>
      <c r="O287" s="470"/>
      <c r="P287" s="313"/>
      <c r="Q287" s="471"/>
      <c r="R287" s="316"/>
      <c r="S287" s="316"/>
      <c r="T287" s="481"/>
      <c r="U287" s="463"/>
    </row>
    <row r="288" spans="1:37">
      <c r="A288" s="453"/>
      <c r="B288" s="453"/>
      <c r="C288" s="454"/>
      <c r="D288" s="455"/>
      <c r="E288" s="455"/>
      <c r="F288" s="456"/>
      <c r="G288" s="457"/>
      <c r="H288" s="456"/>
      <c r="I288" s="456"/>
      <c r="J288" s="468"/>
      <c r="K288" s="471"/>
      <c r="L288" s="470"/>
      <c r="M288" s="470"/>
      <c r="N288" s="313"/>
      <c r="O288" s="470"/>
      <c r="P288" s="313"/>
      <c r="Q288" s="471"/>
      <c r="R288" s="316"/>
      <c r="S288" s="316"/>
      <c r="T288" s="481"/>
      <c r="U288" s="463"/>
    </row>
    <row r="289" spans="1:21">
      <c r="A289" s="453"/>
      <c r="B289" s="453"/>
      <c r="C289" s="454"/>
      <c r="D289" s="455"/>
      <c r="E289" s="455"/>
      <c r="F289" s="456"/>
      <c r="G289" s="457"/>
      <c r="H289" s="456"/>
      <c r="I289" s="456"/>
      <c r="J289" s="468"/>
      <c r="K289" s="471"/>
      <c r="L289" s="470"/>
      <c r="M289" s="470"/>
      <c r="N289" s="313"/>
      <c r="O289" s="470"/>
      <c r="P289" s="313"/>
      <c r="Q289" s="471"/>
      <c r="R289" s="316"/>
      <c r="S289" s="316"/>
      <c r="T289" s="481"/>
      <c r="U289" s="463"/>
    </row>
    <row r="290" spans="1:21">
      <c r="A290" s="453"/>
      <c r="B290" s="453"/>
      <c r="C290" s="454"/>
      <c r="D290" s="455"/>
      <c r="E290" s="455"/>
      <c r="F290" s="456"/>
      <c r="G290" s="457"/>
      <c r="H290" s="456"/>
      <c r="I290" s="456"/>
      <c r="J290" s="468"/>
      <c r="K290" s="471"/>
      <c r="L290" s="470"/>
      <c r="M290" s="470"/>
      <c r="N290" s="313"/>
      <c r="O290" s="470"/>
      <c r="P290" s="313"/>
      <c r="Q290" s="471"/>
      <c r="R290" s="316"/>
      <c r="S290" s="316"/>
      <c r="T290" s="481"/>
      <c r="U290" s="463"/>
    </row>
    <row r="291" spans="1:21">
      <c r="A291" s="453"/>
      <c r="B291" s="453"/>
      <c r="C291" s="454"/>
      <c r="D291" s="455"/>
      <c r="E291" s="455"/>
      <c r="F291" s="456"/>
      <c r="G291" s="457"/>
      <c r="H291" s="456"/>
      <c r="I291" s="456"/>
      <c r="J291" s="468"/>
      <c r="K291" s="471"/>
      <c r="L291" s="470"/>
      <c r="M291" s="470"/>
      <c r="N291" s="313"/>
      <c r="O291" s="470"/>
      <c r="P291" s="313"/>
      <c r="Q291" s="471"/>
      <c r="R291" s="316"/>
      <c r="S291" s="316"/>
      <c r="T291" s="481"/>
      <c r="U291" s="463"/>
    </row>
    <row r="292" spans="1:21">
      <c r="A292" s="453"/>
      <c r="B292" s="453"/>
      <c r="C292" s="454"/>
      <c r="D292" s="455"/>
      <c r="E292" s="455"/>
      <c r="F292" s="456"/>
      <c r="G292" s="457"/>
      <c r="H292" s="456"/>
      <c r="I292" s="456"/>
      <c r="J292" s="468"/>
      <c r="K292" s="471"/>
      <c r="L292" s="470"/>
      <c r="M292" s="470"/>
      <c r="N292" s="313"/>
      <c r="O292" s="470"/>
      <c r="P292" s="313"/>
      <c r="Q292" s="471"/>
      <c r="R292" s="316"/>
      <c r="S292" s="316"/>
      <c r="T292" s="481"/>
      <c r="U292" s="463"/>
    </row>
    <row r="293" spans="1:21">
      <c r="A293" s="453"/>
      <c r="B293" s="453"/>
      <c r="C293" s="454"/>
      <c r="D293" s="455"/>
      <c r="E293" s="455"/>
      <c r="F293" s="456"/>
      <c r="G293" s="457"/>
      <c r="H293" s="456"/>
      <c r="I293" s="456"/>
      <c r="J293" s="468"/>
      <c r="K293" s="471"/>
      <c r="L293" s="470"/>
      <c r="M293" s="470"/>
      <c r="N293" s="313"/>
      <c r="O293" s="470"/>
      <c r="P293" s="313"/>
      <c r="Q293" s="471"/>
      <c r="R293" s="316"/>
      <c r="S293" s="316"/>
      <c r="T293" s="481"/>
      <c r="U293" s="463"/>
    </row>
    <row r="294" spans="1:21">
      <c r="A294" s="453"/>
      <c r="B294" s="453"/>
      <c r="C294" s="454"/>
      <c r="D294" s="455"/>
      <c r="E294" s="455"/>
      <c r="F294" s="456"/>
      <c r="G294" s="457"/>
      <c r="H294" s="456"/>
      <c r="I294" s="456"/>
      <c r="J294" s="468"/>
      <c r="K294" s="471"/>
      <c r="L294" s="470"/>
      <c r="M294" s="470"/>
      <c r="N294" s="313"/>
      <c r="O294" s="470"/>
      <c r="P294" s="313"/>
      <c r="Q294" s="471"/>
      <c r="R294" s="316"/>
      <c r="S294" s="316"/>
      <c r="T294" s="481"/>
      <c r="U294" s="463"/>
    </row>
    <row r="295" spans="1:21">
      <c r="A295" s="453"/>
      <c r="B295" s="453"/>
      <c r="C295" s="454"/>
      <c r="D295" s="455"/>
      <c r="E295" s="455"/>
      <c r="F295" s="456"/>
      <c r="G295" s="457"/>
      <c r="H295" s="456"/>
      <c r="I295" s="456"/>
      <c r="J295" s="468"/>
      <c r="K295" s="467"/>
      <c r="L295" s="482"/>
      <c r="M295" s="482"/>
      <c r="N295" s="483"/>
      <c r="O295" s="482"/>
      <c r="P295" s="483"/>
      <c r="Q295" s="467"/>
      <c r="R295" s="484"/>
      <c r="S295" s="484"/>
      <c r="T295" s="481"/>
      <c r="U295" s="463"/>
    </row>
    <row r="296" spans="1:21">
      <c r="A296" s="453"/>
      <c r="B296" s="453"/>
      <c r="C296" s="454"/>
      <c r="D296" s="455"/>
      <c r="E296" s="455"/>
      <c r="F296" s="456"/>
      <c r="G296" s="457"/>
      <c r="H296" s="456"/>
      <c r="I296" s="456"/>
      <c r="J296" s="468"/>
      <c r="K296" s="467"/>
      <c r="L296" s="482"/>
      <c r="M296" s="482"/>
      <c r="N296" s="483"/>
      <c r="O296" s="482"/>
      <c r="P296" s="483"/>
      <c r="Q296" s="467"/>
      <c r="R296" s="484"/>
      <c r="S296" s="484"/>
      <c r="T296" s="481"/>
      <c r="U296" s="463"/>
    </row>
    <row r="297" spans="1:21">
      <c r="A297" s="453"/>
      <c r="B297" s="453"/>
      <c r="C297" s="454"/>
      <c r="D297" s="455"/>
      <c r="E297" s="455"/>
      <c r="F297" s="456"/>
      <c r="G297" s="457"/>
      <c r="H297" s="456"/>
      <c r="I297" s="456"/>
      <c r="J297" s="468"/>
      <c r="K297" s="467"/>
      <c r="L297" s="482"/>
      <c r="M297" s="482"/>
      <c r="N297" s="483"/>
      <c r="O297" s="482"/>
      <c r="P297" s="483"/>
      <c r="Q297" s="467"/>
      <c r="R297" s="484"/>
      <c r="S297" s="484"/>
      <c r="T297" s="481"/>
      <c r="U297" s="463"/>
    </row>
    <row r="298" spans="1:21">
      <c r="A298" s="453"/>
      <c r="B298" s="453"/>
      <c r="C298" s="454"/>
      <c r="D298" s="455"/>
      <c r="E298" s="455"/>
      <c r="F298" s="456"/>
      <c r="G298" s="457"/>
      <c r="H298" s="456"/>
      <c r="I298" s="456"/>
      <c r="J298" s="468"/>
      <c r="K298" s="467"/>
      <c r="L298" s="482"/>
      <c r="M298" s="482"/>
      <c r="N298" s="483"/>
      <c r="O298" s="482"/>
      <c r="P298" s="483"/>
      <c r="Q298" s="467"/>
      <c r="R298" s="484"/>
      <c r="S298" s="484"/>
      <c r="T298" s="481"/>
      <c r="U298" s="463"/>
    </row>
    <row r="299" spans="1:21">
      <c r="A299" s="453"/>
      <c r="B299" s="453"/>
      <c r="C299" s="454"/>
      <c r="D299" s="455"/>
      <c r="E299" s="455"/>
      <c r="F299" s="456"/>
      <c r="G299" s="457"/>
      <c r="H299" s="456"/>
      <c r="I299" s="456"/>
      <c r="J299" s="468"/>
      <c r="K299" s="467"/>
      <c r="L299" s="482"/>
      <c r="M299" s="482"/>
      <c r="N299" s="483"/>
      <c r="O299" s="482"/>
      <c r="P299" s="483"/>
      <c r="Q299" s="467"/>
      <c r="R299" s="484"/>
      <c r="S299" s="484"/>
      <c r="T299" s="481"/>
      <c r="U299" s="463"/>
    </row>
    <row r="300" spans="1:21">
      <c r="A300" s="453"/>
      <c r="B300" s="453"/>
      <c r="C300" s="454"/>
      <c r="D300" s="455"/>
      <c r="E300" s="455"/>
      <c r="F300" s="456"/>
      <c r="G300" s="457"/>
      <c r="H300" s="456"/>
      <c r="I300" s="456"/>
      <c r="J300" s="468"/>
      <c r="K300" s="467"/>
      <c r="L300" s="482"/>
      <c r="M300" s="482"/>
      <c r="N300" s="483"/>
      <c r="O300" s="482"/>
      <c r="P300" s="482"/>
      <c r="Q300" s="467"/>
      <c r="R300" s="484"/>
      <c r="S300" s="484"/>
      <c r="T300" s="481"/>
      <c r="U300" s="463"/>
    </row>
    <row r="301" spans="1:21">
      <c r="A301" s="453"/>
      <c r="B301" s="453"/>
      <c r="C301" s="454"/>
      <c r="D301" s="455"/>
      <c r="E301" s="455"/>
      <c r="F301" s="456"/>
      <c r="G301" s="457"/>
      <c r="H301" s="456"/>
      <c r="I301" s="456"/>
      <c r="J301" s="468"/>
      <c r="K301" s="467"/>
      <c r="L301" s="482"/>
      <c r="M301" s="482"/>
      <c r="N301" s="483"/>
      <c r="O301" s="482"/>
      <c r="P301" s="482"/>
      <c r="Q301" s="467"/>
      <c r="R301" s="484"/>
      <c r="S301" s="484"/>
      <c r="T301" s="481"/>
      <c r="U301" s="463"/>
    </row>
    <row r="302" spans="1:21">
      <c r="A302" s="453"/>
      <c r="B302" s="453"/>
      <c r="C302" s="454"/>
      <c r="D302" s="455"/>
      <c r="E302" s="455"/>
      <c r="F302" s="456"/>
      <c r="G302" s="457"/>
      <c r="H302" s="456"/>
      <c r="I302" s="456"/>
      <c r="J302" s="468"/>
      <c r="K302" s="467"/>
      <c r="L302" s="482"/>
      <c r="M302" s="482"/>
      <c r="N302" s="483"/>
      <c r="O302" s="483"/>
      <c r="P302" s="482"/>
      <c r="Q302" s="467"/>
      <c r="R302" s="484"/>
      <c r="S302" s="484"/>
      <c r="T302" s="481"/>
      <c r="U302" s="463"/>
    </row>
    <row r="303" spans="1:21">
      <c r="A303" s="453"/>
      <c r="B303" s="453"/>
      <c r="C303" s="454"/>
      <c r="D303" s="455"/>
      <c r="E303" s="455"/>
      <c r="F303" s="456"/>
      <c r="G303" s="457"/>
      <c r="H303" s="456"/>
      <c r="I303" s="456"/>
      <c r="J303" s="468"/>
      <c r="K303" s="467"/>
      <c r="L303" s="482"/>
      <c r="M303" s="482"/>
      <c r="N303" s="483"/>
      <c r="O303" s="483"/>
      <c r="P303" s="482"/>
      <c r="Q303" s="467"/>
      <c r="R303" s="484"/>
      <c r="S303" s="484"/>
      <c r="T303" s="481"/>
      <c r="U303" s="463"/>
    </row>
    <row r="304" spans="1:21">
      <c r="A304" s="453"/>
      <c r="B304" s="453"/>
      <c r="C304" s="454"/>
      <c r="D304" s="455"/>
      <c r="E304" s="455"/>
      <c r="F304" s="456"/>
      <c r="G304" s="457"/>
      <c r="H304" s="456"/>
      <c r="I304" s="456"/>
      <c r="J304" s="468"/>
      <c r="K304" s="467"/>
      <c r="L304" s="482"/>
      <c r="M304" s="482"/>
      <c r="N304" s="483"/>
      <c r="O304" s="483"/>
      <c r="P304" s="482"/>
      <c r="Q304" s="467"/>
      <c r="R304" s="484"/>
      <c r="S304" s="484"/>
      <c r="T304" s="481"/>
      <c r="U304" s="463"/>
    </row>
    <row r="305" spans="1:21">
      <c r="A305" s="453"/>
      <c r="B305" s="453"/>
      <c r="C305" s="454"/>
      <c r="D305" s="455"/>
      <c r="E305" s="455"/>
      <c r="F305" s="456"/>
      <c r="G305" s="457"/>
      <c r="H305" s="456"/>
      <c r="I305" s="456"/>
      <c r="J305" s="468"/>
      <c r="K305" s="467"/>
      <c r="L305" s="482"/>
      <c r="M305" s="482"/>
      <c r="N305" s="483"/>
      <c r="O305" s="483"/>
      <c r="P305" s="482"/>
      <c r="Q305" s="467"/>
      <c r="R305" s="484"/>
      <c r="S305" s="484"/>
      <c r="T305" s="481"/>
      <c r="U305" s="463"/>
    </row>
    <row r="306" spans="1:21">
      <c r="A306" s="453"/>
      <c r="B306" s="453"/>
      <c r="C306" s="454"/>
      <c r="D306" s="455"/>
      <c r="E306" s="455"/>
      <c r="F306" s="456"/>
      <c r="G306" s="457"/>
      <c r="H306" s="456"/>
      <c r="I306" s="456"/>
      <c r="J306" s="468"/>
      <c r="K306" s="467"/>
      <c r="L306" s="482"/>
      <c r="M306" s="482"/>
      <c r="N306" s="483"/>
      <c r="O306" s="483"/>
      <c r="P306" s="482"/>
      <c r="Q306" s="467"/>
      <c r="R306" s="484"/>
      <c r="S306" s="484"/>
      <c r="T306" s="481"/>
      <c r="U306" s="463"/>
    </row>
    <row r="307" spans="1:21">
      <c r="A307" s="453"/>
      <c r="B307" s="453"/>
      <c r="C307" s="454"/>
      <c r="D307" s="455"/>
      <c r="E307" s="455"/>
      <c r="F307" s="456"/>
      <c r="G307" s="457"/>
      <c r="H307" s="456"/>
      <c r="I307" s="456"/>
      <c r="J307" s="468"/>
      <c r="K307" s="467"/>
      <c r="L307" s="482"/>
      <c r="M307" s="482"/>
      <c r="N307" s="483"/>
      <c r="O307" s="483"/>
      <c r="P307" s="482"/>
      <c r="Q307" s="467"/>
      <c r="R307" s="484"/>
      <c r="S307" s="484"/>
      <c r="T307" s="481"/>
      <c r="U307" s="463"/>
    </row>
    <row r="308" spans="1:21">
      <c r="J308" s="392"/>
      <c r="K308" s="52"/>
      <c r="L308" s="394"/>
      <c r="M308" s="394"/>
      <c r="N308" s="448"/>
      <c r="O308" s="448"/>
      <c r="P308" s="394"/>
      <c r="Q308" s="52"/>
      <c r="R308" s="449"/>
      <c r="S308" s="449"/>
    </row>
    <row r="309" spans="1:21">
      <c r="J309" s="392"/>
      <c r="K309" s="52"/>
      <c r="L309" s="394"/>
      <c r="M309" s="394"/>
      <c r="N309" s="448"/>
      <c r="O309" s="448"/>
      <c r="P309" s="394"/>
      <c r="Q309" s="52"/>
      <c r="R309" s="449"/>
      <c r="S309" s="449"/>
    </row>
    <row r="310" spans="1:21">
      <c r="J310" s="392"/>
      <c r="K310" s="52"/>
      <c r="L310" s="394"/>
      <c r="M310" s="394"/>
      <c r="N310" s="448"/>
      <c r="O310" s="448"/>
      <c r="P310" s="394"/>
      <c r="Q310" s="52"/>
      <c r="R310" s="449"/>
      <c r="S310" s="449"/>
    </row>
    <row r="311" spans="1:21">
      <c r="J311" s="392"/>
      <c r="K311" s="52"/>
      <c r="L311" s="394"/>
      <c r="M311" s="394"/>
      <c r="N311" s="448"/>
      <c r="O311" s="448"/>
      <c r="P311" s="394"/>
      <c r="Q311" s="52"/>
      <c r="R311" s="449"/>
      <c r="S311" s="449"/>
    </row>
    <row r="312" spans="1:21">
      <c r="K312" s="52"/>
      <c r="L312" s="394"/>
      <c r="M312" s="394"/>
      <c r="N312" s="448"/>
      <c r="O312" s="448"/>
      <c r="P312" s="394"/>
      <c r="Q312" s="52"/>
      <c r="R312" s="449"/>
      <c r="S312" s="449"/>
    </row>
    <row r="313" spans="1:21">
      <c r="L313" s="394"/>
      <c r="M313" s="394"/>
      <c r="N313" s="448"/>
      <c r="O313" s="448"/>
      <c r="P313" s="394"/>
      <c r="Q313" s="52"/>
      <c r="R313" s="449"/>
      <c r="S313" s="449"/>
    </row>
    <row r="314" spans="1:21">
      <c r="L314" s="394"/>
      <c r="M314" s="394"/>
      <c r="N314" s="448"/>
      <c r="O314" s="448"/>
      <c r="P314" s="394"/>
    </row>
  </sheetData>
  <mergeCells count="41">
    <mergeCell ref="U69:U71"/>
    <mergeCell ref="U3:U7"/>
    <mergeCell ref="U10:U13"/>
    <mergeCell ref="U15:U17"/>
    <mergeCell ref="U19:U22"/>
    <mergeCell ref="U24:U28"/>
    <mergeCell ref="U34:U39"/>
    <mergeCell ref="U42:U44"/>
    <mergeCell ref="U47:U50"/>
    <mergeCell ref="U53:U55"/>
    <mergeCell ref="U57:U59"/>
    <mergeCell ref="U62:U64"/>
    <mergeCell ref="U151:U153"/>
    <mergeCell ref="U74:U76"/>
    <mergeCell ref="U79:U81"/>
    <mergeCell ref="U92:U95"/>
    <mergeCell ref="U102:U104"/>
    <mergeCell ref="U107:U109"/>
    <mergeCell ref="U111:U113"/>
    <mergeCell ref="U116:U118"/>
    <mergeCell ref="U121:U124"/>
    <mergeCell ref="U134:U137"/>
    <mergeCell ref="U140:U143"/>
    <mergeCell ref="U146:U148"/>
    <mergeCell ref="U156:U158"/>
    <mergeCell ref="U184:U186"/>
    <mergeCell ref="U189:U191"/>
    <mergeCell ref="U194:U197"/>
    <mergeCell ref="U200:U202"/>
    <mergeCell ref="U266:U268"/>
    <mergeCell ref="U270:U274"/>
    <mergeCell ref="U161:U163"/>
    <mergeCell ref="U177:U180"/>
    <mergeCell ref="U229:U232"/>
    <mergeCell ref="U234:U236"/>
    <mergeCell ref="U238:U240"/>
    <mergeCell ref="U243:U245"/>
    <mergeCell ref="U247:U250"/>
    <mergeCell ref="U261:U263"/>
    <mergeCell ref="U253:U258"/>
    <mergeCell ref="U220:U222"/>
  </mergeCells>
  <phoneticPr fontId="3" type="noConversion"/>
  <conditionalFormatting sqref="M1:M1048576 O1:O1048576">
    <cfRule type="colorScale" priority="2">
      <colorScale>
        <cfvo type="num" val="-0.05"/>
        <cfvo type="num" val="0.05"/>
        <color rgb="FFFF0000"/>
        <color rgb="FF92D050"/>
      </colorScale>
    </cfRule>
  </conditionalFormatting>
  <conditionalFormatting sqref="U15:U17">
    <cfRule type="colorScale" priority="1">
      <colorScale>
        <cfvo type="num" val="-0.05"/>
        <cfvo type="percent" val="50"/>
        <cfvo type="num" val="0.05"/>
        <color rgb="FFF8696B"/>
        <color rgb="FFFFEB84"/>
        <color rgb="FF63BE7B"/>
      </colorScale>
    </cfRule>
  </conditionalFormatting>
  <pageMargins left="0.31496062992125984" right="0.31496062992125984" top="0.35433070866141736" bottom="0.35433070866141736" header="0.31496062992125984" footer="0.31496062992125984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 enableFormatConditionsCalculation="0"/>
  <dimension ref="A1:Z39"/>
  <sheetViews>
    <sheetView topLeftCell="A22" workbookViewId="0">
      <selection activeCell="K25" sqref="K25"/>
    </sheetView>
  </sheetViews>
  <sheetFormatPr baseColWidth="10" defaultColWidth="8.83203125" defaultRowHeight="12" x14ac:dyDescent="0"/>
  <cols>
    <col min="1" max="1" width="5.1640625" customWidth="1"/>
    <col min="2" max="2" width="4.83203125" customWidth="1"/>
    <col min="3" max="3" width="8.5" style="29" customWidth="1"/>
    <col min="4" max="4" width="46.5" style="42" customWidth="1"/>
    <col min="5" max="5" width="6.6640625" style="42" customWidth="1"/>
    <col min="6" max="6" width="6.5" style="36" customWidth="1"/>
    <col min="7" max="7" width="6.6640625" customWidth="1"/>
    <col min="8" max="8" width="6.6640625" style="29" customWidth="1"/>
    <col min="9" max="24" width="14.6640625" style="29" customWidth="1"/>
  </cols>
  <sheetData>
    <row r="1" spans="1:26" ht="15" customHeight="1">
      <c r="A1" s="90"/>
      <c r="B1" s="92"/>
      <c r="C1" s="92"/>
      <c r="D1" s="97"/>
      <c r="F1" s="42"/>
      <c r="G1" s="116" t="s">
        <v>437</v>
      </c>
      <c r="H1" s="116" t="s">
        <v>438</v>
      </c>
    </row>
    <row r="2" spans="1:26" ht="15" customHeight="1">
      <c r="A2" s="90"/>
      <c r="B2" s="91" t="s">
        <v>276</v>
      </c>
      <c r="C2" s="91" t="s">
        <v>192</v>
      </c>
      <c r="D2" s="97" t="s">
        <v>423</v>
      </c>
      <c r="E2" s="42">
        <f ca="1">COUNT(Dati!E21:E92)</f>
        <v>46</v>
      </c>
      <c r="F2" s="42"/>
      <c r="G2" s="36">
        <v>21</v>
      </c>
      <c r="H2" s="36">
        <f ca="1">G2+E2-1</f>
        <v>66</v>
      </c>
      <c r="I2" s="38">
        <v>1</v>
      </c>
      <c r="J2" s="38">
        <f t="shared" ref="J2:S2" si="0">I2+1</f>
        <v>2</v>
      </c>
      <c r="K2" s="38">
        <f t="shared" si="0"/>
        <v>3</v>
      </c>
      <c r="L2" s="38">
        <f t="shared" si="0"/>
        <v>4</v>
      </c>
      <c r="M2" s="38">
        <f t="shared" si="0"/>
        <v>5</v>
      </c>
      <c r="N2" s="38">
        <f t="shared" si="0"/>
        <v>6</v>
      </c>
      <c r="O2" s="38">
        <f t="shared" si="0"/>
        <v>7</v>
      </c>
      <c r="P2" s="38">
        <f t="shared" si="0"/>
        <v>8</v>
      </c>
      <c r="Q2" s="38">
        <f t="shared" si="0"/>
        <v>9</v>
      </c>
      <c r="R2" s="38">
        <f t="shared" si="0"/>
        <v>10</v>
      </c>
      <c r="S2" s="38">
        <f t="shared" si="0"/>
        <v>11</v>
      </c>
      <c r="T2" s="38">
        <f t="shared" ref="T2:Y2" si="1">S2+1</f>
        <v>12</v>
      </c>
      <c r="U2" s="38">
        <f t="shared" si="1"/>
        <v>13</v>
      </c>
      <c r="V2" s="38">
        <f t="shared" si="1"/>
        <v>14</v>
      </c>
      <c r="W2" s="38">
        <f t="shared" si="1"/>
        <v>15</v>
      </c>
      <c r="X2" s="38">
        <f t="shared" si="1"/>
        <v>16</v>
      </c>
      <c r="Y2" s="36">
        <f t="shared" si="1"/>
        <v>17</v>
      </c>
      <c r="Z2" s="36">
        <f>Y2+1</f>
        <v>18</v>
      </c>
    </row>
    <row r="3" spans="1:26" ht="28" customHeight="1">
      <c r="A3" s="90"/>
      <c r="B3" s="93" t="str">
        <f ca="1">INDIRECT(ADDRESS(14,A4+2,1,TRUE,"Dati"))</f>
        <v>KPI 4  -  Sicurezza Organizzazione</v>
      </c>
      <c r="C3" s="92"/>
      <c r="D3" s="97"/>
      <c r="F3" s="42"/>
      <c r="G3" s="36"/>
      <c r="H3" s="35"/>
      <c r="I3" s="99" t="str">
        <f ca="1">ADDRESS($G$2-15,ROW()/2+1,1,TRUE,Dati!$A$16&amp;Dati!$BP$17) &amp;":"&amp; ADDRESS($H$2-15,ROW()/2+1,1,TRUE)</f>
        <v>[sicurezzaConsuntivoFinale2010.xls]sicurezzaServizi!$B$6:$B$51</v>
      </c>
      <c r="K3" s="99"/>
      <c r="M3" s="99" t="str">
        <f ca="1">ADDRESS($G$2,$A4,1,TRUE,"Dati") &amp;":"&amp; ADDRESS($H$2,$A4,1,TRUE)</f>
        <v>Dati!$CS$21:$CS$66</v>
      </c>
    </row>
    <row r="4" spans="1:26" ht="75" customHeight="1">
      <c r="A4" s="94">
        <f>Dati!CS10</f>
        <v>97</v>
      </c>
      <c r="B4" s="95">
        <f ca="1">INDIRECT("Dati!R12C"&amp;A4,FALSE)</f>
        <v>46</v>
      </c>
      <c r="C4" s="95" t="str">
        <f ca="1">INDIRECT("Dati!R15C"&amp;A4,FALSE)</f>
        <v>KPI 4.1</v>
      </c>
      <c r="D4" s="98" t="str">
        <f ca="1">INDIRECT("Dati!R16C"&amp;A4,FALSE)</f>
        <v>E' stato formalmente definito ed approvato il piano della sicurezza ICT ?</v>
      </c>
      <c r="E4" s="43"/>
      <c r="F4" s="43"/>
      <c r="G4" s="37"/>
      <c r="H4" s="34"/>
      <c r="I4" s="41" t="str">
        <f ca="1">INDIRECT(ADDRESS(I$2,$A4,1,TRUE,"Dati"))</f>
        <v>--</v>
      </c>
      <c r="J4" s="41" t="str">
        <f ca="1">INDIRECT(ADDRESS(J$2,$A4,1,TRUE,"Dati"))</f>
        <v>NO</v>
      </c>
      <c r="K4" s="41" t="str">
        <f ca="1">INDIRECT(ADDRESS(K$2,$A4,1,TRUE,"Dati"))</f>
        <v>SI</v>
      </c>
      <c r="L4" s="41"/>
      <c r="M4" s="41"/>
      <c r="N4" s="39"/>
      <c r="O4" s="39"/>
      <c r="P4" s="39"/>
      <c r="Q4" s="39"/>
      <c r="R4" s="39"/>
      <c r="S4" s="39"/>
    </row>
    <row r="5" spans="1:26" ht="15" customHeight="1">
      <c r="A5" s="94"/>
      <c r="B5" s="95"/>
      <c r="C5" s="95"/>
      <c r="D5" s="98"/>
      <c r="E5" s="43"/>
      <c r="F5" s="43"/>
      <c r="G5" s="37"/>
      <c r="H5" s="50">
        <f ca="1">SUM(I5:Q5)</f>
        <v>46</v>
      </c>
      <c r="I5" s="39">
        <f ca="1">COUNTIF(INDIRECT(ADDRESS($G$2,$A4,1,TRUE,"Dati") &amp;":"&amp; ADDRESS($H$2,$A4,1,TRUE)), "="&amp;T(I4))</f>
        <v>7</v>
      </c>
      <c r="J5" s="272">
        <f ca="1">COUNTIF(INDIRECT(ADDRESS($G$2,$A4,1,TRUE,"Dati") &amp;":"&amp; ADDRESS($H$2,$A4,1,TRUE)), "="&amp;T(J4))</f>
        <v>14</v>
      </c>
      <c r="K5" s="39">
        <f ca="1">COUNTIF(INDIRECT(ADDRESS($G$2,$A4,1,TRUE,"Dati") &amp;":"&amp; ADDRESS($H$2,$A4,1,TRUE)), "="&amp;T(K4))</f>
        <v>25</v>
      </c>
      <c r="L5" s="39"/>
      <c r="M5" s="39"/>
      <c r="N5" s="99"/>
      <c r="O5" s="39"/>
      <c r="P5" s="39"/>
      <c r="Q5" s="39"/>
      <c r="R5" s="39"/>
      <c r="S5" s="39"/>
    </row>
    <row r="6" spans="1:26" ht="75" customHeight="1">
      <c r="A6" s="94">
        <f>A4+2</f>
        <v>99</v>
      </c>
      <c r="B6" s="95">
        <f ca="1">INDIRECT("Dati!R12C"&amp;A6,FALSE)</f>
        <v>47</v>
      </c>
      <c r="C6" s="95" t="str">
        <f ca="1">INDIRECT("Dati!R15C"&amp;A6,FALSE)</f>
        <v>KPI 4.2</v>
      </c>
      <c r="D6" s="98" t="str">
        <f ca="1">INDIRECT("Dati!R16C"&amp;A6,FALSE)</f>
        <v>Esiste la definizione formale di una policy di sicurezza ITC ?</v>
      </c>
      <c r="E6" s="43"/>
      <c r="F6" s="112"/>
      <c r="G6" s="113"/>
      <c r="H6" s="50"/>
      <c r="I6" s="41" t="str">
        <f ca="1">INDIRECT(ADDRESS(I$2,$A6,1,TRUE,"Dati"))</f>
        <v>--</v>
      </c>
      <c r="J6" s="41" t="str">
        <f ca="1">INDIRECT(ADDRESS(J$2,$A6,1,TRUE,"Dati"))</f>
        <v>NO</v>
      </c>
      <c r="K6" s="41" t="str">
        <f ca="1">INDIRECT(ADDRESS(K$2,$A6,1,TRUE,"Dati"))</f>
        <v>SI</v>
      </c>
      <c r="L6" s="41"/>
      <c r="M6" s="41"/>
      <c r="N6" s="55"/>
      <c r="O6" s="55"/>
      <c r="P6" s="55"/>
      <c r="Q6" s="55"/>
      <c r="R6" s="55"/>
      <c r="S6" s="55"/>
    </row>
    <row r="7" spans="1:26" ht="15" customHeight="1">
      <c r="A7" s="94"/>
      <c r="B7" s="95"/>
      <c r="C7" s="95"/>
      <c r="D7" s="98"/>
      <c r="E7" s="43"/>
      <c r="F7" s="112"/>
      <c r="G7" s="113"/>
      <c r="H7" s="50">
        <f ca="1">SUM(I7:Q7)</f>
        <v>46</v>
      </c>
      <c r="I7" s="39">
        <f ca="1">COUNTIF(INDIRECT(ADDRESS($G$2,$A6,1,TRUE,"Dati") &amp;":"&amp; ADDRESS($H$2,$A6,1,TRUE)), "="&amp;T(I6))</f>
        <v>7</v>
      </c>
      <c r="J7" s="272">
        <f ca="1">COUNTIF(INDIRECT(ADDRESS($G$2,$A6,1,TRUE,"Dati") &amp;":"&amp; ADDRESS($H$2,$A6,1,TRUE)), "="&amp;T(J6))</f>
        <v>10</v>
      </c>
      <c r="K7" s="39">
        <f ca="1">COUNTIF(INDIRECT(ADDRESS($G$2,$A6,1,TRUE,"Dati") &amp;":"&amp; ADDRESS($H$2,$A6,1,TRUE)), "="&amp;T(K6))</f>
        <v>29</v>
      </c>
      <c r="L7" s="39"/>
      <c r="M7" s="55"/>
      <c r="N7" s="55"/>
      <c r="O7" s="55"/>
      <c r="P7" s="55"/>
      <c r="Q7" s="55"/>
      <c r="R7" s="55"/>
      <c r="S7" s="55"/>
    </row>
    <row r="8" spans="1:26" ht="75" customHeight="1">
      <c r="A8" s="94">
        <f>A6+2</f>
        <v>101</v>
      </c>
      <c r="B8" s="95">
        <f ca="1">INDIRECT("Dati!R12C"&amp;A8,FALSE)</f>
        <v>48</v>
      </c>
      <c r="C8" s="95" t="str">
        <f ca="1">INDIRECT("Dati!R15C"&amp;A8,FALSE)</f>
        <v>KPI 4.3</v>
      </c>
      <c r="D8" s="98" t="str">
        <f ca="1">INDIRECT("Dati!R16C"&amp;A8,FALSE)</f>
        <v>Sono stati attribuiti i ruoli e le responsabilità secondo quanto previsto dal DM 16-2-02?</v>
      </c>
      <c r="E8" s="43"/>
      <c r="F8" s="112"/>
      <c r="G8" s="113"/>
      <c r="H8" s="50"/>
      <c r="I8" s="41" t="str">
        <f ca="1">INDIRECT(ADDRESS(I$2,$A8,1,TRUE,"Dati"))</f>
        <v>--</v>
      </c>
      <c r="J8" s="41" t="str">
        <f ca="1">INDIRECT(ADDRESS(J$2,$A8,1,TRUE,"Dati"))</f>
        <v>NO</v>
      </c>
      <c r="K8" s="41" t="str">
        <f ca="1">INDIRECT(ADDRESS(K$2,$A8,1,TRUE,"Dati"))</f>
        <v>Sì, alcuni</v>
      </c>
      <c r="L8" s="41" t="str">
        <f ca="1">INDIRECT(ADDRESS(L$2,$A8,1,TRUE,"Dati"))</f>
        <v>Sì, tutti</v>
      </c>
      <c r="M8" s="114"/>
      <c r="N8" s="114"/>
      <c r="O8" s="55"/>
      <c r="P8" s="55"/>
      <c r="Q8" s="55"/>
      <c r="R8" s="55"/>
      <c r="S8" s="55"/>
    </row>
    <row r="9" spans="1:26" ht="15" customHeight="1">
      <c r="A9" s="94"/>
      <c r="B9" s="95"/>
      <c r="C9" s="95"/>
      <c r="D9" s="98"/>
      <c r="E9" s="43"/>
      <c r="F9" s="112"/>
      <c r="G9" s="113"/>
      <c r="H9" s="50">
        <f ca="1">SUM(I9:Q9)</f>
        <v>46</v>
      </c>
      <c r="I9" s="39">
        <f ca="1">COUNTIF(INDIRECT(ADDRESS($G$2,$A8,1,TRUE,"Dati") &amp;":"&amp; ADDRESS($H$2,$A8,1,TRUE)), "="&amp;T(I8))</f>
        <v>15</v>
      </c>
      <c r="J9" s="272">
        <f ca="1">COUNTIF(INDIRECT(ADDRESS($G$2,$A8,1,TRUE,"Dati") &amp;":"&amp; ADDRESS($H$2,$A8,1,TRUE)), "="&amp;T(J8))</f>
        <v>7</v>
      </c>
      <c r="K9" s="39">
        <f ca="1">COUNTIF(INDIRECT(ADDRESS($G$2,$A8,1,TRUE,"Dati") &amp;":"&amp; ADDRESS($H$2,$A8,1,TRUE)), "="&amp;T(K8))</f>
        <v>10</v>
      </c>
      <c r="L9" s="39">
        <f ca="1">COUNTIF(INDIRECT(ADDRESS($G$2,$A8,1,TRUE,"Dati") &amp;":"&amp; ADDRESS($H$2,$A8,1,TRUE)), "="&amp;T(L8))</f>
        <v>14</v>
      </c>
      <c r="M9" s="55"/>
      <c r="N9" s="55"/>
      <c r="O9" s="55"/>
      <c r="P9" s="55"/>
      <c r="Q9" s="55"/>
      <c r="R9" s="55"/>
      <c r="S9" s="55"/>
    </row>
    <row r="10" spans="1:26" ht="75" customHeight="1">
      <c r="A10" s="94">
        <f>A8+2</f>
        <v>103</v>
      </c>
      <c r="B10" s="95">
        <f ca="1">INDIRECT("Dati!R12C"&amp;A10,FALSE)</f>
        <v>49</v>
      </c>
      <c r="C10" s="95" t="str">
        <f ca="1">INDIRECT("Dati!R15C"&amp;A10,FALSE)</f>
        <v>KPI 4.4</v>
      </c>
      <c r="D10" s="98" t="str">
        <f ca="1">INDIRECT("Dati!R16C"&amp;A10,FALSE)</f>
        <v>Esiste ed è attivo un centro di gestione ed amministrazione della sicurezza ICT ?</v>
      </c>
      <c r="E10" s="41"/>
      <c r="F10" s="41"/>
      <c r="G10" s="41"/>
      <c r="H10" s="50"/>
      <c r="I10" s="41" t="str">
        <f ca="1">INDIRECT(ADDRESS(I$2,$A10,1,TRUE,"Dati"))</f>
        <v>--</v>
      </c>
      <c r="J10" s="41" t="str">
        <f ca="1">TEXT(INDIRECT(ADDRESS(J$2,$A10,1,TRUE,"Dati")), "")</f>
        <v>NO</v>
      </c>
      <c r="K10" s="41" t="str">
        <f ca="1">TEXT(INDIRECT(ADDRESS(K$2,$A10,1,TRUE,"Dati")), "")</f>
        <v>SI</v>
      </c>
      <c r="L10" s="41"/>
      <c r="M10" s="41"/>
      <c r="N10" s="41"/>
      <c r="O10" s="41"/>
      <c r="P10" s="41"/>
      <c r="Q10" s="41"/>
      <c r="R10" s="41"/>
      <c r="S10" s="55"/>
    </row>
    <row r="11" spans="1:26" ht="15" customHeight="1">
      <c r="A11" s="94"/>
      <c r="B11" s="95"/>
      <c r="C11" s="95"/>
      <c r="D11" s="98"/>
      <c r="E11" s="43"/>
      <c r="F11" s="112"/>
      <c r="G11" s="113"/>
      <c r="H11" s="50">
        <f ca="1">SUM(I11:K11)</f>
        <v>46</v>
      </c>
      <c r="I11" s="39">
        <f ca="1">COUNTIF(INDIRECT(ADDRESS($G$2,$A10,1,TRUE,"Dati") &amp;":"&amp; ADDRESS($H$2,$A10,1,TRUE)), "="&amp;T(I10))</f>
        <v>7</v>
      </c>
      <c r="J11" s="272">
        <f ca="1">COUNTIF(INDIRECT(ADDRESS($G$2,$A10,1,TRUE,"Dati") &amp;":"&amp; ADDRESS($H$2,$A10,1,TRUE)), "="&amp;T(J10))</f>
        <v>7</v>
      </c>
      <c r="K11" s="39">
        <f ca="1">COUNTIF(INDIRECT(ADDRESS($G$2,$A10,1,TRUE,"Dati") &amp;":"&amp; ADDRESS($H$2,$A10,1,TRUE)), "="&amp;T(K10))</f>
        <v>32</v>
      </c>
      <c r="L11" s="39"/>
      <c r="M11" s="39"/>
      <c r="N11" s="39"/>
      <c r="O11" s="39"/>
      <c r="P11" s="39"/>
      <c r="Q11" s="39"/>
      <c r="R11" s="55"/>
      <c r="S11" s="55"/>
    </row>
    <row r="12" spans="1:26" ht="75" customHeight="1">
      <c r="A12" s="94">
        <f>A10+2</f>
        <v>105</v>
      </c>
      <c r="B12" s="95">
        <f ca="1">INDIRECT("Dati!R12C"&amp;A12,FALSE)</f>
        <v>50</v>
      </c>
      <c r="C12" s="95" t="str">
        <f ca="1">INDIRECT("Dati!R15C"&amp;A12,FALSE)</f>
        <v>KPI 4.5</v>
      </c>
      <c r="D12" s="98" t="str">
        <f ca="1">INDIRECT("Dati!R16C"&amp;A12,FALSE)</f>
        <v>Esiste ed è attivo un gruppo di gestione degli incidenti ?</v>
      </c>
      <c r="E12" s="43"/>
      <c r="F12" s="112"/>
      <c r="G12" s="113"/>
      <c r="H12" s="50"/>
      <c r="I12" s="41" t="str">
        <f ca="1">INDIRECT(ADDRESS(I$2,$A12,1,TRUE,"Dati"))</f>
        <v>--</v>
      </c>
      <c r="J12" s="41" t="str">
        <f ca="1">INDIRECT(ADDRESS(J$2,$A12,1,TRUE,"Dati"))</f>
        <v>NO</v>
      </c>
      <c r="K12" s="41" t="str">
        <f ca="1">INDIRECT(ADDRESS(K$2,$A12,1,TRUE,"Dati"))</f>
        <v>SI</v>
      </c>
      <c r="L12" s="41"/>
      <c r="M12" s="41"/>
      <c r="N12" s="41"/>
      <c r="O12" s="41"/>
      <c r="P12" s="114"/>
      <c r="Q12" s="114"/>
      <c r="R12" s="55"/>
      <c r="S12" s="55"/>
    </row>
    <row r="13" spans="1:26" ht="15" customHeight="1">
      <c r="A13" s="94"/>
      <c r="B13" s="95"/>
      <c r="C13" s="95"/>
      <c r="D13" s="98"/>
      <c r="E13" s="43"/>
      <c r="F13" s="112"/>
      <c r="G13" s="113"/>
      <c r="H13" s="50">
        <f ca="1">SUM(I13:Q13)</f>
        <v>46</v>
      </c>
      <c r="I13" s="39">
        <f ca="1">COUNTIF(INDIRECT(ADDRESS($G$2,$A12,1,TRUE,"Dati") &amp;":"&amp; ADDRESS($H$2,$A12,1,TRUE)), "="&amp;T(I12))</f>
        <v>7</v>
      </c>
      <c r="J13" s="271">
        <f ca="1">COUNTIF(INDIRECT(ADDRESS($G$2,$A12,1,TRUE,"Dati") &amp;":"&amp; ADDRESS($H$2,$A12,1,TRUE)), "="&amp;T(J12))</f>
        <v>9</v>
      </c>
      <c r="K13" s="39">
        <f ca="1">COUNTIF(INDIRECT(ADDRESS($G$2,$A12,1,TRUE,"Dati") &amp;":"&amp; ADDRESS($H$2,$A12,1,TRUE)), "="&amp;T(K12))</f>
        <v>30</v>
      </c>
      <c r="L13" s="39"/>
      <c r="M13" s="39"/>
      <c r="N13" s="55"/>
      <c r="O13" s="55"/>
      <c r="P13" s="55"/>
      <c r="Q13" s="55"/>
      <c r="R13" s="55"/>
      <c r="S13" s="55"/>
    </row>
    <row r="14" spans="1:26" ht="75" customHeight="1">
      <c r="A14" s="94">
        <f>A6+8</f>
        <v>107</v>
      </c>
      <c r="B14" s="95">
        <f ca="1">INDIRECT("Dati!R12C"&amp;A14,FALSE)</f>
        <v>51</v>
      </c>
      <c r="C14" s="95" t="str">
        <f ca="1">INDIRECT("Dati!R15C"&amp;A14,FALSE)</f>
        <v>KPI 4.6</v>
      </c>
      <c r="D14" s="98" t="str">
        <f ca="1">INDIRECT("Dati!R16C"&amp;A14,FALSE)</f>
        <v>Esiste la figura di 'Responsabile protezione dati personali' ?</v>
      </c>
      <c r="E14" s="43"/>
      <c r="F14" s="112"/>
      <c r="G14" s="113"/>
      <c r="H14" s="50"/>
      <c r="I14" s="41" t="str">
        <f ca="1">INDIRECT(ADDRESS(I$2,$A14,1,TRUE,"Dati"))</f>
        <v>--</v>
      </c>
      <c r="J14" s="41" t="str">
        <f ca="1">INDIRECT(ADDRESS(J$2,$A14,1,TRUE,"Dati"))</f>
        <v>NO</v>
      </c>
      <c r="K14" s="41" t="str">
        <f ca="1">INDIRECT(ADDRESS(K$2,$A14,1,TRUE,"Dati"))</f>
        <v>SI</v>
      </c>
      <c r="L14" s="41"/>
      <c r="M14" s="41"/>
      <c r="N14" s="41"/>
      <c r="O14" s="41"/>
      <c r="P14" s="114"/>
      <c r="Q14" s="114"/>
      <c r="R14" s="55"/>
      <c r="S14" s="55"/>
    </row>
    <row r="15" spans="1:26" ht="15" customHeight="1">
      <c r="A15" s="94"/>
      <c r="B15" s="95"/>
      <c r="C15" s="95"/>
      <c r="D15" s="98"/>
      <c r="E15" s="43"/>
      <c r="F15" s="112"/>
      <c r="G15" s="113"/>
      <c r="H15" s="50">
        <f ca="1">SUM(I15:Q15)</f>
        <v>46</v>
      </c>
      <c r="I15" s="39">
        <f ca="1">COUNTIF(INDIRECT(ADDRESS($G$2,$A14,1,TRUE,"Dati") &amp;":"&amp; ADDRESS($H$2,$A14,1,TRUE)), "="&amp;T(I14))</f>
        <v>5</v>
      </c>
      <c r="J15" s="271">
        <f ca="1">COUNTIF(INDIRECT(ADDRESS($G$2,$A14,1,TRUE,"Dati") &amp;":"&amp; ADDRESS($H$2,$A14,1,TRUE)), "="&amp;T(J14))</f>
        <v>6</v>
      </c>
      <c r="K15" s="39">
        <f ca="1">COUNTIF(INDIRECT(ADDRESS($G$2,$A14,1,TRUE,"Dati") &amp;":"&amp; ADDRESS($H$2,$A14,1,TRUE)), "="&amp;T(K14))</f>
        <v>35</v>
      </c>
      <c r="L15" s="39"/>
      <c r="M15" s="39"/>
      <c r="N15" s="55"/>
      <c r="O15" s="55"/>
      <c r="P15" s="55"/>
      <c r="Q15" s="55"/>
      <c r="R15" s="55"/>
      <c r="S15" s="55"/>
    </row>
    <row r="16" spans="1:26" ht="75" customHeight="1">
      <c r="A16" s="94">
        <f>A8+8</f>
        <v>109</v>
      </c>
      <c r="B16" s="95">
        <f ca="1">INDIRECT("Dati!R12C"&amp;A16,FALSE)</f>
        <v>52</v>
      </c>
      <c r="C16" s="95" t="str">
        <f ca="1">INDIRECT("Dati!R15C"&amp;A16,FALSE)</f>
        <v>KPI 4.7</v>
      </c>
      <c r="D16" s="98" t="str">
        <f ca="1">INDIRECT("Dati!R16C"&amp;A16,FALSE)</f>
        <v xml:space="preserve">Esistono una o più procedure di gestione dei log ? </v>
      </c>
      <c r="E16" s="43"/>
      <c r="F16" s="112"/>
      <c r="G16" s="113"/>
      <c r="H16" s="50"/>
      <c r="I16" s="41" t="str">
        <f ca="1">INDIRECT(ADDRESS(I$2,$A16,1,TRUE,"Dati"))</f>
        <v>--</v>
      </c>
      <c r="J16" s="41" t="str">
        <f ca="1">INDIRECT(ADDRESS(J$2,$A16,1,TRUE,"Dati"))</f>
        <v>NO</v>
      </c>
      <c r="K16" s="41" t="str">
        <f ca="1">INDIRECT(ADDRESS(K$2,$A16,1,TRUE,"Dati"))</f>
        <v>SI</v>
      </c>
      <c r="L16" s="41"/>
      <c r="M16" s="41"/>
      <c r="N16" s="41"/>
      <c r="O16" s="41"/>
      <c r="P16" s="114"/>
      <c r="Q16" s="114"/>
      <c r="R16" s="55"/>
      <c r="S16" s="55"/>
    </row>
    <row r="17" spans="1:19" ht="15" customHeight="1">
      <c r="A17" s="94"/>
      <c r="B17" s="95"/>
      <c r="C17" s="95"/>
      <c r="D17" s="98"/>
      <c r="E17" s="43"/>
      <c r="F17" s="112"/>
      <c r="G17" s="113"/>
      <c r="H17" s="50">
        <f ca="1">SUM(I17:Q17)</f>
        <v>46</v>
      </c>
      <c r="I17" s="39">
        <f ca="1">COUNTIF(INDIRECT(ADDRESS($G$2,$A16,1,TRUE,"Dati") &amp;":"&amp; ADDRESS($H$2,$A16,1,TRUE)), "="&amp;T(I16))</f>
        <v>8</v>
      </c>
      <c r="J17" s="271">
        <f ca="1">COUNTIF(INDIRECT(ADDRESS($G$2,$A16,1,TRUE,"Dati") &amp;":"&amp; ADDRESS($H$2,$A16,1,TRUE)), "="&amp;T(J16))</f>
        <v>2</v>
      </c>
      <c r="K17" s="39">
        <f ca="1">COUNTIF(INDIRECT(ADDRESS($G$2,$A16,1,TRUE,"Dati") &amp;":"&amp; ADDRESS($H$2,$A16,1,TRUE)), "="&amp;T(K16))</f>
        <v>36</v>
      </c>
      <c r="L17" s="39"/>
      <c r="M17" s="39"/>
      <c r="N17" s="55"/>
      <c r="O17" s="55"/>
      <c r="P17" s="55"/>
      <c r="Q17" s="55"/>
      <c r="R17" s="55"/>
      <c r="S17" s="55"/>
    </row>
    <row r="18" spans="1:19" ht="75" customHeight="1">
      <c r="A18" s="94">
        <f>A10+8</f>
        <v>111</v>
      </c>
      <c r="B18" s="95">
        <f ca="1">INDIRECT("Dati!R12C"&amp;A18,FALSE)</f>
        <v>53</v>
      </c>
      <c r="C18" s="95" t="str">
        <f ca="1">INDIRECT("Dati!R15C"&amp;A18,FALSE)</f>
        <v>KPI 4.8</v>
      </c>
      <c r="D18" s="98" t="str">
        <f ca="1">INDIRECT("Dati!R16C"&amp;A18,FALSE)</f>
        <v>Esiste un responsabile per la gestione ed attuazione delle policy di backup / restore ?</v>
      </c>
      <c r="E18" s="43"/>
      <c r="F18" s="112"/>
      <c r="G18" s="113"/>
      <c r="H18" s="50"/>
      <c r="I18" s="41" t="str">
        <f ca="1">INDIRECT(ADDRESS(I$2,$A18,1,TRUE,"Dati"))</f>
        <v>--</v>
      </c>
      <c r="J18" s="41" t="str">
        <f ca="1">INDIRECT(ADDRESS(J$2,$A18,1,TRUE,"Dati"))</f>
        <v>NO</v>
      </c>
      <c r="K18" s="41" t="str">
        <f ca="1">INDIRECT(ADDRESS(K$2,$A18,1,TRUE,"Dati"))</f>
        <v>SI</v>
      </c>
      <c r="L18" s="41"/>
      <c r="M18" s="41"/>
      <c r="N18" s="41"/>
      <c r="O18" s="41"/>
      <c r="P18" s="114"/>
      <c r="Q18" s="114"/>
      <c r="R18" s="55"/>
      <c r="S18" s="55"/>
    </row>
    <row r="19" spans="1:19" ht="15" customHeight="1">
      <c r="A19" s="94"/>
      <c r="B19" s="95"/>
      <c r="C19" s="95"/>
      <c r="D19" s="98"/>
      <c r="E19" s="43"/>
      <c r="F19" s="112"/>
      <c r="G19" s="113"/>
      <c r="H19" s="50">
        <f ca="1">SUM(I19:Q19)</f>
        <v>46</v>
      </c>
      <c r="I19" s="39">
        <f ca="1">COUNTIF(INDIRECT(ADDRESS($G$2,$A18,1,TRUE,"Dati") &amp;":"&amp; ADDRESS($H$2,$A18,1,TRUE)), "="&amp;T(I18))</f>
        <v>6</v>
      </c>
      <c r="J19" s="271">
        <f ca="1">COUNTIF(INDIRECT(ADDRESS($G$2,$A18,1,TRUE,"Dati") &amp;":"&amp; ADDRESS($H$2,$A18,1,TRUE)), "="&amp;T(J18))</f>
        <v>5</v>
      </c>
      <c r="K19" s="39">
        <f ca="1">COUNTIF(INDIRECT(ADDRESS($G$2,$A18,1,TRUE,"Dati") &amp;":"&amp; ADDRESS($H$2,$A18,1,TRUE)), "="&amp;T(K18))</f>
        <v>35</v>
      </c>
      <c r="L19" s="39"/>
      <c r="M19" s="39"/>
      <c r="N19" s="55"/>
      <c r="O19" s="55"/>
      <c r="P19" s="55"/>
      <c r="Q19" s="55"/>
      <c r="R19" s="55"/>
      <c r="S19" s="55"/>
    </row>
    <row r="20" spans="1:19" ht="75" customHeight="1">
      <c r="A20" s="94">
        <f>A18+2</f>
        <v>113</v>
      </c>
      <c r="B20" s="95">
        <f ca="1">INDIRECT("Dati!R12C"&amp;A20,FALSE)</f>
        <v>54</v>
      </c>
      <c r="C20" s="95" t="str">
        <f ca="1">INDIRECT("Dati!R15C"&amp;A20,FALSE)</f>
        <v>KPI 4.8a</v>
      </c>
      <c r="D20" s="98" t="str">
        <f ca="1">INDIRECT("Dati!R16C"&amp;A20,FALSE)</f>
        <v>La procedura di backup è documentata?</v>
      </c>
      <c r="E20" s="43"/>
      <c r="F20" s="112"/>
      <c r="G20" s="113"/>
      <c r="H20" s="50"/>
      <c r="I20" s="41" t="str">
        <f ca="1">INDIRECT(ADDRESS(I$2,$A20,1,TRUE,"Dati"))</f>
        <v>--</v>
      </c>
      <c r="J20" s="41" t="str">
        <f ca="1">INDIRECT(ADDRESS(J$2,$A20,1,TRUE,"Dati"))</f>
        <v>La procedura è ben documentata</v>
      </c>
      <c r="K20" s="41" t="str">
        <f ca="1">INDIRECT(ADDRESS(K$2,$A20,1,TRUE,"Dati"))</f>
        <v>No</v>
      </c>
      <c r="L20" s="41" t="str">
        <f ca="1">INDIRECT(ADDRESS(L$2,$A20,1,TRUE,"Dati"))</f>
        <v>Sì</v>
      </c>
      <c r="M20" s="55"/>
      <c r="N20" s="55"/>
      <c r="O20" s="55"/>
      <c r="P20" s="55"/>
      <c r="Q20" s="55"/>
      <c r="R20" s="55"/>
      <c r="S20" s="55"/>
    </row>
    <row r="21" spans="1:19" ht="15" customHeight="1">
      <c r="A21" s="94"/>
      <c r="B21" s="95"/>
      <c r="C21" s="95"/>
      <c r="D21" s="98"/>
      <c r="E21" s="43"/>
      <c r="F21" s="112"/>
      <c r="G21" s="113"/>
      <c r="H21" s="50">
        <f ca="1">SUM(I21:Q21)</f>
        <v>46</v>
      </c>
      <c r="I21" s="39">
        <f ca="1">COUNTIF(INDIRECT(ADDRESS($G$2,$A20,1,TRUE,"Dati") &amp;":"&amp; ADDRESS($H$2,$A20,1,TRUE)), "="&amp;T(I20))</f>
        <v>7</v>
      </c>
      <c r="J21" s="39">
        <f ca="1">COUNTIF(INDIRECT(ADDRESS($G$2,$A20,1,TRUE,"Dati") &amp;":"&amp; ADDRESS($H$2,$A20,1,TRUE)), "="&amp;T(J20))</f>
        <v>0</v>
      </c>
      <c r="K21" s="39">
        <f ca="1">COUNTIF(INDIRECT(ADDRESS($G$2,$A20,1,TRUE,"Dati") &amp;":"&amp; ADDRESS($H$2,$A20,1,TRUE)), "="&amp;T(K20))</f>
        <v>5</v>
      </c>
      <c r="L21" s="39">
        <f ca="1">COUNTIF(INDIRECT(ADDRESS($G$2,$A20,1,TRUE,"Dati") &amp;":"&amp; ADDRESS($H$2,$A20,1,TRUE)), "="&amp;T(L20))</f>
        <v>34</v>
      </c>
      <c r="M21" s="55"/>
      <c r="N21" s="55"/>
      <c r="O21" s="55"/>
      <c r="P21" s="55"/>
      <c r="Q21" s="55"/>
      <c r="R21" s="55"/>
      <c r="S21" s="55"/>
    </row>
    <row r="22" spans="1:19" ht="75" customHeight="1">
      <c r="A22" s="94">
        <f t="shared" ref="A22:A38" si="2">A20+2</f>
        <v>115</v>
      </c>
      <c r="B22" s="95">
        <f t="shared" ref="B22:B38" ca="1" si="3">INDIRECT("Dati!R12C"&amp;A22,FALSE)</f>
        <v>55</v>
      </c>
      <c r="C22" s="95" t="str">
        <f ca="1">INDIRECT("Dati!R15C"&amp;A22,FALSE)</f>
        <v>KPI 4.9</v>
      </c>
      <c r="D22" s="98" t="str">
        <f ca="1">INDIRECT("Dati!R16C"&amp;A22,FALSE)</f>
        <v>Che tipo di personale viene impiegato per la gestione e l'amministrazione della sicurezza del sistema informativo ?</v>
      </c>
      <c r="E22" s="43"/>
      <c r="F22" s="112"/>
      <c r="G22" s="113"/>
      <c r="H22" s="50"/>
      <c r="I22" s="41" t="str">
        <f ca="1">INDIRECT(ADDRESS(I$2,$A22,1,TRUE,"Dati"))</f>
        <v>--</v>
      </c>
      <c r="J22" s="41" t="str">
        <f ca="1">INDIRECT(ADDRESS(J$2,$A22,1,TRUE,"Dati"))</f>
        <v>Outsourcing per la gestione sicurezza</v>
      </c>
      <c r="K22" s="41" t="str">
        <f ca="1">INDIRECT(ADDRESS(K$2,$A22,1,TRUE,"Dati"))</f>
        <v>Personale misto</v>
      </c>
      <c r="L22" s="41" t="str">
        <f ca="1">INDIRECT(ADDRESS(L$2,$A22,1,TRUE,"Dati"))</f>
        <v>Solo personale interno</v>
      </c>
      <c r="M22" s="41"/>
      <c r="N22" s="55"/>
      <c r="O22" s="55"/>
      <c r="P22" s="55"/>
      <c r="Q22" s="55"/>
      <c r="R22" s="55"/>
      <c r="S22" s="55"/>
    </row>
    <row r="23" spans="1:19" ht="15" customHeight="1">
      <c r="A23" s="94"/>
      <c r="B23" s="95"/>
      <c r="C23" s="95"/>
      <c r="D23" s="98"/>
      <c r="E23" s="43"/>
      <c r="F23" s="112"/>
      <c r="G23" s="113"/>
      <c r="H23" s="50">
        <f ca="1">SUM(I23:Q23)</f>
        <v>46</v>
      </c>
      <c r="I23" s="39">
        <f ca="1">COUNTIF(INDIRECT(ADDRESS($G$2,$A22,1,TRUE,"Dati") &amp;":"&amp; ADDRESS($H$2,$A22,1,TRUE)), "="&amp;T(I22))</f>
        <v>7</v>
      </c>
      <c r="J23" s="39">
        <f ca="1">COUNTIF(INDIRECT(ADDRESS($G$2,$A22,1,TRUE,"Dati") &amp;":"&amp; ADDRESS($H$2,$A22,1,TRUE)), "="&amp;T(J22))</f>
        <v>0</v>
      </c>
      <c r="K23" s="39">
        <f ca="1">COUNTIF(INDIRECT(ADDRESS($G$2,$A22,1,TRUE,"Dati") &amp;":"&amp; ADDRESS($H$2,$A22,1,TRUE)), "="&amp;T(K22))</f>
        <v>5</v>
      </c>
      <c r="L23" s="39">
        <f ca="1">COUNTIF(INDIRECT(ADDRESS($G$2,$A22,1,TRUE,"Dati") &amp;":"&amp; ADDRESS($H$2,$A22,1,TRUE)), "="&amp;T(L22))</f>
        <v>34</v>
      </c>
      <c r="M23" s="39"/>
      <c r="N23" s="55"/>
      <c r="O23" s="55"/>
      <c r="P23" s="55"/>
      <c r="Q23" s="55"/>
      <c r="R23" s="55"/>
      <c r="S23" s="55"/>
    </row>
    <row r="24" spans="1:19" ht="75" customHeight="1">
      <c r="A24" s="94">
        <f t="shared" si="2"/>
        <v>117</v>
      </c>
      <c r="B24" s="95">
        <f t="shared" ca="1" si="3"/>
        <v>56</v>
      </c>
      <c r="C24" s="95" t="str">
        <f ca="1">INDIRECT("Dati!R15C"&amp;A24,FALSE)</f>
        <v>KPI 4.9a</v>
      </c>
      <c r="D24" s="98" t="str">
        <f ca="1">INDIRECT("Dati!R16C"&amp;A24,FALSE)</f>
        <v>Se esiste un contratto di outsourcing, il contratto prevede che l'amministrazione appaltante effettui verifiche su come è gestita la sicurezza ?</v>
      </c>
      <c r="E24" s="43"/>
      <c r="F24" s="112"/>
      <c r="G24" s="113"/>
      <c r="H24" s="50"/>
      <c r="I24" s="41" t="str">
        <f ca="1">INDIRECT(ADDRESS(I$2,$A24,1,TRUE,"Dati"))</f>
        <v>--</v>
      </c>
      <c r="J24" s="41" t="str">
        <f ca="1">INDIRECT(ADDRESS(J$2,$A24,1,TRUE,"Dati"))</f>
        <v>Previsto audit</v>
      </c>
      <c r="K24" s="41" t="str">
        <f ca="1">INDIRECT(ADDRESS(K$2,$A24,1,TRUE,"Dati"))</f>
        <v>Non previsto audit</v>
      </c>
      <c r="L24" s="55"/>
      <c r="M24" s="55"/>
      <c r="N24" s="55"/>
      <c r="O24" s="55"/>
      <c r="P24" s="39"/>
      <c r="Q24" s="40"/>
    </row>
    <row r="25" spans="1:19" ht="15" customHeight="1">
      <c r="A25" s="94"/>
      <c r="B25" s="95"/>
      <c r="C25" s="95"/>
      <c r="D25" s="98"/>
      <c r="E25" s="43"/>
      <c r="F25" s="112"/>
      <c r="G25" s="113"/>
      <c r="H25" s="50">
        <f ca="1">SUM(I25:Q25)</f>
        <v>46</v>
      </c>
      <c r="I25" s="39">
        <f ca="1">COUNTIF(INDIRECT(ADDRESS($G$2,$A24,1,TRUE,"Dati") &amp;":"&amp; ADDRESS($H$2,$A24,1,TRUE)), "="&amp;T(I24))</f>
        <v>1</v>
      </c>
      <c r="J25" s="39">
        <f ca="1">COUNTIF(INDIRECT(ADDRESS($G$2,$A24,1,TRUE,"Dati") &amp;":"&amp; ADDRESS($H$2,$A24,1,TRUE)), "="&amp;T(J24))</f>
        <v>1</v>
      </c>
      <c r="K25" s="39">
        <f ca="1">COUNTIF(INDIRECT(ADDRESS($G$2,$A24,1,TRUE,"Dati") &amp;":"&amp; ADDRESS($H$2,$A24,1,TRUE)), "="&amp;T(K24))</f>
        <v>44</v>
      </c>
      <c r="L25" s="55"/>
      <c r="M25" s="55"/>
      <c r="N25" s="55"/>
      <c r="O25" s="55"/>
      <c r="P25" s="39"/>
      <c r="Q25" s="40"/>
    </row>
    <row r="26" spans="1:19" ht="75" customHeight="1">
      <c r="A26" s="94">
        <f t="shared" si="2"/>
        <v>119</v>
      </c>
      <c r="B26" s="95">
        <f t="shared" ca="1" si="3"/>
        <v>57</v>
      </c>
      <c r="C26" s="95" t="str">
        <f ca="1">INDIRECT("Dati!R15C"&amp;A26,FALSE)</f>
        <v>KPI 4.9b</v>
      </c>
      <c r="D26" s="98" t="str">
        <f ca="1">INDIRECT("Dati!R16C"&amp;A26,FALSE)</f>
        <v>Se è previsto l'audit della gestione della sicurezza dell'outsourcer, l'audit viene effettuato con regolarità ?</v>
      </c>
      <c r="E26" s="43"/>
      <c r="F26" s="112"/>
      <c r="G26" s="113"/>
      <c r="H26" s="50"/>
      <c r="I26" s="41" t="str">
        <f ca="1">INDIRECT(ADDRESS(I$2,$A26,1,TRUE,"Dati"))</f>
        <v>--</v>
      </c>
      <c r="J26" s="41" t="str">
        <f ca="1">INDIRECT(ADDRESS(J$2,$A26,1,TRUE,"Dati"))</f>
        <v>NO</v>
      </c>
      <c r="K26" s="41" t="str">
        <f ca="1">INDIRECT(ADDRESS(K$2,$A26,1,TRUE,"Dati"))</f>
        <v>SI</v>
      </c>
      <c r="L26" s="55"/>
      <c r="M26" s="55"/>
      <c r="N26" s="55"/>
      <c r="O26" s="55"/>
      <c r="P26" s="39"/>
      <c r="Q26" s="40"/>
    </row>
    <row r="27" spans="1:19" ht="15" customHeight="1">
      <c r="A27" s="94"/>
      <c r="B27" s="95"/>
      <c r="C27" s="95"/>
      <c r="D27" s="98"/>
      <c r="E27" s="43"/>
      <c r="F27" s="112"/>
      <c r="G27" s="113"/>
      <c r="H27" s="50">
        <f ca="1">SUM(I27:Q27)</f>
        <v>46</v>
      </c>
      <c r="I27" s="39">
        <f ca="1">COUNTIF(INDIRECT(ADDRESS($G$2,$A26,1,TRUE,"Dati") &amp;":"&amp; ADDRESS($H$2,$A26,1,TRUE)), "="&amp;T(I26))</f>
        <v>44</v>
      </c>
      <c r="J27" s="39">
        <f ca="1">COUNTIF(INDIRECT(ADDRESS($G$2,$A26,1,TRUE,"Dati") &amp;":"&amp; ADDRESS($H$2,$A26,1,TRUE)), "="&amp;T(J26))</f>
        <v>2</v>
      </c>
      <c r="K27" s="39">
        <f ca="1">COUNTIF(INDIRECT(ADDRESS($G$2,$A26,1,TRUE,"Dati") &amp;":"&amp; ADDRESS($H$2,$A26,1,TRUE)), "="&amp;T(K26))</f>
        <v>0</v>
      </c>
      <c r="L27" s="55"/>
      <c r="M27" s="55"/>
      <c r="N27" s="55"/>
      <c r="O27" s="55"/>
      <c r="P27" s="39"/>
      <c r="Q27" s="40"/>
    </row>
    <row r="28" spans="1:19" ht="75" customHeight="1">
      <c r="A28" s="94">
        <f t="shared" si="2"/>
        <v>121</v>
      </c>
      <c r="B28" s="95">
        <f t="shared" ca="1" si="3"/>
        <v>58</v>
      </c>
      <c r="C28" s="95" t="str">
        <f ca="1">INDIRECT("Dati!R15C"&amp;A28,FALSE)</f>
        <v>KPI 4.10</v>
      </c>
      <c r="D28" s="98" t="str">
        <f ca="1">INDIRECT("Dati!R16C"&amp;A28,FALSE)</f>
        <v>Esiste una previsione di spesa dedicata specificatamente alla sicurezza ?</v>
      </c>
      <c r="E28" s="43"/>
      <c r="F28" s="112"/>
      <c r="G28" s="113"/>
      <c r="H28" s="50"/>
      <c r="I28" s="41" t="str">
        <f ca="1">INDIRECT(ADDRESS(I$2,$A28,1,TRUE,"Dati"))</f>
        <v>--</v>
      </c>
      <c r="J28" s="41" t="str">
        <f ca="1">INDIRECT(ADDRESS(J$2,$A28,1,TRUE,"Dati"))</f>
        <v>NO</v>
      </c>
      <c r="K28" s="41" t="str">
        <f ca="1">INDIRECT(ADDRESS(K$2,$A28,1,TRUE,"Dati"))</f>
        <v>SI</v>
      </c>
      <c r="L28" s="55"/>
      <c r="M28" s="55"/>
      <c r="N28" s="55"/>
      <c r="O28" s="55"/>
      <c r="P28" s="39"/>
      <c r="Q28" s="40"/>
    </row>
    <row r="29" spans="1:19" ht="15" customHeight="1">
      <c r="A29" s="94"/>
      <c r="B29" s="95"/>
      <c r="C29" s="95"/>
      <c r="D29" s="98"/>
      <c r="E29" s="43"/>
      <c r="F29" s="112"/>
      <c r="G29" s="113"/>
      <c r="H29" s="50">
        <f ca="1">SUM(I29:Q29)</f>
        <v>46</v>
      </c>
      <c r="I29" s="39">
        <f ca="1">COUNTIF(INDIRECT(ADDRESS($G$2,$A28,1,TRUE,"Dati") &amp;":"&amp; ADDRESS($H$2,$A28,1,TRUE)), "="&amp;T(I28))</f>
        <v>10</v>
      </c>
      <c r="J29" s="272">
        <f ca="1">COUNTIF(INDIRECT(ADDRESS($G$2,$A28,1,TRUE,"Dati") &amp;":"&amp; ADDRESS($H$2,$A28,1,TRUE)), "="&amp;T(J28))</f>
        <v>17</v>
      </c>
      <c r="K29" s="39">
        <f ca="1">COUNTIF(INDIRECT(ADDRESS($G$2,$A28,1,TRUE,"Dati") &amp;":"&amp; ADDRESS($H$2,$A28,1,TRUE)), "="&amp;T(K28))</f>
        <v>19</v>
      </c>
      <c r="L29" s="55"/>
      <c r="M29" s="55"/>
      <c r="N29" s="55"/>
      <c r="O29" s="55"/>
      <c r="P29" s="39"/>
      <c r="Q29" s="40"/>
    </row>
    <row r="30" spans="1:19" ht="75" customHeight="1">
      <c r="A30" s="94">
        <f t="shared" si="2"/>
        <v>123</v>
      </c>
      <c r="B30" s="95">
        <f t="shared" ca="1" si="3"/>
        <v>59</v>
      </c>
      <c r="C30" s="95" t="str">
        <f ca="1">INDIRECT("Dati!R15C"&amp;A30,FALSE)</f>
        <v>KPI 4.10a</v>
      </c>
      <c r="D30" s="98" t="str">
        <f ca="1">INDIRECT("Dati!R16C"&amp;A30,FALSE)</f>
        <v>Se esiste una previsione di spesa dedicata alla sicurezza quale è la percentuale sul budget IT complessivo ?</v>
      </c>
      <c r="E30" s="43"/>
      <c r="F30" s="112"/>
      <c r="G30" s="113"/>
      <c r="H30" s="50"/>
      <c r="I30" s="41" t="str">
        <f ca="1">INDIRECT(ADDRESS(I$2,$A30,1,TRUE,"Dati"))</f>
        <v>--</v>
      </c>
      <c r="J30" s="41" t="str">
        <f ca="1">INDIRECT(ADDRESS(J$2,$A30,1,TRUE,"Dati"))</f>
        <v>Compresa tra 5 % e 10%</v>
      </c>
      <c r="K30" s="41" t="str">
        <f ca="1">INDIRECT(ADDRESS(K$2,$A30,1,TRUE,"Dati"))</f>
        <v>Inferiore al 5 %</v>
      </c>
      <c r="L30" s="41" t="str">
        <f ca="1">INDIRECT(ADDRESS(L$2,$A30,1,TRUE,"Dati"))</f>
        <v>Maggiore del 10%</v>
      </c>
      <c r="M30" s="55"/>
      <c r="N30" s="55"/>
      <c r="O30" s="55"/>
      <c r="P30" s="39"/>
      <c r="Q30" s="40"/>
    </row>
    <row r="31" spans="1:19" ht="15" customHeight="1">
      <c r="A31" s="94"/>
      <c r="B31" s="95"/>
      <c r="C31" s="95"/>
      <c r="D31" s="98"/>
      <c r="E31" s="43"/>
      <c r="F31" s="112"/>
      <c r="G31" s="113"/>
      <c r="H31" s="50">
        <f ca="1">SUM(I31:Q31)</f>
        <v>46</v>
      </c>
      <c r="I31" s="273">
        <f ca="1">COUNTIF(INDIRECT(ADDRESS($G$2,$A30,1,TRUE,"Dati") &amp;":"&amp; ADDRESS($H$2,$A30,1,TRUE)), "="&amp;T(I30))</f>
        <v>30</v>
      </c>
      <c r="J31" s="270">
        <f ca="1">COUNTIF(INDIRECT(ADDRESS($G$2,$A30,1,TRUE,"Dati") &amp;":"&amp; ADDRESS($H$2,$A30,1,TRUE)), "="&amp;T(J30))</f>
        <v>8</v>
      </c>
      <c r="K31" s="272">
        <f ca="1">COUNTIF(INDIRECT(ADDRESS($G$2,$A30,1,TRUE,"Dati") &amp;":"&amp; ADDRESS($H$2,$A30,1,TRUE)), "="&amp;T(K30))</f>
        <v>7</v>
      </c>
      <c r="L31" s="39">
        <f ca="1">COUNTIF(INDIRECT(ADDRESS($G$2,$A30,1,TRUE,"Dati") &amp;":"&amp; ADDRESS($H$2,$A30,1,TRUE)), "="&amp;T(L30))</f>
        <v>1</v>
      </c>
      <c r="M31" s="55"/>
      <c r="N31" s="55"/>
      <c r="O31" s="55"/>
      <c r="P31" s="39"/>
      <c r="Q31" s="40"/>
    </row>
    <row r="32" spans="1:19" ht="75" customHeight="1">
      <c r="A32" s="94">
        <f t="shared" si="2"/>
        <v>125</v>
      </c>
      <c r="B32" s="95">
        <f t="shared" ca="1" si="3"/>
        <v>60</v>
      </c>
      <c r="C32" s="95" t="str">
        <f ca="1">INDIRECT("Dati!R15C"&amp;A32,FALSE)</f>
        <v>KPI 4.11</v>
      </c>
      <c r="D32" s="98" t="str">
        <f ca="1">INDIRECT("Dati!R16C"&amp;A32,FALSE)</f>
        <v>E' stata effettuata un'analisi dei rischi connessi alla sicurezza ICT ?</v>
      </c>
      <c r="E32" s="43"/>
      <c r="F32" s="112"/>
      <c r="G32" s="113"/>
      <c r="H32" s="50"/>
      <c r="I32" s="41" t="str">
        <f t="shared" ref="I32:N32" ca="1" si="4">INDIRECT(ADDRESS(I$2,$A32,1,TRUE,"Dati"))</f>
        <v>--</v>
      </c>
      <c r="J32" s="41" t="str">
        <f t="shared" ca="1" si="4"/>
        <v>No</v>
      </c>
      <c r="K32" s="41" t="str">
        <f t="shared" ca="1" si="4"/>
        <v>Sì</v>
      </c>
      <c r="L32" s="41" t="str">
        <f t="shared" ca="1" si="4"/>
        <v>Sì, con copertura analisi rischi minima</v>
      </c>
      <c r="M32" s="41" t="str">
        <f t="shared" ca="1" si="4"/>
        <v>Sì, con copertura analisi rischi parziale</v>
      </c>
      <c r="N32" s="41" t="str">
        <f t="shared" ca="1" si="4"/>
        <v>Sì, con copertura analisi rischi totale</v>
      </c>
      <c r="O32" s="41"/>
      <c r="P32" s="39"/>
      <c r="Q32" s="40"/>
    </row>
    <row r="33" spans="1:17" ht="15" customHeight="1">
      <c r="A33" s="94"/>
      <c r="B33" s="95"/>
      <c r="C33" s="95"/>
      <c r="D33" s="98"/>
      <c r="E33" s="43"/>
      <c r="F33" s="112"/>
      <c r="G33" s="113"/>
      <c r="H33" s="50">
        <f ca="1">SUM(I33:Q33)</f>
        <v>46</v>
      </c>
      <c r="I33" s="39">
        <f t="shared" ref="I33:N33" ca="1" si="5">COUNTIF(INDIRECT(ADDRESS($G$2,$A32,1,TRUE,"Dati") &amp;":"&amp; ADDRESS($H$2,$A32,1,TRUE)), "="&amp;T(I32))</f>
        <v>6</v>
      </c>
      <c r="J33" s="271">
        <f t="shared" ca="1" si="5"/>
        <v>8</v>
      </c>
      <c r="K33" s="39">
        <f t="shared" ca="1" si="5"/>
        <v>0</v>
      </c>
      <c r="L33" s="39">
        <f t="shared" ca="1" si="5"/>
        <v>5</v>
      </c>
      <c r="M33" s="39">
        <f t="shared" ca="1" si="5"/>
        <v>18</v>
      </c>
      <c r="N33" s="39">
        <f t="shared" ca="1" si="5"/>
        <v>9</v>
      </c>
      <c r="O33" s="39"/>
      <c r="P33" s="39"/>
      <c r="Q33" s="40"/>
    </row>
    <row r="34" spans="1:17" ht="75" customHeight="1">
      <c r="A34" s="94">
        <f t="shared" si="2"/>
        <v>127</v>
      </c>
      <c r="B34" s="95">
        <f t="shared" ca="1" si="3"/>
        <v>61</v>
      </c>
      <c r="C34" s="95" t="str">
        <f ca="1">INDIRECT("Dati!R15C"&amp;A34,FALSE)</f>
        <v>KPI 4.12</v>
      </c>
      <c r="D34" s="98" t="str">
        <f ca="1">INDIRECT("Dati!R16C"&amp;A34,FALSE)</f>
        <v>Sono state prese iniziative per la sensibilizzazione alla sicurezza informatica rivolte a tutto il personale dell'amministrazione ?</v>
      </c>
      <c r="E34" s="43"/>
      <c r="F34" s="112"/>
      <c r="G34" s="113"/>
      <c r="H34" s="50"/>
      <c r="I34" s="41" t="str">
        <f ca="1">INDIRECT(ADDRESS(I$2,$A34,1,TRUE,"Dati"))</f>
        <v>--</v>
      </c>
      <c r="J34" s="41" t="str">
        <f ca="1">INDIRECT(ADDRESS(J$2,$A34,1,TRUE,"Dati"))</f>
        <v>NO</v>
      </c>
      <c r="K34" s="41" t="str">
        <f ca="1">INDIRECT(ADDRESS(K$2,$A34,1,TRUE,"Dati"))</f>
        <v>SI</v>
      </c>
      <c r="L34" s="55"/>
      <c r="M34" s="55"/>
      <c r="N34" s="55"/>
      <c r="O34" s="55"/>
      <c r="P34" s="39"/>
      <c r="Q34" s="40"/>
    </row>
    <row r="35" spans="1:17" ht="15" customHeight="1">
      <c r="A35" s="94"/>
      <c r="B35" s="95"/>
      <c r="C35" s="95"/>
      <c r="D35" s="98"/>
      <c r="E35" s="43"/>
      <c r="F35" s="112"/>
      <c r="G35" s="113"/>
      <c r="H35" s="50">
        <f ca="1">SUM(I35:Q35)</f>
        <v>46</v>
      </c>
      <c r="I35" s="39">
        <f ca="1">COUNTIF(INDIRECT(ADDRESS($G$2,$A34,1,TRUE,"Dati") &amp;":"&amp; ADDRESS($H$2,$A34,1,TRUE)), "="&amp;T(I34))</f>
        <v>7</v>
      </c>
      <c r="J35" s="271">
        <f ca="1">COUNTIF(INDIRECT(ADDRESS($G$2,$A34,1,TRUE,"Dati") &amp;":"&amp; ADDRESS($H$2,$A34,1,TRUE)), "="&amp;T(J34))</f>
        <v>8</v>
      </c>
      <c r="K35" s="39">
        <f ca="1">COUNTIF(INDIRECT(ADDRESS($G$2,$A34,1,TRUE,"Dati") &amp;":"&amp; ADDRESS($H$2,$A34,1,TRUE)), "="&amp;T(K34))</f>
        <v>31</v>
      </c>
      <c r="L35" s="55"/>
      <c r="M35" s="55"/>
      <c r="N35" s="55"/>
      <c r="O35" s="55"/>
      <c r="P35" s="39"/>
      <c r="Q35" s="40"/>
    </row>
    <row r="36" spans="1:17" ht="75" customHeight="1">
      <c r="A36" s="94">
        <f t="shared" si="2"/>
        <v>129</v>
      </c>
      <c r="B36" s="95">
        <f t="shared" ca="1" si="3"/>
        <v>62</v>
      </c>
      <c r="C36" s="95" t="str">
        <f ca="1">INDIRECT("Dati!R15C"&amp;A36,FALSE)</f>
        <v>KPI 4.13</v>
      </c>
      <c r="D36" s="98" t="str">
        <f ca="1">INDIRECT("Dati!R16C"&amp;A36,FALSE)</f>
        <v>E' stato già redatto ed approvato un piano di formazione e sensibilizazzione per la sicurezza ICT ?</v>
      </c>
      <c r="E36" s="43"/>
      <c r="F36" s="112"/>
      <c r="G36" s="113"/>
      <c r="H36" s="50"/>
      <c r="I36" s="41" t="str">
        <f ca="1">INDIRECT(ADDRESS(I$2,$A36,1,TRUE,"Dati"))</f>
        <v>--</v>
      </c>
      <c r="J36" s="41" t="str">
        <f ca="1">INDIRECT(ADDRESS(J$2,$A36,1,TRUE,"Dati"))</f>
        <v>NO</v>
      </c>
      <c r="K36" s="41" t="str">
        <f ca="1">INDIRECT(ADDRESS(K$2,$A36,1,TRUE,"Dati"))</f>
        <v>SI</v>
      </c>
      <c r="L36" s="55"/>
      <c r="M36" s="55"/>
      <c r="N36" s="55"/>
      <c r="O36" s="55"/>
      <c r="P36" s="39"/>
      <c r="Q36" s="40"/>
    </row>
    <row r="37" spans="1:17" ht="15" customHeight="1">
      <c r="A37" s="94"/>
      <c r="B37" s="95"/>
      <c r="C37" s="95"/>
      <c r="D37" s="98"/>
      <c r="E37" s="43"/>
      <c r="F37" s="112"/>
      <c r="G37" s="113"/>
      <c r="H37" s="50">
        <f ca="1">SUM(I37:Q37)</f>
        <v>46</v>
      </c>
      <c r="I37" s="39">
        <f ca="1">COUNTIF(INDIRECT(ADDRESS($G$2,$A36,1,TRUE,"Dati") &amp;":"&amp; ADDRESS($H$2,$A36,1,TRUE)), "="&amp;T(I36))</f>
        <v>9</v>
      </c>
      <c r="J37" s="273">
        <f ca="1">COUNTIF(INDIRECT(ADDRESS($G$2,$A36,1,TRUE,"Dati") &amp;":"&amp; ADDRESS($H$2,$A36,1,TRUE)), "="&amp;T(J36))</f>
        <v>23</v>
      </c>
      <c r="K37" s="39">
        <f ca="1">COUNTIF(INDIRECT(ADDRESS($G$2,$A36,1,TRUE,"Dati") &amp;":"&amp; ADDRESS($H$2,$A36,1,TRUE)), "="&amp;T(K36))</f>
        <v>14</v>
      </c>
      <c r="L37" s="55"/>
      <c r="M37" s="55"/>
      <c r="N37" s="55"/>
      <c r="O37" s="55"/>
      <c r="P37" s="39"/>
      <c r="Q37" s="40"/>
    </row>
    <row r="38" spans="1:17" ht="75" customHeight="1">
      <c r="A38" s="94">
        <f t="shared" si="2"/>
        <v>131</v>
      </c>
      <c r="B38" s="95">
        <f t="shared" ca="1" si="3"/>
        <v>63</v>
      </c>
      <c r="C38" s="95" t="str">
        <f ca="1">INDIRECT("Dati!R15C"&amp;A38,FALSE)</f>
        <v>KPI 4.13a</v>
      </c>
      <c r="D38" s="98" t="str">
        <f ca="1">INDIRECT("Dati!R16C"&amp;A38,FALSE)</f>
        <v>Se sì quale percentuale di addetti al S.I. ne ha usufruito ?</v>
      </c>
      <c r="E38" s="43"/>
      <c r="F38" s="112"/>
      <c r="G38" s="113"/>
      <c r="H38" s="50"/>
      <c r="I38" s="41" t="str">
        <f ca="1">INDIRECT(ADDRESS(I$2,$A38,1,TRUE,"Dati"))</f>
        <v>--</v>
      </c>
      <c r="J38" s="41" t="str">
        <f ca="1">INDIRECT(ADDRESS(J$2,$A38,1,TRUE,"Dati"))</f>
        <v>Compresa tra il 10 % e il 30 %</v>
      </c>
      <c r="K38" s="41" t="str">
        <f ca="1">INDIRECT(ADDRESS(K$2,$A38,1,TRUE,"Dati"))</f>
        <v>Compresa tra il 30 % e il 50 %</v>
      </c>
      <c r="L38" s="41" t="str">
        <f ca="1">INDIRECT(ADDRESS(L$2,$A38,1,TRUE,"Dati"))</f>
        <v>Inferiore al 10 %</v>
      </c>
      <c r="M38" s="41" t="str">
        <f ca="1">INDIRECT(ADDRESS(M$2,$A38,1,TRUE,"Dati"))</f>
        <v>maggiore del 50%</v>
      </c>
      <c r="N38" s="55"/>
      <c r="O38" s="55"/>
      <c r="P38" s="39"/>
      <c r="Q38" s="40"/>
    </row>
    <row r="39" spans="1:17" ht="15" customHeight="1">
      <c r="A39" s="94"/>
      <c r="B39" s="95"/>
      <c r="C39" s="95"/>
      <c r="D39" s="98"/>
      <c r="E39" s="43"/>
      <c r="F39" s="112"/>
      <c r="G39" s="113"/>
      <c r="H39" s="50">
        <f ca="1">SUM(I39:Q39)</f>
        <v>46</v>
      </c>
      <c r="I39" s="39">
        <f ca="1">COUNTIF(INDIRECT(ADDRESS($G$2,$A38,1,TRUE,"Dati") &amp;":"&amp; ADDRESS($H$2,$A38,1,TRUE)), "="&amp;T(I38))</f>
        <v>1</v>
      </c>
      <c r="J39" s="39">
        <f ca="1">COUNTIF(INDIRECT(ADDRESS($G$2,$A38,1,TRUE,"Dati") &amp;":"&amp; ADDRESS($H$2,$A38,1,TRUE)), "="&amp;T(J38))</f>
        <v>1</v>
      </c>
      <c r="K39" s="39">
        <f ca="1">COUNTIF(INDIRECT(ADDRESS($G$2,$A38,1,TRUE,"Dati") &amp;":"&amp; ADDRESS($H$2,$A38,1,TRUE)), "="&amp;T(K38))</f>
        <v>3</v>
      </c>
      <c r="L39" s="39">
        <f ca="1">COUNTIF(INDIRECT(ADDRESS($G$2,$A38,1,TRUE,"Dati") &amp;":"&amp; ADDRESS($H$2,$A38,1,TRUE)), "="&amp;T(L38))</f>
        <v>36</v>
      </c>
      <c r="M39" s="39">
        <f ca="1">COUNTIF(INDIRECT(ADDRESS($G$2,$A38,1,TRUE,"Dati") &amp;":"&amp; ADDRESS($H$2,$A38,1,TRUE)), "="&amp;T(M38))</f>
        <v>5</v>
      </c>
      <c r="N39" s="55"/>
      <c r="O39" s="55"/>
      <c r="P39" s="39"/>
      <c r="Q39" s="40"/>
    </row>
  </sheetData>
  <phoneticPr fontId="3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 enableFormatConditionsCalculation="0"/>
  <dimension ref="A1:Z36"/>
  <sheetViews>
    <sheetView workbookViewId="0">
      <selection activeCell="A20" sqref="A20"/>
    </sheetView>
  </sheetViews>
  <sheetFormatPr baseColWidth="10" defaultColWidth="8.83203125" defaultRowHeight="12" x14ac:dyDescent="0"/>
  <cols>
    <col min="1" max="1" width="5.1640625" customWidth="1"/>
    <col min="2" max="2" width="4.83203125" customWidth="1"/>
    <col min="3" max="3" width="7.83203125" style="29" customWidth="1"/>
    <col min="4" max="4" width="46.5" style="42" customWidth="1"/>
    <col min="5" max="5" width="6.6640625" style="42" customWidth="1"/>
    <col min="6" max="6" width="6.5" style="36" customWidth="1"/>
    <col min="7" max="7" width="6.6640625" customWidth="1"/>
    <col min="8" max="8" width="6.6640625" style="29" customWidth="1"/>
    <col min="9" max="24" width="14.6640625" style="29" customWidth="1"/>
  </cols>
  <sheetData>
    <row r="1" spans="1:26" ht="15" customHeight="1">
      <c r="A1" s="90"/>
      <c r="B1" s="92"/>
      <c r="C1" s="92"/>
      <c r="D1" s="97"/>
      <c r="F1" s="42"/>
      <c r="G1" s="116" t="s">
        <v>437</v>
      </c>
      <c r="H1" s="116" t="s">
        <v>438</v>
      </c>
    </row>
    <row r="2" spans="1:26" ht="15" customHeight="1">
      <c r="A2" s="90"/>
      <c r="B2" s="91" t="s">
        <v>276</v>
      </c>
      <c r="C2" s="91" t="s">
        <v>192</v>
      </c>
      <c r="D2" s="97" t="s">
        <v>423</v>
      </c>
      <c r="E2" s="42">
        <f ca="1">COUNT(Dati!E21:E92)</f>
        <v>46</v>
      </c>
      <c r="F2" s="42"/>
      <c r="G2" s="36">
        <v>21</v>
      </c>
      <c r="H2" s="36">
        <f ca="1">G2+E2-1</f>
        <v>66</v>
      </c>
      <c r="I2" s="38">
        <v>1</v>
      </c>
      <c r="J2" s="38">
        <f t="shared" ref="J2:Z2" si="0">I2+1</f>
        <v>2</v>
      </c>
      <c r="K2" s="38">
        <f t="shared" si="0"/>
        <v>3</v>
      </c>
      <c r="L2" s="38">
        <f t="shared" si="0"/>
        <v>4</v>
      </c>
      <c r="M2" s="38">
        <f t="shared" si="0"/>
        <v>5</v>
      </c>
      <c r="N2" s="38">
        <f t="shared" si="0"/>
        <v>6</v>
      </c>
      <c r="O2" s="38">
        <f t="shared" si="0"/>
        <v>7</v>
      </c>
      <c r="P2" s="38">
        <f t="shared" si="0"/>
        <v>8</v>
      </c>
      <c r="Q2" s="38">
        <f t="shared" si="0"/>
        <v>9</v>
      </c>
      <c r="R2" s="38">
        <f t="shared" si="0"/>
        <v>10</v>
      </c>
      <c r="S2" s="38">
        <f t="shared" si="0"/>
        <v>11</v>
      </c>
      <c r="T2" s="38">
        <f t="shared" si="0"/>
        <v>12</v>
      </c>
      <c r="U2" s="38">
        <f t="shared" si="0"/>
        <v>13</v>
      </c>
      <c r="V2" s="38">
        <f t="shared" si="0"/>
        <v>14</v>
      </c>
      <c r="W2" s="38">
        <f t="shared" si="0"/>
        <v>15</v>
      </c>
      <c r="X2" s="38">
        <f t="shared" si="0"/>
        <v>16</v>
      </c>
      <c r="Y2" s="36">
        <f t="shared" si="0"/>
        <v>17</v>
      </c>
      <c r="Z2" s="36">
        <f t="shared" si="0"/>
        <v>18</v>
      </c>
    </row>
    <row r="3" spans="1:26" ht="28" customHeight="1">
      <c r="A3" s="90"/>
      <c r="B3" s="93" t="str">
        <f ca="1">INDIRECT(ADDRESS(14,A4+2,1,TRUE,"Dati"))</f>
        <v>KPI 3  -  Sicurezza Servizi</v>
      </c>
      <c r="C3" s="92"/>
      <c r="D3" s="97"/>
      <c r="F3" s="42"/>
      <c r="G3" s="36"/>
      <c r="H3" s="35"/>
      <c r="I3" s="99" t="str">
        <f ca="1">ADDRESS($G$2-15,ROW()/2+1,1,TRUE,Dati!$A$16&amp;Dati!$BP$17) &amp;":"&amp; ADDRESS($H$2-15,ROW()/2+1,1,TRUE)</f>
        <v>[sicurezzaConsuntivoFinale2010.xls]sicurezzaServizi!$B$6:$B$51</v>
      </c>
      <c r="K3" s="99"/>
      <c r="M3" s="99" t="str">
        <f ca="1">ADDRESS($G$2,$A4,1,TRUE,"Dati") &amp;":"&amp; ADDRESS($H$2,$A4,1,TRUE)</f>
        <v>Dati!$BP$21:$BP$66</v>
      </c>
    </row>
    <row r="4" spans="1:26" ht="75" customHeight="1">
      <c r="A4" s="94">
        <f>Dati!BP10</f>
        <v>68</v>
      </c>
      <c r="B4" s="95">
        <f ca="1">INDIRECT("Dati!R12C"&amp;A4,FALSE)</f>
        <v>32</v>
      </c>
      <c r="C4" s="95" t="str">
        <f ca="1">INDIRECT("Dati!R15C"&amp;A4,FALSE)</f>
        <v>KPI 3.1</v>
      </c>
      <c r="D4" s="98" t="str">
        <f ca="1">INDIRECT("Dati!R16C"&amp;A4,FALSE)</f>
        <v>Esiste un piano formalizzato per la continuità operativa ?</v>
      </c>
      <c r="E4" s="43"/>
      <c r="F4" s="43"/>
      <c r="G4" s="37"/>
      <c r="H4" s="34"/>
      <c r="I4" s="41" t="str">
        <f ca="1">INDIRECT(ADDRESS(I$2,$A4,1,TRUE,"Dati"))</f>
        <v>--</v>
      </c>
      <c r="J4" s="41" t="str">
        <f ca="1">INDIRECT(ADDRESS(J$2,$A4,1,TRUE,"Dati"))</f>
        <v>NO</v>
      </c>
      <c r="K4" s="41" t="str">
        <f ca="1">INDIRECT(ADDRESS(K$2,$A4,1,TRUE,"Dati"))</f>
        <v>SI</v>
      </c>
      <c r="L4" s="41"/>
      <c r="M4" s="41"/>
      <c r="N4" s="39"/>
      <c r="O4" s="39"/>
      <c r="P4" s="39"/>
      <c r="Q4" s="39"/>
      <c r="R4" s="39"/>
      <c r="S4" s="39"/>
    </row>
    <row r="5" spans="1:26" ht="15" customHeight="1">
      <c r="A5" s="94"/>
      <c r="B5" s="95"/>
      <c r="C5" s="95"/>
      <c r="D5" s="98"/>
      <c r="E5" s="43"/>
      <c r="F5" s="43"/>
      <c r="G5" s="37"/>
      <c r="H5" s="50">
        <f ca="1">SUM(I5:Q5)</f>
        <v>46</v>
      </c>
      <c r="I5" s="39">
        <f ca="1">COUNTIF(INDIRECT(ADDRESS($G$2,$A4,1,TRUE,"Dati") &amp;":"&amp; ADDRESS($H$2,$A4,1,TRUE)), "="&amp;T(I4))</f>
        <v>4</v>
      </c>
      <c r="J5" s="271">
        <f ca="1">COUNTIF(INDIRECT(ADDRESS($G$2,$A4,1,TRUE,"Dati") &amp;":"&amp; ADDRESS($H$2,$A4,1,TRUE)), "="&amp;T(J4))</f>
        <v>22</v>
      </c>
      <c r="K5" s="39">
        <f ca="1">COUNTIF(INDIRECT(ADDRESS($G$2,$A4,1,TRUE,"Dati") &amp;":"&amp; ADDRESS($H$2,$A4,1,TRUE)), "="&amp;T(K4))</f>
        <v>20</v>
      </c>
      <c r="L5" s="39"/>
      <c r="M5" s="39"/>
      <c r="N5" s="99"/>
      <c r="O5" s="39"/>
      <c r="P5" s="39"/>
      <c r="Q5" s="39"/>
      <c r="R5" s="39"/>
      <c r="S5" s="39"/>
    </row>
    <row r="6" spans="1:26" ht="75" customHeight="1">
      <c r="A6" s="94">
        <f>A4+2</f>
        <v>70</v>
      </c>
      <c r="B6" s="95">
        <f ca="1">INDIRECT("Dati!R12C"&amp;A6,FALSE)</f>
        <v>33</v>
      </c>
      <c r="C6" s="95" t="str">
        <f ca="1">INDIRECT("Dati!R15C"&amp;A6,FALSE)</f>
        <v>KPI 3.2</v>
      </c>
      <c r="D6" s="98" t="str">
        <f ca="1">INDIRECT("Dati!R16C"&amp;A6,FALSE)</f>
        <v>Esistono procedure operative da attivare in  caso di indisponibilità parziale dei servizi applicativi ?</v>
      </c>
      <c r="E6" s="43"/>
      <c r="F6" s="112"/>
      <c r="G6" s="113"/>
      <c r="H6" s="50"/>
      <c r="I6" s="41" t="str">
        <f ca="1">INDIRECT(ADDRESS(I$2,$A6,1,TRUE,"Dati"))</f>
        <v>--</v>
      </c>
      <c r="J6" s="41" t="str">
        <f ca="1">INDIRECT(ADDRESS(J$2,$A6,1,TRUE,"Dati"))</f>
        <v>NO</v>
      </c>
      <c r="K6" s="41" t="str">
        <f ca="1">INDIRECT(ADDRESS(K$2,$A6,1,TRUE,"Dati"))</f>
        <v>Sì, senza specificazione della copertura</v>
      </c>
      <c r="L6" s="41" t="str">
        <f ca="1">INDIRECT(ADDRESS(L$2,$A6,1,TRUE,"Dati"))</f>
        <v>Sì, solo per le applicazioni più importanti</v>
      </c>
      <c r="M6" s="41"/>
      <c r="N6" s="55"/>
      <c r="O6" s="55"/>
      <c r="P6" s="55"/>
      <c r="Q6" s="55"/>
      <c r="R6" s="55"/>
      <c r="S6" s="55"/>
    </row>
    <row r="7" spans="1:26" ht="15" customHeight="1">
      <c r="A7" s="94"/>
      <c r="B7" s="95"/>
      <c r="C7" s="95"/>
      <c r="D7" s="98"/>
      <c r="E7" s="43"/>
      <c r="F7" s="112"/>
      <c r="G7" s="113"/>
      <c r="H7" s="50">
        <f ca="1">SUM(I7:Q7)</f>
        <v>46</v>
      </c>
      <c r="I7" s="39">
        <f ca="1">COUNTIF(INDIRECT(ADDRESS($G$2,$A6,1,TRUE,"Dati") &amp;":"&amp; ADDRESS($H$2,$A6,1,TRUE)), "="&amp;T(I6))</f>
        <v>6</v>
      </c>
      <c r="J7" s="271">
        <f ca="1">COUNTIF(INDIRECT(ADDRESS($G$2,$A6,1,TRUE,"Dati") &amp;":"&amp; ADDRESS($H$2,$A6,1,TRUE)), "="&amp;T(J6))</f>
        <v>6</v>
      </c>
      <c r="K7" s="39">
        <f ca="1">COUNTIF(INDIRECT(ADDRESS($G$2,$A6,1,TRUE,"Dati") &amp;":"&amp; ADDRESS($H$2,$A6,1,TRUE)), "="&amp;T(K6))</f>
        <v>10</v>
      </c>
      <c r="L7" s="39">
        <f ca="1">COUNTIF(INDIRECT(ADDRESS($G$2,$A6,1,TRUE,"Dati") &amp;":"&amp; ADDRESS($H$2,$A6,1,TRUE)), "="&amp;T(L6))</f>
        <v>24</v>
      </c>
      <c r="M7" s="55"/>
      <c r="N7" s="55"/>
      <c r="O7" s="55"/>
      <c r="P7" s="55"/>
      <c r="Q7" s="55"/>
      <c r="R7" s="55"/>
      <c r="S7" s="55"/>
    </row>
    <row r="8" spans="1:26" ht="75" customHeight="1">
      <c r="A8" s="94">
        <f>A6+2</f>
        <v>72</v>
      </c>
      <c r="B8" s="95">
        <f ca="1">INDIRECT("Dati!R12C"&amp;A8,FALSE)</f>
        <v>34</v>
      </c>
      <c r="C8" s="95" t="str">
        <f ca="1">INDIRECT("Dati!R15C"&amp;A8,FALSE)</f>
        <v>KPI 3.3</v>
      </c>
      <c r="D8" s="98" t="str">
        <f ca="1">INDIRECT("Dati!R16C"&amp;A8,FALSE)</f>
        <v>E' stato definito in modo formale il piano di disaster recovery ?</v>
      </c>
      <c r="E8" s="43"/>
      <c r="F8" s="112"/>
      <c r="G8" s="113"/>
      <c r="H8" s="50"/>
      <c r="I8" s="41" t="str">
        <f ca="1">INDIRECT(ADDRESS(I$2,$A8,1,TRUE,"Dati"))</f>
        <v>--</v>
      </c>
      <c r="J8" s="41" t="str">
        <f ca="1">INDIRECT(ADDRESS(J$2,$A8,1,TRUE,"Dati"))</f>
        <v>NO</v>
      </c>
      <c r="K8" s="41" t="str">
        <f ca="1">INDIRECT(ADDRESS(K$2,$A8,1,TRUE,"Dati"))</f>
        <v>Sì, senza specificazione della copertura</v>
      </c>
      <c r="L8" s="41" t="str">
        <f ca="1">INDIRECT(ADDRESS(L$2,$A8,1,TRUE,"Dati"))</f>
        <v>Sì, solo per le applicazioni più importanti</v>
      </c>
      <c r="M8" s="114"/>
      <c r="N8" s="114"/>
      <c r="O8" s="55"/>
      <c r="P8" s="55"/>
      <c r="Q8" s="55"/>
      <c r="R8" s="55"/>
      <c r="S8" s="55"/>
    </row>
    <row r="9" spans="1:26" ht="15" customHeight="1">
      <c r="A9" s="94"/>
      <c r="B9" s="95"/>
      <c r="C9" s="95"/>
      <c r="D9" s="98"/>
      <c r="E9" s="43"/>
      <c r="F9" s="112"/>
      <c r="G9" s="113"/>
      <c r="H9" s="50">
        <f ca="1">SUM(I9:Q9)</f>
        <v>46</v>
      </c>
      <c r="I9" s="39">
        <f ca="1">COUNTIF(INDIRECT(ADDRESS($G$2,$A8,1,TRUE,"Dati") &amp;":"&amp; ADDRESS($H$2,$A8,1,TRUE)), "="&amp;T(I8))</f>
        <v>6</v>
      </c>
      <c r="J9" s="271">
        <f ca="1">COUNTIF(INDIRECT(ADDRESS($G$2,$A8,1,TRUE,"Dati") &amp;":"&amp; ADDRESS($H$2,$A8,1,TRUE)), "="&amp;T(J8))</f>
        <v>14</v>
      </c>
      <c r="K9" s="39">
        <f ca="1">COUNTIF(INDIRECT(ADDRESS($G$2,$A8,1,TRUE,"Dati") &amp;":"&amp; ADDRESS($H$2,$A8,1,TRUE)), "="&amp;T(K8))</f>
        <v>7</v>
      </c>
      <c r="L9" s="39">
        <f ca="1">COUNTIF(INDIRECT(ADDRESS($G$2,$A8,1,TRUE,"Dati") &amp;":"&amp; ADDRESS($H$2,$A8,1,TRUE)), "="&amp;T(L8))</f>
        <v>19</v>
      </c>
      <c r="M9" s="55"/>
      <c r="N9" s="55"/>
      <c r="O9" s="55"/>
      <c r="P9" s="55"/>
      <c r="Q9" s="55"/>
      <c r="R9" s="55"/>
      <c r="S9" s="55"/>
    </row>
    <row r="10" spans="1:26" ht="75" customHeight="1">
      <c r="A10" s="94">
        <f>A8+2</f>
        <v>74</v>
      </c>
      <c r="B10" s="95">
        <f ca="1">INDIRECT("Dati!R12C"&amp;A10,FALSE)</f>
        <v>35</v>
      </c>
      <c r="C10" s="95" t="str">
        <f ca="1">INDIRECT("Dati!R15C"&amp;A10,FALSE)</f>
        <v>KPI 3.4</v>
      </c>
      <c r="D10" s="98" t="str">
        <f ca="1">INDIRECT("Dati!R16C"&amp;A10,FALSE)</f>
        <v>Nello sviluppo di applicazioni, vengono seguiti dei criteri per ridurre la vulnerabilità del software ?</v>
      </c>
      <c r="E10" s="41"/>
      <c r="F10" s="41"/>
      <c r="G10" s="41"/>
      <c r="H10" s="50"/>
      <c r="I10" s="41" t="str">
        <f ca="1">INDIRECT(ADDRESS(I$2,$A10,1,TRUE,"Dati"))</f>
        <v>--</v>
      </c>
      <c r="J10" s="41" t="str">
        <f ca="1">TEXT(INDIRECT(ADDRESS(J$2,$A10,1,TRUE,"Dati")), "")</f>
        <v>NO</v>
      </c>
      <c r="K10" s="41" t="str">
        <f ca="1">TEXT(INDIRECT(ADDRESS(K$2,$A10,1,TRUE,"Dati")), "")</f>
        <v>SI</v>
      </c>
      <c r="L10" s="41"/>
      <c r="M10" s="41"/>
      <c r="N10" s="41"/>
      <c r="O10" s="41"/>
      <c r="P10" s="41"/>
      <c r="Q10" s="41"/>
      <c r="R10" s="41"/>
      <c r="S10" s="55"/>
    </row>
    <row r="11" spans="1:26" ht="15" customHeight="1">
      <c r="A11" s="94"/>
      <c r="B11" s="95"/>
      <c r="C11" s="95"/>
      <c r="D11" s="98"/>
      <c r="E11" s="43"/>
      <c r="F11" s="112"/>
      <c r="G11" s="113"/>
      <c r="H11" s="50">
        <f ca="1">SUM(I11:K11)</f>
        <v>46</v>
      </c>
      <c r="I11" s="39">
        <f ca="1">COUNTIF(INDIRECT(ADDRESS($G$2,$A10,1,TRUE,"Dati") &amp;":"&amp; ADDRESS($H$2,$A10,1,TRUE)), "="&amp;T(I10))</f>
        <v>7</v>
      </c>
      <c r="J11" s="39">
        <f ca="1">COUNTIF(INDIRECT(ADDRESS($G$2,$A10,1,TRUE,"Dati") &amp;":"&amp; ADDRESS($H$2,$A10,1,TRUE)), "="&amp;T(J10))</f>
        <v>9</v>
      </c>
      <c r="K11" s="270">
        <f ca="1">COUNTIF(INDIRECT(ADDRESS($G$2,$A10,1,TRUE,"Dati") &amp;":"&amp; ADDRESS($H$2,$A10,1,TRUE)), "="&amp;T(K10))</f>
        <v>30</v>
      </c>
      <c r="L11" s="39"/>
      <c r="M11" s="39"/>
      <c r="N11" s="39"/>
      <c r="O11" s="39"/>
      <c r="P11" s="39"/>
      <c r="Q11" s="39"/>
      <c r="R11" s="55"/>
      <c r="S11" s="55"/>
    </row>
    <row r="12" spans="1:26" ht="75" customHeight="1">
      <c r="A12" s="94">
        <f>A10+2</f>
        <v>76</v>
      </c>
      <c r="B12" s="95">
        <f ca="1">INDIRECT("Dati!R12C"&amp;A12,FALSE)</f>
        <v>36</v>
      </c>
      <c r="C12" s="95" t="str">
        <f ca="1">INDIRECT("Dati!R15C"&amp;A12,FALSE)</f>
        <v>KPI 3.5</v>
      </c>
      <c r="D12" s="98" t="str">
        <f ca="1">INDIRECT("Dati!R16C"&amp;A12,FALSE)</f>
        <v>Se esiste un server di posta elettronica interno, esiste un filtro antivirus sul server di posta locale ?</v>
      </c>
      <c r="E12" s="41"/>
      <c r="F12" s="41"/>
      <c r="G12" s="41"/>
      <c r="H12" s="50"/>
      <c r="I12" s="41" t="str">
        <f ca="1">INDIRECT(ADDRESS(I$2,$A12,1,TRUE,"Dati"))</f>
        <v>--</v>
      </c>
      <c r="J12" s="41" t="str">
        <f ca="1">TEXT(INDIRECT(ADDRESS(J$2,$A12,1,TRUE,"Dati")), "")</f>
        <v>NO</v>
      </c>
      <c r="K12" s="41" t="str">
        <f ca="1">TEXT(INDIRECT(ADDRESS(K$2,$A12,1,TRUE,"Dati")), "")</f>
        <v>SI</v>
      </c>
      <c r="L12" s="41"/>
      <c r="M12" s="41"/>
      <c r="N12" s="41"/>
      <c r="O12" s="41"/>
      <c r="P12" s="41"/>
      <c r="Q12" s="41"/>
      <c r="R12" s="41"/>
      <c r="S12" s="55"/>
    </row>
    <row r="13" spans="1:26" ht="15" customHeight="1">
      <c r="A13" s="94"/>
      <c r="B13" s="95"/>
      <c r="C13" s="95"/>
      <c r="D13" s="98"/>
      <c r="E13" s="43"/>
      <c r="F13" s="112"/>
      <c r="G13" s="113"/>
      <c r="H13" s="50">
        <f ca="1">SUM(I13:K13)</f>
        <v>46</v>
      </c>
      <c r="I13" s="39">
        <f ca="1">COUNTIF(INDIRECT(ADDRESS($G$2,$A12,1,TRUE,"Dati") &amp;":"&amp; ADDRESS($H$2,$A12,1,TRUE)), "="&amp;T(I12))</f>
        <v>8</v>
      </c>
      <c r="J13" s="39">
        <f ca="1">COUNTIF(INDIRECT(ADDRESS($G$2,$A12,1,TRUE,"Dati") &amp;":"&amp; ADDRESS($H$2,$A12,1,TRUE)), "="&amp;T(J12))</f>
        <v>1</v>
      </c>
      <c r="K13" s="270">
        <f ca="1">COUNTIF(INDIRECT(ADDRESS($G$2,$A12,1,TRUE,"Dati") &amp;":"&amp; ADDRESS($H$2,$A12,1,TRUE)), "="&amp;T(K12))</f>
        <v>37</v>
      </c>
      <c r="L13" s="39"/>
      <c r="M13" s="39"/>
      <c r="N13" s="39"/>
      <c r="O13" s="39"/>
      <c r="P13" s="39"/>
      <c r="Q13" s="39"/>
      <c r="R13" s="55"/>
      <c r="S13" s="55"/>
    </row>
    <row r="14" spans="1:26" ht="75" customHeight="1">
      <c r="A14" s="94">
        <f>A12+2</f>
        <v>78</v>
      </c>
      <c r="B14" s="95">
        <f ca="1">INDIRECT("Dati!R12C"&amp;A14,FALSE)</f>
        <v>37</v>
      </c>
      <c r="C14" s="95" t="str">
        <f ca="1">INDIRECT("Dati!R15C"&amp;A14,FALSE)</f>
        <v>KPI 3.6</v>
      </c>
      <c r="D14" s="98" t="str">
        <f ca="1">INDIRECT("Dati!R16C"&amp;A14,FALSE)</f>
        <v>Se esiste un server di posta elettronica interno, esiste un filtro anti-spam sul server locale ?</v>
      </c>
      <c r="E14" s="41"/>
      <c r="F14" s="41"/>
      <c r="G14" s="41"/>
      <c r="H14" s="50"/>
      <c r="I14" s="41" t="str">
        <f ca="1">INDIRECT(ADDRESS(I$2,$A14,1,TRUE,"Dati"))</f>
        <v>--</v>
      </c>
      <c r="J14" s="41" t="str">
        <f ca="1">TEXT(INDIRECT(ADDRESS(J$2,$A14,1,TRUE,"Dati")), "")</f>
        <v>NO</v>
      </c>
      <c r="K14" s="41" t="str">
        <f ca="1">TEXT(INDIRECT(ADDRESS(K$2,$A14,1,TRUE,"Dati")), "")</f>
        <v>SI</v>
      </c>
      <c r="L14" s="41"/>
      <c r="M14" s="41"/>
      <c r="N14" s="41"/>
      <c r="O14" s="41"/>
      <c r="P14" s="41"/>
      <c r="Q14" s="41"/>
      <c r="R14" s="41"/>
      <c r="S14" s="55"/>
    </row>
    <row r="15" spans="1:26" ht="15" customHeight="1">
      <c r="A15" s="94"/>
      <c r="B15" s="95"/>
      <c r="C15" s="95"/>
      <c r="D15" s="98"/>
      <c r="E15" s="43"/>
      <c r="F15" s="112"/>
      <c r="G15" s="113"/>
      <c r="H15" s="50">
        <f ca="1">SUM(I15:K15)</f>
        <v>46</v>
      </c>
      <c r="I15" s="39">
        <f ca="1">COUNTIF(INDIRECT(ADDRESS($G$2,$A14,1,TRUE,"Dati") &amp;":"&amp; ADDRESS($H$2,$A14,1,TRUE)), "="&amp;T(I14))</f>
        <v>7</v>
      </c>
      <c r="J15" s="39">
        <f ca="1">COUNTIF(INDIRECT(ADDRESS($G$2,$A14,1,TRUE,"Dati") &amp;":"&amp; ADDRESS($H$2,$A14,1,TRUE)), "="&amp;T(J14))</f>
        <v>3</v>
      </c>
      <c r="K15" s="270">
        <f ca="1">COUNTIF(INDIRECT(ADDRESS($G$2,$A14,1,TRUE,"Dati") &amp;":"&amp; ADDRESS($H$2,$A14,1,TRUE)), "="&amp;T(K14))</f>
        <v>36</v>
      </c>
      <c r="L15" s="39"/>
      <c r="M15" s="39"/>
      <c r="N15" s="39"/>
      <c r="O15" s="39"/>
      <c r="P15" s="39"/>
      <c r="Q15" s="39"/>
      <c r="R15" s="55"/>
      <c r="S15" s="55"/>
    </row>
    <row r="16" spans="1:26" ht="75" customHeight="1">
      <c r="A16" s="94">
        <f>A8+8</f>
        <v>80</v>
      </c>
      <c r="B16" s="95">
        <f ca="1">INDIRECT("Dati!R12C"&amp;A16,FALSE)</f>
        <v>38</v>
      </c>
      <c r="C16" s="95" t="str">
        <f ca="1">INDIRECT("Dati!R15C"&amp;A16,FALSE)</f>
        <v>KPI 3.7</v>
      </c>
      <c r="D16" s="98" t="str">
        <f ca="1">INDIRECT("Dati!R16C"&amp;A16,FALSE)</f>
        <v>Viene utilizzato il protocollo HTTPS per proteggere i contenuti sensibili ?</v>
      </c>
      <c r="E16" s="43"/>
      <c r="F16" s="112"/>
      <c r="G16" s="113"/>
      <c r="H16" s="50"/>
      <c r="I16" s="41" t="str">
        <f ca="1">INDIRECT(ADDRESS(I$2,$A16,1,TRUE,"Dati"))</f>
        <v>--</v>
      </c>
      <c r="J16" s="41" t="str">
        <f ca="1">INDIRECT(ADDRESS(J$2,$A16,1,TRUE,"Dati"))</f>
        <v>NO</v>
      </c>
      <c r="K16" s="41" t="str">
        <f ca="1">INDIRECT(ADDRESS(K$2,$A16,1,TRUE,"Dati"))</f>
        <v>SI</v>
      </c>
      <c r="L16" s="41"/>
      <c r="M16" s="41"/>
      <c r="N16" s="41"/>
      <c r="O16" s="41"/>
      <c r="P16" s="114"/>
      <c r="Q16" s="114"/>
      <c r="R16" s="55"/>
      <c r="S16" s="55"/>
    </row>
    <row r="17" spans="1:23" ht="15" customHeight="1">
      <c r="A17" s="94"/>
      <c r="B17" s="95"/>
      <c r="C17" s="95"/>
      <c r="D17" s="98"/>
      <c r="E17" s="43"/>
      <c r="F17" s="112"/>
      <c r="G17" s="113"/>
      <c r="H17" s="50">
        <f ca="1">SUM(I17:Q17)</f>
        <v>46</v>
      </c>
      <c r="I17" s="39">
        <f ca="1">COUNTIF(INDIRECT(ADDRESS($G$2,$A16,1,TRUE,"Dati") &amp;":"&amp; ADDRESS($H$2,$A16,1,TRUE)), "="&amp;T(I16))</f>
        <v>5</v>
      </c>
      <c r="J17" s="39">
        <f ca="1">COUNTIF(INDIRECT(ADDRESS($G$2,$A16,1,TRUE,"Dati") &amp;":"&amp; ADDRESS($H$2,$A16,1,TRUE)), "="&amp;T(J16))</f>
        <v>2</v>
      </c>
      <c r="K17" s="270">
        <f ca="1">COUNTIF(INDIRECT(ADDRESS($G$2,$A16,1,TRUE,"Dati") &amp;":"&amp; ADDRESS($H$2,$A16,1,TRUE)), "="&amp;T(K16))</f>
        <v>39</v>
      </c>
      <c r="L17" s="39"/>
      <c r="M17" s="39"/>
      <c r="N17" s="55"/>
      <c r="O17" s="55"/>
      <c r="P17" s="55"/>
      <c r="Q17" s="55"/>
      <c r="R17" s="55"/>
      <c r="S17" s="55"/>
    </row>
    <row r="18" spans="1:23" ht="75" customHeight="1">
      <c r="A18" s="94">
        <f>A10+8</f>
        <v>82</v>
      </c>
      <c r="B18" s="95">
        <f ca="1">INDIRECT("Dati!R12C"&amp;A18,FALSE)</f>
        <v>39</v>
      </c>
      <c r="C18" s="95" t="str">
        <f ca="1">INDIRECT("Dati!R15C"&amp;A18,FALSE)</f>
        <v>KPI 3.8</v>
      </c>
      <c r="D18" s="98" t="str">
        <f ca="1">INDIRECT("Dati!R16C"&amp;A18,FALSE)</f>
        <v>Esiste un sistema di protezione antivirus centralizzato  ?</v>
      </c>
      <c r="E18" s="43"/>
      <c r="F18" s="112"/>
      <c r="G18" s="113"/>
      <c r="H18" s="50"/>
      <c r="I18" s="41" t="str">
        <f ca="1">INDIRECT(ADDRESS(I$2,$A18,1,TRUE,"Dati"))</f>
        <v>--</v>
      </c>
      <c r="J18" s="41" t="str">
        <f ca="1">INDIRECT(ADDRESS(J$2,$A18,1,TRUE,"Dati"))</f>
        <v>NO</v>
      </c>
      <c r="K18" s="41" t="str">
        <f ca="1">INDIRECT(ADDRESS(K$2,$A18,1,TRUE,"Dati"))</f>
        <v>SI</v>
      </c>
      <c r="L18" s="41"/>
      <c r="M18" s="41"/>
      <c r="N18" s="41"/>
      <c r="O18" s="41"/>
      <c r="P18" s="114"/>
      <c r="Q18" s="114"/>
      <c r="R18" s="55"/>
      <c r="S18" s="55"/>
    </row>
    <row r="19" spans="1:23" ht="15" customHeight="1">
      <c r="A19" s="94"/>
      <c r="B19" s="95"/>
      <c r="C19" s="95"/>
      <c r="D19" s="98"/>
      <c r="E19" s="43"/>
      <c r="F19" s="112"/>
      <c r="G19" s="113"/>
      <c r="H19" s="50">
        <f ca="1">SUM(I19:Q19)</f>
        <v>46</v>
      </c>
      <c r="I19" s="39">
        <f ca="1">COUNTIF(INDIRECT(ADDRESS($G$2,$A18,1,TRUE,"Dati") &amp;":"&amp; ADDRESS($H$2,$A18,1,TRUE)), "="&amp;T(I18))</f>
        <v>1</v>
      </c>
      <c r="J19" s="39">
        <f ca="1">COUNTIF(INDIRECT(ADDRESS($G$2,$A18,1,TRUE,"Dati") &amp;":"&amp; ADDRESS($H$2,$A18,1,TRUE)), "="&amp;T(J18))</f>
        <v>2</v>
      </c>
      <c r="K19" s="270">
        <f ca="1">COUNTIF(INDIRECT(ADDRESS($G$2,$A18,1,TRUE,"Dati") &amp;":"&amp; ADDRESS($H$2,$A18,1,TRUE)), "="&amp;T(K18))</f>
        <v>43</v>
      </c>
      <c r="L19" s="39"/>
      <c r="M19" s="39"/>
      <c r="N19" s="55"/>
      <c r="O19" s="55"/>
      <c r="P19" s="55"/>
      <c r="Q19" s="55"/>
      <c r="R19" s="55"/>
      <c r="S19" s="55"/>
    </row>
    <row r="20" spans="1:23" ht="75" customHeight="1">
      <c r="A20" s="94">
        <f>A18+2</f>
        <v>84</v>
      </c>
      <c r="B20" s="95">
        <f ca="1">INDIRECT("Dati!R12C"&amp;A20,FALSE)</f>
        <v>40</v>
      </c>
      <c r="C20" s="95" t="str">
        <f ca="1">INDIRECT("Dati!R15C"&amp;A20,FALSE)</f>
        <v>KPI 3.9</v>
      </c>
      <c r="D20" s="98" t="str">
        <f ca="1">INDIRECT("Dati!R16C"&amp;A20,FALSE)</f>
        <v>Sono state rilevate intrusioni riuscite negli ultimi 24 mesi ?</v>
      </c>
      <c r="E20" s="43"/>
      <c r="F20" s="112"/>
      <c r="G20" s="113"/>
      <c r="H20" s="50"/>
      <c r="I20" s="41" t="str">
        <f ca="1">INDIRECT(ADDRESS(I$2,$A20,1,TRUE,"Dati"))</f>
        <v>--</v>
      </c>
      <c r="J20" s="41" t="str">
        <f ca="1">INDIRECT(ADDRESS(J$2,$A20,1,TRUE,"Dati"))</f>
        <v>La procedura è ben documentata</v>
      </c>
      <c r="K20" s="41" t="str">
        <f ca="1">INDIRECT(ADDRESS(K$2,$A20,1,TRUE,"Dati"))</f>
        <v>NO</v>
      </c>
      <c r="L20" s="41" t="str">
        <f ca="1">INDIRECT(ADDRESS(L$2,$A20,1,TRUE,"Dati"))</f>
        <v>SI</v>
      </c>
      <c r="M20" s="55"/>
      <c r="N20" s="55"/>
      <c r="O20" s="55"/>
      <c r="P20" s="55"/>
      <c r="Q20" s="55"/>
      <c r="R20" s="55"/>
      <c r="S20" s="55"/>
    </row>
    <row r="21" spans="1:23" ht="15" customHeight="1">
      <c r="A21" s="94"/>
      <c r="B21" s="95"/>
      <c r="C21" s="95"/>
      <c r="D21" s="98"/>
      <c r="E21" s="43"/>
      <c r="F21" s="112"/>
      <c r="G21" s="113"/>
      <c r="H21" s="50">
        <f ca="1">SUM(I21:Q21)</f>
        <v>46</v>
      </c>
      <c r="I21" s="39">
        <f ca="1">COUNTIF(INDIRECT(ADDRESS($G$2,$A20,1,TRUE,"Dati") &amp;":"&amp; ADDRESS($H$2,$A20,1,TRUE)), "="&amp;T(I20))</f>
        <v>4</v>
      </c>
      <c r="J21" s="39">
        <f ca="1">COUNTIF(INDIRECT(ADDRESS($G$2,$A20,1,TRUE,"Dati") &amp;":"&amp; ADDRESS($H$2,$A20,1,TRUE)), "="&amp;T(J20))</f>
        <v>9</v>
      </c>
      <c r="K21" s="39">
        <f ca="1">COUNTIF(INDIRECT(ADDRESS($G$2,$A20,1,TRUE,"Dati") &amp;":"&amp; ADDRESS($H$2,$A20,1,TRUE)), "="&amp;T(K20))</f>
        <v>33</v>
      </c>
      <c r="L21" s="39">
        <f ca="1">COUNTIF(INDIRECT(ADDRESS($G$2,$A20,1,TRUE,"Dati") &amp;":"&amp; ADDRESS($H$2,$A20,1,TRUE)), "="&amp;T(L20))</f>
        <v>0</v>
      </c>
      <c r="M21" s="55"/>
      <c r="N21" s="55"/>
      <c r="O21" s="55"/>
      <c r="P21" s="55"/>
      <c r="Q21" s="55"/>
      <c r="R21" s="55"/>
      <c r="S21" s="55"/>
    </row>
    <row r="22" spans="1:23" ht="75" customHeight="1">
      <c r="A22" s="94">
        <f>A20+2</f>
        <v>86</v>
      </c>
      <c r="B22" s="95">
        <f ca="1">INDIRECT("Dati!R12C"&amp;A22,FALSE)</f>
        <v>41</v>
      </c>
      <c r="C22" s="95" t="str">
        <f ca="1">INDIRECT("Dati!R15C"&amp;A22,FALSE)</f>
        <v>KPI 3.9a</v>
      </c>
      <c r="D22" s="98" t="str">
        <f ca="1">INDIRECT("Dati!R16C"&amp;A22,FALSE)</f>
        <v>Se sono state rilevate intrusioni riuscite, quante ?</v>
      </c>
      <c r="E22" s="43"/>
      <c r="F22" s="112"/>
      <c r="G22" s="113"/>
      <c r="H22" s="50"/>
      <c r="I22" s="41" t="str">
        <f ca="1">INDIRECT(ADDRESS(I$2,$A22,1,TRUE,"Dati"))</f>
        <v>--</v>
      </c>
      <c r="J22" s="41" t="str">
        <f ca="1">INDIRECT(ADDRESS(J$2,$A22,1,TRUE,"Dati"))</f>
        <v>Rilevate &lt; 10</v>
      </c>
      <c r="K22" s="41" t="str">
        <f ca="1">INDIRECT(ADDRESS(K$2,$A22,1,TRUE,"Dati"))</f>
        <v>Rilevate &gt; 10</v>
      </c>
      <c r="L22" s="55"/>
      <c r="M22" s="55"/>
      <c r="N22" s="55"/>
      <c r="O22" s="55"/>
      <c r="P22" s="55"/>
      <c r="Q22" s="55"/>
      <c r="R22" s="55"/>
      <c r="S22" s="55"/>
    </row>
    <row r="23" spans="1:23" ht="15" customHeight="1">
      <c r="A23" s="94"/>
      <c r="B23" s="95"/>
      <c r="C23" s="95"/>
      <c r="D23" s="98"/>
      <c r="E23" s="43"/>
      <c r="F23" s="112"/>
      <c r="G23" s="113"/>
      <c r="H23" s="50">
        <f ca="1">SUM(I23:Q23)</f>
        <v>46</v>
      </c>
      <c r="I23" s="39">
        <f ca="1">COUNTIF(INDIRECT(ADDRESS($G$2,$A22,1,TRUE,"Dati") &amp;":"&amp; ADDRESS($H$2,$A22,1,TRUE)), "="&amp;T(I22))</f>
        <v>0</v>
      </c>
      <c r="J23" s="39">
        <f ca="1">COUNTIF(INDIRECT(ADDRESS($G$2,$A22,1,TRUE,"Dati") &amp;":"&amp; ADDRESS($H$2,$A22,1,TRUE)), "="&amp;T(J22))</f>
        <v>46</v>
      </c>
      <c r="K23" s="39">
        <f ca="1">COUNTIF(INDIRECT(ADDRESS($G$2,$A22,1,TRUE,"Dati") &amp;":"&amp; ADDRESS($H$2,$A22,1,TRUE)), "="&amp;T(K22))</f>
        <v>0</v>
      </c>
      <c r="L23" s="55"/>
      <c r="M23" s="55"/>
      <c r="N23" s="55"/>
      <c r="O23" s="55"/>
      <c r="P23" s="55"/>
      <c r="Q23" s="55"/>
      <c r="R23" s="55"/>
      <c r="S23" s="55"/>
    </row>
    <row r="24" spans="1:23" ht="15" customHeight="1">
      <c r="A24" s="94"/>
      <c r="B24" s="95"/>
      <c r="C24" s="95"/>
      <c r="D24" s="98"/>
      <c r="E24" s="43"/>
      <c r="F24" s="112"/>
      <c r="G24" s="113"/>
      <c r="H24" s="50"/>
      <c r="I24" s="633" t="str">
        <f ca="1">Dati!CJ11</f>
        <v>Denial Of Service</v>
      </c>
      <c r="J24" s="633"/>
      <c r="K24" s="633"/>
      <c r="L24" s="55"/>
      <c r="M24" s="633" t="str">
        <f ca="1">Dati!CL11</f>
        <v>Utilizzo di risorse protette</v>
      </c>
      <c r="N24" s="633"/>
      <c r="O24" s="633"/>
      <c r="P24" s="55"/>
      <c r="Q24" s="633" t="str">
        <f ca="1">Dati!CN11</f>
        <v>Accesso a dati riservati</v>
      </c>
      <c r="R24" s="633"/>
      <c r="S24" s="633"/>
      <c r="U24" s="633" t="str">
        <f ca="1">Dati!CP11</f>
        <v>Altro tipo</v>
      </c>
      <c r="V24" s="633"/>
      <c r="W24" s="633"/>
    </row>
    <row r="25" spans="1:23" ht="75" customHeight="1">
      <c r="A25" s="94">
        <f>A22+2</f>
        <v>88</v>
      </c>
      <c r="B25" s="95">
        <f ca="1">INDIRECT("Dati!R12C"&amp;A25,FALSE)</f>
        <v>42</v>
      </c>
      <c r="C25" s="95" t="str">
        <f ca="1">INDIRECT("Dati!R15C"&amp;A25,FALSE)</f>
        <v>KPI 3.9b</v>
      </c>
      <c r="D25" s="98" t="str">
        <f ca="1">INDIRECT("Dati!R16C"&amp;A25,FALSE)</f>
        <v>Se sono state rilevate intrusioni riuscite di che tipo sono state ?</v>
      </c>
      <c r="E25" s="43"/>
      <c r="F25" s="112"/>
      <c r="G25" s="113"/>
      <c r="H25" s="50"/>
      <c r="I25" s="41" t="str">
        <f ca="1">INDIRECT(ADDRESS(I$2,$A25,1,TRUE,"Dati"))</f>
        <v>--</v>
      </c>
      <c r="J25" s="41" t="str">
        <f ca="1">TEXT(INDIRECT(ADDRESS(J$2,$A25,1,TRUE,"Dati")), "")</f>
        <v>FALSO</v>
      </c>
      <c r="K25" s="41" t="str">
        <f ca="1">TEXT(INDIRECT(ADDRESS(K$2,$A25,1,TRUE,"Dati")), "")</f>
        <v>VERO</v>
      </c>
      <c r="L25" s="41"/>
      <c r="M25" s="41" t="str">
        <f ca="1">INDIRECT(ADDRESS(I$2,$A25+2,1,TRUE,"Dati"))</f>
        <v>--</v>
      </c>
      <c r="N25" s="41" t="str">
        <f ca="1">TEXT(INDIRECT(ADDRESS(J$2,$A25+2,1,TRUE,"Dati")), "")</f>
        <v>FALSO</v>
      </c>
      <c r="O25" s="41" t="str">
        <f ca="1">TEXT(INDIRECT(ADDRESS(K$2,$A25+2,1,TRUE,"Dati")), "")</f>
        <v>VERO</v>
      </c>
      <c r="P25" s="41"/>
      <c r="Q25" s="41" t="str">
        <f ca="1">INDIRECT(ADDRESS(I$2,$A25+4,1,TRUE,"Dati"))</f>
        <v>--</v>
      </c>
      <c r="R25" s="41" t="str">
        <f ca="1">TEXT(INDIRECT(ADDRESS(J$2,$A25+4,1,TRUE,"Dati")), "")</f>
        <v>FALSO</v>
      </c>
      <c r="S25" s="41" t="str">
        <f ca="1">TEXT(INDIRECT(ADDRESS(K$2,$A25+4,1,TRUE,"Dati")), "")</f>
        <v>VERO</v>
      </c>
      <c r="T25" s="41"/>
      <c r="U25" s="41" t="str">
        <f ca="1">INDIRECT(ADDRESS(I$2,$A25+6,1,TRUE,"Dati"))</f>
        <v>--</v>
      </c>
      <c r="V25" s="41" t="str">
        <f ca="1">TEXT(INDIRECT(ADDRESS(J$2,$A25+6,1,TRUE,"Dati")), "")</f>
        <v>FALSO</v>
      </c>
      <c r="W25" s="41" t="str">
        <f ca="1">TEXT(INDIRECT(ADDRESS(K$2,$A25+6,1,TRUE,"Dati")), "")</f>
        <v>VERO</v>
      </c>
    </row>
    <row r="26" spans="1:23" ht="15" customHeight="1">
      <c r="A26" s="94"/>
      <c r="B26" s="95"/>
      <c r="C26" s="95"/>
      <c r="D26" s="98"/>
      <c r="E26" s="43"/>
      <c r="F26" s="112"/>
      <c r="G26" s="113"/>
      <c r="H26" s="50">
        <f ca="1">SUM(I26:K26)</f>
        <v>46</v>
      </c>
      <c r="I26" s="39">
        <f ca="1">COUNTIF(INDIRECT(ADDRESS($G$2,$A25,1,TRUE,"Dati") &amp;":"&amp; ADDRESS($H$2,$A25,1,TRUE)), "="&amp;T(I25))</f>
        <v>0</v>
      </c>
      <c r="J26" s="39">
        <f ca="1">COUNTIF(INDIRECT(ADDRESS($G$2,$A25,1,TRUE,"Dati") &amp;":"&amp; ADDRESS($H$2,$A25,1,TRUE)), "="&amp;T(J25))</f>
        <v>45</v>
      </c>
      <c r="K26" s="39">
        <f ca="1">COUNTIF(INDIRECT(ADDRESS($G$2,$A25,1,TRUE,"Dati") &amp;":"&amp; ADDRESS($H$2,$A25,1,TRUE)), "="&amp;T(K25))</f>
        <v>1</v>
      </c>
      <c r="L26" s="50">
        <f ca="1">SUM(M26:O26)</f>
        <v>46</v>
      </c>
      <c r="M26" s="39">
        <f ca="1">COUNTIF(INDIRECT(ADDRESS($G$2,$A25+2,1,TRUE,"Dati") &amp;":"&amp; ADDRESS($H$2,$A25+2,1,TRUE)), "="&amp;T(M25))</f>
        <v>0</v>
      </c>
      <c r="N26" s="39">
        <f ca="1">COUNTIF(INDIRECT(ADDRESS($G$2,$A25+2,1,TRUE,"Dati") &amp;":"&amp; ADDRESS($H$2,$A25+2,1,TRUE)), "="&amp;T(N25))</f>
        <v>46</v>
      </c>
      <c r="O26" s="39">
        <f ca="1">COUNTIF(INDIRECT(ADDRESS($G$2,$A25+2,1,TRUE,"Dati") &amp;":"&amp; ADDRESS($H$2,$A25+2,1,TRUE)), "="&amp;T(O25))</f>
        <v>0</v>
      </c>
      <c r="P26" s="50">
        <f ca="1">SUM(Q26:S26)</f>
        <v>46</v>
      </c>
      <c r="Q26" s="39">
        <f ca="1">COUNTIF(INDIRECT(ADDRESS($G$2,$A25+4,1,TRUE,"Dati") &amp;":"&amp; ADDRESS($H$2,$A25+4,1,TRUE)), "="&amp;T(Q25))</f>
        <v>0</v>
      </c>
      <c r="R26" s="39">
        <f ca="1">COUNTIF(INDIRECT(ADDRESS($G$2,$A25+4,1,TRUE,"Dati") &amp;":"&amp; ADDRESS($H$2,$A25+4,1,TRUE)), "="&amp;T(R25))</f>
        <v>46</v>
      </c>
      <c r="S26" s="39">
        <f ca="1">COUNTIF(INDIRECT(ADDRESS($G$2,$A25+4,1,TRUE,"Dati") &amp;":"&amp; ADDRESS($H$2,$A25+4,1,TRUE)), "="&amp;T(S25))</f>
        <v>0</v>
      </c>
      <c r="T26" s="50">
        <f ca="1">SUM(U26:W26)</f>
        <v>46</v>
      </c>
      <c r="U26" s="39">
        <f ca="1">COUNTIF(INDIRECT(ADDRESS($G$2,$A25+6,1,TRUE,"Dati") &amp;":"&amp; ADDRESS($H$2,$A25+6,1,TRUE)), "="&amp;T(U25))</f>
        <v>0</v>
      </c>
      <c r="V26" s="39">
        <f ca="1">COUNTIF(INDIRECT(ADDRESS($G$2,$A25+6,1,TRUE,"Dati") &amp;":"&amp; ADDRESS($H$2,$A25+6,1,TRUE)), "="&amp;T(V25))</f>
        <v>38</v>
      </c>
      <c r="W26" s="39">
        <f ca="1">COUNTIF(INDIRECT(ADDRESS($G$2,$A25+6,1,TRUE,"Dati") &amp;":"&amp; ADDRESS($H$2,$A25+6,1,TRUE)), "="&amp;T(W25))</f>
        <v>8</v>
      </c>
    </row>
    <row r="27" spans="1:23">
      <c r="A27" s="94"/>
      <c r="B27" s="95"/>
      <c r="C27" s="95"/>
      <c r="D27" s="98"/>
      <c r="E27" s="43"/>
      <c r="F27" s="112"/>
      <c r="G27" s="113"/>
      <c r="H27" s="50"/>
      <c r="I27" s="41"/>
      <c r="J27" s="41"/>
      <c r="K27" s="41">
        <f>COLUMN()</f>
        <v>11</v>
      </c>
      <c r="L27" s="114"/>
      <c r="M27" s="114"/>
      <c r="N27" s="55"/>
      <c r="O27" s="41">
        <f>COLUMN()</f>
        <v>15</v>
      </c>
      <c r="P27" s="55"/>
      <c r="Q27" s="55"/>
      <c r="R27" s="55"/>
      <c r="S27" s="41">
        <f>COLUMN()</f>
        <v>19</v>
      </c>
      <c r="W27" s="41">
        <f>COLUMN()</f>
        <v>23</v>
      </c>
    </row>
    <row r="28" spans="1:23">
      <c r="A28" s="94"/>
      <c r="B28" s="95"/>
      <c r="C28" s="95"/>
      <c r="D28" s="98"/>
      <c r="E28" s="43"/>
      <c r="F28" s="112"/>
      <c r="G28" s="113"/>
      <c r="H28" s="50"/>
      <c r="I28" s="39"/>
      <c r="J28" s="39"/>
      <c r="K28" s="39"/>
      <c r="L28" s="55"/>
      <c r="M28" s="55"/>
      <c r="N28" s="55"/>
      <c r="O28" s="55"/>
      <c r="P28" s="55"/>
      <c r="Q28" s="55"/>
      <c r="R28" s="55"/>
      <c r="S28" s="55"/>
    </row>
    <row r="29" spans="1:23">
      <c r="A29" s="94"/>
      <c r="B29" s="95"/>
      <c r="C29" s="95"/>
      <c r="D29" s="98"/>
      <c r="E29" s="43"/>
      <c r="F29" s="112"/>
      <c r="G29" s="113"/>
      <c r="H29" s="50"/>
      <c r="I29" s="41"/>
      <c r="J29" s="41"/>
      <c r="K29" s="41"/>
      <c r="L29" s="114"/>
      <c r="M29" s="55"/>
      <c r="N29" s="55"/>
      <c r="O29" s="55"/>
      <c r="P29" s="55"/>
      <c r="Q29" s="55"/>
      <c r="R29" s="55"/>
      <c r="S29" s="55"/>
    </row>
    <row r="30" spans="1:23">
      <c r="A30" s="94"/>
      <c r="B30" s="95"/>
      <c r="C30" s="95"/>
      <c r="D30" s="98"/>
      <c r="E30" s="43"/>
      <c r="F30" s="112"/>
      <c r="G30" s="113"/>
      <c r="H30" s="50"/>
      <c r="I30" s="39"/>
      <c r="J30" s="39"/>
      <c r="K30" s="39"/>
      <c r="L30" s="55"/>
      <c r="M30" s="55"/>
      <c r="N30" s="55"/>
      <c r="O30" s="55"/>
      <c r="P30" s="55"/>
      <c r="Q30" s="55"/>
      <c r="R30" s="55"/>
      <c r="S30" s="55"/>
    </row>
    <row r="31" spans="1:23">
      <c r="A31" s="94"/>
      <c r="B31" s="95"/>
      <c r="C31" s="95"/>
      <c r="D31" s="98"/>
      <c r="E31" s="43"/>
      <c r="F31" s="112"/>
      <c r="G31" s="113"/>
      <c r="H31" s="50"/>
      <c r="I31" s="41"/>
      <c r="J31" s="41"/>
      <c r="K31" s="41"/>
      <c r="L31" s="114"/>
      <c r="M31" s="55"/>
      <c r="N31" s="55"/>
      <c r="O31" s="55"/>
      <c r="P31" s="55"/>
      <c r="Q31" s="55"/>
      <c r="R31" s="55"/>
      <c r="S31" s="55"/>
    </row>
    <row r="32" spans="1:23">
      <c r="A32" s="94"/>
      <c r="B32" s="95"/>
      <c r="C32" s="95"/>
      <c r="D32" s="98"/>
      <c r="E32" s="43"/>
      <c r="F32" s="112"/>
      <c r="G32" s="113"/>
      <c r="H32" s="50"/>
      <c r="I32" s="39"/>
      <c r="J32" s="39"/>
      <c r="K32" s="39"/>
      <c r="L32" s="55"/>
      <c r="M32" s="55"/>
      <c r="N32" s="55"/>
      <c r="O32" s="55"/>
      <c r="P32" s="55"/>
      <c r="Q32" s="55"/>
      <c r="R32" s="55"/>
      <c r="S32" s="55"/>
    </row>
    <row r="33" spans="1:19">
      <c r="A33" s="94"/>
      <c r="B33" s="95"/>
      <c r="C33" s="95"/>
      <c r="D33" s="98"/>
      <c r="E33" s="43"/>
      <c r="F33" s="112"/>
      <c r="G33" s="113"/>
      <c r="H33" s="50"/>
      <c r="I33" s="114"/>
      <c r="J33" s="114"/>
      <c r="K33" s="114"/>
      <c r="L33" s="55"/>
      <c r="M33" s="55"/>
      <c r="N33" s="55"/>
      <c r="O33" s="55"/>
      <c r="P33" s="55"/>
      <c r="Q33" s="55"/>
      <c r="R33" s="55"/>
      <c r="S33" s="55"/>
    </row>
    <row r="34" spans="1:19">
      <c r="A34" s="94"/>
      <c r="B34" s="95"/>
      <c r="C34" s="95"/>
      <c r="D34" s="98"/>
      <c r="E34" s="43"/>
      <c r="F34" s="112"/>
      <c r="G34" s="113"/>
      <c r="H34" s="50"/>
      <c r="I34" s="39"/>
      <c r="J34" s="55"/>
      <c r="K34" s="39"/>
      <c r="L34" s="55"/>
      <c r="M34" s="55"/>
      <c r="N34" s="55"/>
      <c r="O34" s="55"/>
      <c r="P34" s="55"/>
      <c r="Q34" s="55"/>
      <c r="R34" s="55"/>
      <c r="S34" s="55"/>
    </row>
    <row r="35" spans="1:19">
      <c r="A35" s="94"/>
      <c r="B35" s="95"/>
      <c r="C35" s="95"/>
      <c r="D35" s="98"/>
      <c r="E35" s="43"/>
      <c r="F35" s="112"/>
      <c r="G35" s="113"/>
      <c r="H35" s="50"/>
      <c r="I35" s="114"/>
      <c r="J35" s="114"/>
      <c r="K35" s="114"/>
      <c r="L35" s="55"/>
      <c r="M35" s="55"/>
      <c r="N35" s="55"/>
      <c r="O35" s="55"/>
      <c r="P35" s="55"/>
      <c r="Q35" s="55"/>
      <c r="R35" s="55"/>
      <c r="S35" s="55"/>
    </row>
    <row r="36" spans="1:19">
      <c r="A36" s="94"/>
      <c r="B36" s="95"/>
      <c r="C36" s="95"/>
      <c r="D36" s="98"/>
      <c r="E36" s="43"/>
      <c r="F36" s="112"/>
      <c r="G36" s="113"/>
      <c r="H36" s="50"/>
      <c r="I36" s="39"/>
      <c r="J36" s="39"/>
      <c r="K36" s="39"/>
      <c r="M36" s="55"/>
      <c r="N36" s="55"/>
      <c r="O36" s="55"/>
      <c r="P36" s="55"/>
      <c r="Q36" s="55"/>
      <c r="R36" s="55"/>
      <c r="S36" s="55"/>
    </row>
  </sheetData>
  <mergeCells count="4">
    <mergeCell ref="U24:W24"/>
    <mergeCell ref="I24:K24"/>
    <mergeCell ref="M24:O24"/>
    <mergeCell ref="Q24:S24"/>
  </mergeCells>
  <phoneticPr fontId="3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 enableFormatConditionsCalculation="0"/>
  <dimension ref="A1:Z37"/>
  <sheetViews>
    <sheetView topLeftCell="A13" workbookViewId="0">
      <selection activeCell="M15" sqref="M15"/>
    </sheetView>
  </sheetViews>
  <sheetFormatPr baseColWidth="10" defaultColWidth="8.83203125" defaultRowHeight="12" x14ac:dyDescent="0"/>
  <cols>
    <col min="1" max="1" width="5.1640625" customWidth="1"/>
    <col min="2" max="2" width="4.83203125" customWidth="1"/>
    <col min="3" max="3" width="7.83203125" style="29" customWidth="1"/>
    <col min="4" max="4" width="46.5" style="42" customWidth="1"/>
    <col min="5" max="5" width="6.6640625" style="42" customWidth="1"/>
    <col min="6" max="6" width="6.5" style="36" customWidth="1"/>
    <col min="7" max="7" width="6.6640625" customWidth="1"/>
    <col min="8" max="8" width="6.6640625" style="29" customWidth="1"/>
    <col min="9" max="24" width="14.6640625" style="29" customWidth="1"/>
  </cols>
  <sheetData>
    <row r="1" spans="1:26" ht="15" customHeight="1">
      <c r="A1" s="90"/>
      <c r="B1" s="92"/>
      <c r="C1" s="92"/>
      <c r="D1" s="97"/>
      <c r="F1" s="42"/>
      <c r="G1" s="116" t="s">
        <v>437</v>
      </c>
      <c r="H1" s="116" t="s">
        <v>438</v>
      </c>
    </row>
    <row r="2" spans="1:26" ht="15" customHeight="1">
      <c r="A2" s="90"/>
      <c r="B2" s="91" t="s">
        <v>276</v>
      </c>
      <c r="C2" s="91" t="s">
        <v>192</v>
      </c>
      <c r="D2" s="97" t="s">
        <v>423</v>
      </c>
      <c r="E2" s="42">
        <f ca="1">COUNT(Dati!E21:E92)</f>
        <v>46</v>
      </c>
      <c r="F2" s="42"/>
      <c r="G2" s="36">
        <v>21</v>
      </c>
      <c r="H2" s="36">
        <f ca="1">G2+E2-1</f>
        <v>66</v>
      </c>
      <c r="I2" s="38">
        <v>1</v>
      </c>
      <c r="J2" s="38">
        <f t="shared" ref="J2:Z2" si="0">I2+1</f>
        <v>2</v>
      </c>
      <c r="K2" s="38">
        <f t="shared" si="0"/>
        <v>3</v>
      </c>
      <c r="L2" s="38">
        <f t="shared" si="0"/>
        <v>4</v>
      </c>
      <c r="M2" s="38">
        <f t="shared" si="0"/>
        <v>5</v>
      </c>
      <c r="N2" s="38">
        <f t="shared" si="0"/>
        <v>6</v>
      </c>
      <c r="O2" s="38">
        <f t="shared" si="0"/>
        <v>7</v>
      </c>
      <c r="P2" s="38">
        <f t="shared" si="0"/>
        <v>8</v>
      </c>
      <c r="Q2" s="38">
        <f t="shared" si="0"/>
        <v>9</v>
      </c>
      <c r="R2" s="38">
        <f t="shared" si="0"/>
        <v>10</v>
      </c>
      <c r="S2" s="38">
        <f t="shared" si="0"/>
        <v>11</v>
      </c>
      <c r="T2" s="38">
        <f t="shared" si="0"/>
        <v>12</v>
      </c>
      <c r="U2" s="38">
        <f t="shared" si="0"/>
        <v>13</v>
      </c>
      <c r="V2" s="38">
        <f t="shared" si="0"/>
        <v>14</v>
      </c>
      <c r="W2" s="38">
        <f t="shared" si="0"/>
        <v>15</v>
      </c>
      <c r="X2" s="38">
        <f t="shared" si="0"/>
        <v>16</v>
      </c>
      <c r="Y2" s="36">
        <f t="shared" si="0"/>
        <v>17</v>
      </c>
      <c r="Z2" s="36">
        <f t="shared" si="0"/>
        <v>18</v>
      </c>
    </row>
    <row r="3" spans="1:26" ht="28" customHeight="1">
      <c r="A3" s="90"/>
      <c r="B3" s="93" t="str">
        <f ca="1">INDIRECT(ADDRESS(14,A4+2,1,TRUE,"Dati"))</f>
        <v>KPI 2  -  Sicurezza Infrastruttura</v>
      </c>
      <c r="C3" s="92"/>
      <c r="D3" s="97"/>
      <c r="F3" s="42"/>
      <c r="G3" s="36"/>
      <c r="H3" s="35"/>
      <c r="I3" s="99" t="str">
        <f ca="1">ADDRESS($G$2-15,ROW()/2+1,1,TRUE,Dati!$A$16&amp;Dati!$AM$17) &amp;":"&amp; ADDRESS($H$2-15,ROW()/2+1,1,TRUE)</f>
        <v>[sicurezzaConsuntivoFinale2010.xls]sicurezzaInfrastruttura!$B$6:$B$51</v>
      </c>
      <c r="K3" s="99"/>
      <c r="M3" s="99" t="str">
        <f ca="1">ADDRESS($G$2,$A4,1,TRUE,"Dati") &amp;":"&amp; ADDRESS($H$2,$A4,1,TRUE)</f>
        <v>Dati!$AM$21:$AM$66</v>
      </c>
    </row>
    <row r="4" spans="1:26" ht="75" customHeight="1">
      <c r="A4" s="94">
        <f>Dati!AM10</f>
        <v>39</v>
      </c>
      <c r="B4" s="95">
        <f ca="1">INDIRECT("Dati!R12C"&amp;A4,FALSE)</f>
        <v>18</v>
      </c>
      <c r="C4" s="95" t="str">
        <f ca="1">INDIRECT("Dati!R15C"&amp;A4,FALSE)</f>
        <v>KPI 2.1</v>
      </c>
      <c r="D4" s="98" t="str">
        <f ca="1">INDIRECT("Dati!R16C"&amp;A4,FALSE)</f>
        <v>Esistono barriere fisiche per limitare e perimetrare l'accesso alle risorse elaborative e alla rete interna ?</v>
      </c>
      <c r="E4" s="43"/>
      <c r="F4" s="43"/>
      <c r="G4" s="37"/>
      <c r="H4" s="34"/>
      <c r="I4" s="41" t="str">
        <f ca="1">INDIRECT(ADDRESS(I$2,$A4,1,TRUE,"Dati"))</f>
        <v>--</v>
      </c>
      <c r="J4" s="41" t="str">
        <f ca="1">INDIRECT(ADDRESS(J$2,$A4,1,TRUE,"Dati"))</f>
        <v>NO</v>
      </c>
      <c r="K4" s="41" t="str">
        <f ca="1">INDIRECT(ADDRESS(K$2,$A4,1,TRUE,"Dati"))</f>
        <v>SI</v>
      </c>
      <c r="L4" s="41"/>
      <c r="M4" s="41"/>
      <c r="N4" s="39"/>
      <c r="O4" s="39"/>
      <c r="P4" s="39"/>
      <c r="Q4" s="39"/>
      <c r="R4" s="39"/>
      <c r="S4" s="39"/>
    </row>
    <row r="5" spans="1:26" ht="15" customHeight="1">
      <c r="A5" s="94"/>
      <c r="B5" s="95"/>
      <c r="C5" s="95"/>
      <c r="D5" s="98"/>
      <c r="E5" s="43"/>
      <c r="F5" s="43"/>
      <c r="G5" s="37"/>
      <c r="H5" s="50">
        <f ca="1">SUM(I5:Q5)</f>
        <v>46</v>
      </c>
      <c r="I5" s="39">
        <f ca="1">COUNTIF(INDIRECT(ADDRESS($G$2,$A4,1,TRUE,"Dati") &amp;":"&amp; ADDRESS($H$2,$A4,1,TRUE)), "="&amp;T(I4))</f>
        <v>1</v>
      </c>
      <c r="J5" s="39">
        <f ca="1">COUNTIF(INDIRECT(ADDRESS($G$2,$A4,1,TRUE,"Dati") &amp;":"&amp; ADDRESS($H$2,$A4,1,TRUE)), "="&amp;T(J4))</f>
        <v>3</v>
      </c>
      <c r="K5" s="39">
        <f ca="1">COUNTIF(INDIRECT(ADDRESS($G$2,$A4,1,TRUE,"Dati") &amp;":"&amp; ADDRESS($H$2,$A4,1,TRUE)), "="&amp;T(K4))</f>
        <v>42</v>
      </c>
      <c r="L5" s="39"/>
      <c r="M5" s="39"/>
      <c r="N5" s="99"/>
      <c r="O5" s="39"/>
      <c r="P5" s="39"/>
      <c r="Q5" s="39"/>
      <c r="R5" s="39"/>
      <c r="S5" s="39"/>
    </row>
    <row r="6" spans="1:26" ht="75" customHeight="1">
      <c r="A6" s="94">
        <f>A4+2</f>
        <v>41</v>
      </c>
      <c r="B6" s="95">
        <f ca="1">INDIRECT("Dati!R12C"&amp;A6,FALSE)</f>
        <v>19</v>
      </c>
      <c r="C6" s="95" t="str">
        <f ca="1">INDIRECT("Dati!R15C"&amp;A6,FALSE)</f>
        <v>KPI 2.2</v>
      </c>
      <c r="D6" s="98" t="str">
        <f ca="1">INDIRECT("Dati!R16C"&amp;A6,FALSE)</f>
        <v>Esiste un sistema di controllo dell'accesso fisico ai locali dove si trovano gli elaboratori e gli apparati di rete ?</v>
      </c>
      <c r="E6" s="43"/>
      <c r="F6" s="112"/>
      <c r="G6" s="113"/>
      <c r="H6" s="50"/>
      <c r="I6" s="41" t="str">
        <f ca="1">INDIRECT(ADDRESS(I$2,$A6,1,TRUE,"Dati"))</f>
        <v>--</v>
      </c>
      <c r="J6" s="41" t="str">
        <f ca="1">INDIRECT(ADDRESS(J$2,$A6,1,TRUE,"Dati"))</f>
        <v>NO</v>
      </c>
      <c r="K6" s="41" t="str">
        <f ca="1">INDIRECT(ADDRESS(K$2,$A6,1,TRUE,"Dati"))</f>
        <v>SI</v>
      </c>
      <c r="L6" s="55"/>
      <c r="M6" s="55"/>
      <c r="N6" s="55"/>
      <c r="O6" s="55"/>
      <c r="P6" s="55"/>
      <c r="Q6" s="55"/>
      <c r="R6" s="55"/>
      <c r="S6" s="55"/>
      <c r="T6" s="115"/>
      <c r="U6" s="115"/>
      <c r="V6" s="115"/>
    </row>
    <row r="7" spans="1:26" ht="15" customHeight="1">
      <c r="A7" s="94"/>
      <c r="B7" s="95"/>
      <c r="C7" s="95"/>
      <c r="D7" s="98"/>
      <c r="E7" s="43"/>
      <c r="F7" s="112"/>
      <c r="G7" s="113"/>
      <c r="H7" s="50">
        <f ca="1">SUM(I7:Q7)</f>
        <v>46</v>
      </c>
      <c r="I7" s="39">
        <f ca="1">COUNTIF(INDIRECT(ADDRESS($G$2,$A6,1,TRUE,"Dati") &amp;":"&amp; ADDRESS($H$2,$A6,1,TRUE)), "="&amp;T(I6))</f>
        <v>1</v>
      </c>
      <c r="J7" s="39">
        <f ca="1">COUNTIF(INDIRECT(ADDRESS($G$2,$A6,1,TRUE,"Dati") &amp;":"&amp; ADDRESS($H$2,$A6,1,TRUE)), "="&amp;T(J6))</f>
        <v>4</v>
      </c>
      <c r="K7" s="39">
        <f ca="1">COUNTIF(INDIRECT(ADDRESS($G$2,$A6,1,TRUE,"Dati") &amp;":"&amp; ADDRESS($H$2,$A6,1,TRUE)), "="&amp;T(K6))</f>
        <v>41</v>
      </c>
      <c r="L7" s="55"/>
      <c r="M7" s="55"/>
      <c r="N7" s="55"/>
      <c r="O7" s="55"/>
      <c r="P7" s="55"/>
      <c r="Q7" s="55"/>
      <c r="R7" s="55"/>
      <c r="S7" s="55"/>
      <c r="T7" s="115"/>
      <c r="U7" s="115"/>
      <c r="V7" s="115"/>
    </row>
    <row r="8" spans="1:26" ht="75" customHeight="1">
      <c r="A8" s="94">
        <f>A6+2</f>
        <v>43</v>
      </c>
      <c r="B8" s="95">
        <f ca="1">INDIRECT("Dati!R12C"&amp;A8,FALSE)</f>
        <v>20</v>
      </c>
      <c r="C8" s="95" t="str">
        <f ca="1">INDIRECT("Dati!R15C"&amp;A8,FALSE)</f>
        <v>KPI 2.3</v>
      </c>
      <c r="D8" s="98" t="str">
        <f ca="1">INDIRECT("Dati!R16C"&amp;A8,FALSE)</f>
        <v>Se l'accesso ai locali critici è ristretto, esiste un sistema di videosorveglianza con registrazione delle riprese H24 ?</v>
      </c>
      <c r="E8" s="43"/>
      <c r="F8" s="112"/>
      <c r="G8" s="113"/>
      <c r="H8" s="50"/>
      <c r="I8" s="41" t="str">
        <f ca="1">INDIRECT(ADDRESS(I$2,$A8,1,TRUE,"Dati"))</f>
        <v>--</v>
      </c>
      <c r="J8" s="41" t="str">
        <f ca="1">INDIRECT(ADDRESS(J$2,$A8,1,TRUE,"Dati"))</f>
        <v>NO</v>
      </c>
      <c r="K8" s="41" t="str">
        <f ca="1">INDIRECT(ADDRESS(K$2,$A8,1,TRUE,"Dati"))</f>
        <v>SI</v>
      </c>
      <c r="L8" s="114"/>
      <c r="M8" s="114"/>
      <c r="N8" s="114"/>
      <c r="O8" s="55"/>
      <c r="P8" s="55"/>
      <c r="Q8" s="55"/>
      <c r="R8" s="55"/>
      <c r="S8" s="55"/>
      <c r="T8" s="115"/>
      <c r="U8" s="115"/>
      <c r="V8" s="115"/>
    </row>
    <row r="9" spans="1:26" ht="15" customHeight="1">
      <c r="A9" s="94"/>
      <c r="B9" s="95"/>
      <c r="C9" s="95"/>
      <c r="D9" s="98"/>
      <c r="E9" s="43"/>
      <c r="F9" s="112"/>
      <c r="G9" s="113"/>
      <c r="H9" s="50">
        <f ca="1">SUM(I9:Q9)</f>
        <v>46</v>
      </c>
      <c r="I9" s="39">
        <f ca="1">COUNTIF(INDIRECT(ADDRESS($G$2,$A8,1,TRUE,"Dati") &amp;":"&amp; ADDRESS($H$2,$A8,1,TRUE)), "="&amp;T(I8))</f>
        <v>7</v>
      </c>
      <c r="J9" s="39">
        <f ca="1">COUNTIF(INDIRECT(ADDRESS($G$2,$A8,1,TRUE,"Dati") &amp;":"&amp; ADDRESS($H$2,$A8,1,TRUE)), "="&amp;T(J8))</f>
        <v>7</v>
      </c>
      <c r="K9" s="39">
        <f ca="1">COUNTIF(INDIRECT(ADDRESS($G$2,$A8,1,TRUE,"Dati") &amp;":"&amp; ADDRESS($H$2,$A8,1,TRUE)), "="&amp;T(K8))</f>
        <v>32</v>
      </c>
      <c r="L9" s="55"/>
      <c r="M9" s="55"/>
      <c r="N9" s="55"/>
      <c r="O9" s="55"/>
      <c r="P9" s="55"/>
      <c r="Q9" s="55"/>
      <c r="R9" s="55"/>
      <c r="S9" s="55"/>
      <c r="T9" s="115"/>
      <c r="U9" s="115"/>
      <c r="V9" s="115"/>
    </row>
    <row r="10" spans="1:26" ht="75" customHeight="1">
      <c r="A10" s="94">
        <f>A8+2</f>
        <v>45</v>
      </c>
      <c r="B10" s="95">
        <f ca="1">INDIRECT("Dati!R12C"&amp;A10,FALSE)</f>
        <v>21</v>
      </c>
      <c r="C10" s="95" t="str">
        <f ca="1">INDIRECT("Dati!R15C"&amp;A10,FALSE)</f>
        <v>KPI 2.4</v>
      </c>
      <c r="D10" s="98" t="str">
        <f ca="1">INDIRECT("Dati!R16C"&amp;A10,FALSE)</f>
        <v>Quali di queste protezioni di rete vengono utilizzate?</v>
      </c>
      <c r="E10" s="41" t="str">
        <f ca="1">INDIRECT(ADDRESS(11,$A10,1,TRUE,"Dati"))</f>
        <v>firewall</v>
      </c>
      <c r="F10" s="41" t="str">
        <f ca="1">INDIRECT(ADDRESS(11,$A10+2,1,TRUE,"Dati"))</f>
        <v>IDS/IPS</v>
      </c>
      <c r="G10" s="41" t="str">
        <f ca="1">INDIRECT(ADDRESS(11,$A10+4,1,TRUE,"Dati"))</f>
        <v>nessuna</v>
      </c>
      <c r="H10" s="50"/>
      <c r="I10" s="41" t="str">
        <f ca="1">INDIRECT(ADDRESS(I$2,$A10,1,TRUE,"Dati"))</f>
        <v>--</v>
      </c>
      <c r="J10" s="41" t="str">
        <f ca="1">TEXT(INDIRECT(ADDRESS(J$2,$A10,1,TRUE,"Dati")), "")</f>
        <v>FALSO</v>
      </c>
      <c r="K10" s="41" t="str">
        <f ca="1">TEXT(INDIRECT(ADDRESS(K$2,$A10,1,TRUE,"Dati")), "")</f>
        <v>VERO</v>
      </c>
      <c r="L10" s="41" t="str">
        <f ca="1">TEXT(INDIRECT(ADDRESS(I$2,$A10+2,1,TRUE,"Dati")), "")</f>
        <v>--</v>
      </c>
      <c r="M10" s="41" t="str">
        <f ca="1">TEXT(INDIRECT(ADDRESS(J$2,$A10+2,1,TRUE,"Dati")), "")</f>
        <v>FALSO</v>
      </c>
      <c r="N10" s="41" t="str">
        <f ca="1">TEXT(INDIRECT(ADDRESS(K$2,$A10+2,1,TRUE,"Dati")), "")</f>
        <v>VERO</v>
      </c>
      <c r="O10" s="41" t="str">
        <f ca="1">TEXT(INDIRECT(ADDRESS(I$2,$A10+4,1,TRUE,"Dati")), "")</f>
        <v>--</v>
      </c>
      <c r="P10" s="41" t="str">
        <f ca="1">TEXT(INDIRECT(ADDRESS(J$2,$A10+4,1,TRUE,"Dati")), "")</f>
        <v>FALSO</v>
      </c>
      <c r="Q10" s="41" t="str">
        <f ca="1">TEXT(INDIRECT(ADDRESS(K$2,$A10+4,1,TRUE,"Dati")), "")</f>
        <v>VERO</v>
      </c>
      <c r="R10" s="41"/>
      <c r="S10" s="55"/>
      <c r="T10" s="115"/>
      <c r="U10" s="115"/>
      <c r="V10" s="115"/>
    </row>
    <row r="11" spans="1:26" ht="15" customHeight="1">
      <c r="A11" s="94"/>
      <c r="B11" s="95"/>
      <c r="C11" s="95"/>
      <c r="D11" s="98"/>
      <c r="E11" s="43">
        <f ca="1">K11</f>
        <v>43</v>
      </c>
      <c r="F11" s="112">
        <f ca="1">N11</f>
        <v>28</v>
      </c>
      <c r="G11" s="113">
        <f ca="1">Q11</f>
        <v>0</v>
      </c>
      <c r="H11" s="50">
        <f ca="1">SUM(I11:K11)</f>
        <v>46</v>
      </c>
      <c r="I11" s="39">
        <f ca="1">COUNTIF(INDIRECT(ADDRESS($G$2,$A10,1,TRUE,"Dati") &amp;":"&amp; ADDRESS($H$2,$A10,1,TRUE)), "="&amp;T(I10))</f>
        <v>0</v>
      </c>
      <c r="J11" s="39">
        <f ca="1">COUNTIF(INDIRECT(ADDRESS($G$2,$A10,1,TRUE,"Dati") &amp;":"&amp; ADDRESS($H$2,$A10,1,TRUE)), "="&amp;T(J10))</f>
        <v>3</v>
      </c>
      <c r="K11" s="39">
        <f ca="1">COUNTIF(INDIRECT(ADDRESS($G$2,$A10,1,TRUE,"Dati") &amp;":"&amp; ADDRESS($H$2,$A10,1,TRUE)), "="&amp;T(K10))</f>
        <v>43</v>
      </c>
      <c r="L11" s="39">
        <f ca="1">COUNTIF(INDIRECT(ADDRESS($G$2,$A10+2,1,TRUE,"Dati") &amp;":"&amp; ADDRESS($H$2,$A10+2,1,TRUE)), "="&amp;T(L10))</f>
        <v>0</v>
      </c>
      <c r="M11" s="39">
        <f ca="1">COUNTIF(INDIRECT(ADDRESS($G$2,$A10+2,1,TRUE,"Dati") &amp;":"&amp; ADDRESS($H$2,$A10+2,1,TRUE)), "="&amp;T(M10))</f>
        <v>18</v>
      </c>
      <c r="N11" s="39">
        <f ca="1">COUNTIF(INDIRECT(ADDRESS($G$2,$A10+2,1,TRUE,"Dati") &amp;":"&amp; ADDRESS($H$2,$A10+2,1,TRUE)), "="&amp;T(N10))</f>
        <v>28</v>
      </c>
      <c r="O11" s="39">
        <f ca="1">COUNTIF(INDIRECT(ADDRESS($G$2,$A10+4,1,TRUE,"Dati") &amp;":"&amp; ADDRESS($H$2,$A10+4,1,TRUE)), "="&amp;T(O10))</f>
        <v>0</v>
      </c>
      <c r="P11" s="39">
        <f ca="1">COUNTIF(INDIRECT(ADDRESS($G$2,$A10+4,1,TRUE,"Dati") &amp;":"&amp; ADDRESS($H$2,$A10+4,1,TRUE)), "="&amp;T(P10))</f>
        <v>46</v>
      </c>
      <c r="Q11" s="39">
        <f ca="1">COUNTIF(INDIRECT(ADDRESS($G$2,$A10+4,1,TRUE,"Dati") &amp;":"&amp; ADDRESS($H$2,$A10+4,1,TRUE)), "="&amp;T(Q10))</f>
        <v>0</v>
      </c>
      <c r="R11" s="55"/>
      <c r="S11" s="55"/>
      <c r="T11" s="115"/>
      <c r="U11" s="115"/>
      <c r="V11" s="115"/>
    </row>
    <row r="12" spans="1:26" ht="75" customHeight="1">
      <c r="A12" s="94">
        <f>A8+8</f>
        <v>51</v>
      </c>
      <c r="B12" s="95">
        <f ca="1">INDIRECT("Dati!R12C"&amp;A12,FALSE)</f>
        <v>24</v>
      </c>
      <c r="C12" s="95" t="str">
        <f ca="1">INDIRECT("Dati!R15C"&amp;A12,FALSE)</f>
        <v>KPI 2.5</v>
      </c>
      <c r="D12" s="98" t="str">
        <f ca="1">INDIRECT("Dati!R16C"&amp;A12,FALSE)</f>
        <v>Sono presenti sottoreti wireless?</v>
      </c>
      <c r="E12" s="43"/>
      <c r="F12" s="112"/>
      <c r="G12" s="113"/>
      <c r="H12" s="50"/>
      <c r="I12" s="41" t="str">
        <f ca="1">INDIRECT(ADDRESS(I$2,$A12,1,TRUE,"Dati"))</f>
        <v>--</v>
      </c>
      <c r="J12" s="41" t="str">
        <f ca="1">INDIRECT(ADDRESS(J$2,$A12,1,TRUE,"Dati"))</f>
        <v>NO</v>
      </c>
      <c r="K12" s="41" t="str">
        <f ca="1">INDIRECT(ADDRESS(K$2,$A12,1,TRUE,"Dati"))</f>
        <v>SI</v>
      </c>
      <c r="L12" s="41"/>
      <c r="M12" s="41"/>
      <c r="N12" s="41"/>
      <c r="O12" s="41"/>
      <c r="P12" s="114"/>
      <c r="Q12" s="114"/>
      <c r="R12" s="55"/>
      <c r="S12" s="55"/>
      <c r="T12" s="115"/>
      <c r="U12" s="115"/>
      <c r="V12" s="115"/>
    </row>
    <row r="13" spans="1:26" ht="15" customHeight="1">
      <c r="A13" s="94"/>
      <c r="B13" s="95"/>
      <c r="C13" s="95"/>
      <c r="D13" s="98"/>
      <c r="E13" s="43"/>
      <c r="F13" s="112"/>
      <c r="G13" s="113"/>
      <c r="H13" s="50">
        <f ca="1">SUM(I13:Q13)</f>
        <v>46</v>
      </c>
      <c r="I13" s="39">
        <f ca="1">COUNTIF(INDIRECT(ADDRESS($G$2,$A12,1,TRUE,"Dati") &amp;":"&amp; ADDRESS($H$2,$A12,1,TRUE)), "="&amp;T(I12))</f>
        <v>7</v>
      </c>
      <c r="J13" s="39">
        <f ca="1">COUNTIF(INDIRECT(ADDRESS($G$2,$A12,1,TRUE,"Dati") &amp;":"&amp; ADDRESS($H$2,$A12,1,TRUE)), "="&amp;T(J12))</f>
        <v>20</v>
      </c>
      <c r="K13" s="39">
        <f ca="1">COUNTIF(INDIRECT(ADDRESS($G$2,$A12,1,TRUE,"Dati") &amp;":"&amp; ADDRESS($H$2,$A12,1,TRUE)), "="&amp;T(K12))</f>
        <v>19</v>
      </c>
      <c r="L13" s="39"/>
      <c r="M13" s="39"/>
      <c r="N13" s="55"/>
      <c r="O13" s="55"/>
      <c r="P13" s="55"/>
      <c r="Q13" s="55"/>
      <c r="R13" s="55"/>
      <c r="S13" s="55"/>
      <c r="T13" s="115"/>
      <c r="U13" s="115"/>
      <c r="V13" s="115"/>
    </row>
    <row r="14" spans="1:26" ht="75" customHeight="1">
      <c r="A14" s="94">
        <f>A12+2</f>
        <v>53</v>
      </c>
      <c r="B14" s="95">
        <f ca="1">INDIRECT("Dati!R12C"&amp;A14,FALSE)</f>
        <v>25</v>
      </c>
      <c r="C14" s="95" t="str">
        <f ca="1">INDIRECT("Dati!R15C"&amp;A14,FALSE)</f>
        <v>KPI 2.5a</v>
      </c>
      <c r="D14" s="98" t="str">
        <f ca="1">INDIRECT("Dati!R16C"&amp;A14,FALSE)</f>
        <v>Se si utilizzano reti Wi-Fi quali sistemi di protezione vengono utilizzati?</v>
      </c>
      <c r="E14" s="43"/>
      <c r="F14" s="112"/>
      <c r="G14" s="113"/>
      <c r="H14" s="50"/>
      <c r="I14" s="41" t="str">
        <f ca="1">INDIRECT(ADDRESS(I$2,$A14,1,TRUE,"Dati"))</f>
        <v>--</v>
      </c>
      <c r="J14" s="41" t="str">
        <f ca="1">INDIRECT(ADDRESS(J$2,$A14,1,TRUE,"Dati"))</f>
        <v>NESSUNO</v>
      </c>
      <c r="K14" s="41" t="str">
        <f ca="1">INDIRECT(ADDRESS(K$2,$A14,1,TRUE,"Dati"))</f>
        <v>WEP</v>
      </c>
      <c r="L14" s="41" t="str">
        <f ca="1">INDIRECT(ADDRESS(L$2,$A14,1,TRUE,"Dati"))</f>
        <v>WPA</v>
      </c>
      <c r="M14" s="41"/>
      <c r="N14" s="41"/>
      <c r="O14" s="41"/>
      <c r="P14" s="114"/>
      <c r="Q14" s="114"/>
      <c r="R14" s="55"/>
      <c r="S14" s="55"/>
      <c r="T14" s="115"/>
      <c r="U14" s="115"/>
      <c r="V14" s="115"/>
    </row>
    <row r="15" spans="1:26" ht="15" customHeight="1">
      <c r="A15" s="94"/>
      <c r="B15" s="95"/>
      <c r="C15" s="95"/>
      <c r="D15" s="98"/>
      <c r="E15" s="43"/>
      <c r="F15" s="112"/>
      <c r="G15" s="113"/>
      <c r="H15" s="50">
        <f ca="1">SUM(I15:L15)</f>
        <v>46</v>
      </c>
      <c r="I15" s="39">
        <f ca="1">COUNTIF(INDIRECT(ADDRESS($G$2,$A14,1,TRUE,"Dati") &amp;":"&amp; ADDRESS($H$2,$A14,1,TRUE)), "="&amp;T(I14))</f>
        <v>0</v>
      </c>
      <c r="J15" s="39">
        <f ca="1">COUNTIF(INDIRECT(ADDRESS($G$2,$A14,1,TRUE,"Dati") &amp;":"&amp; ADDRESS($H$2,$A14,1,TRUE)), "="&amp;T(J14))</f>
        <v>30</v>
      </c>
      <c r="K15" s="273">
        <f ca="1">COUNTIF(INDIRECT(ADDRESS($G$2,$A14,1,TRUE,"Dati") &amp;":"&amp; ADDRESS($H$2,$A14,1,TRUE)), "="&amp;T(K14))</f>
        <v>4</v>
      </c>
      <c r="L15" s="39">
        <f ca="1">COUNTIF(INDIRECT(ADDRESS($G$2,$A14,1,TRUE,"Dati") &amp;":"&amp; ADDRESS($H$2,$A14,1,TRUE)), "="&amp;T(L14))</f>
        <v>12</v>
      </c>
      <c r="M15" s="273">
        <f ca="1">K13-(L15+K15)</f>
        <v>3</v>
      </c>
      <c r="N15" s="55"/>
      <c r="O15" s="55"/>
      <c r="P15" s="55"/>
      <c r="Q15" s="55"/>
      <c r="R15" s="55"/>
      <c r="S15" s="55"/>
      <c r="T15" s="115"/>
      <c r="U15" s="115"/>
      <c r="V15" s="115"/>
    </row>
    <row r="16" spans="1:26" ht="75" customHeight="1">
      <c r="A16" s="94">
        <f>A14+2</f>
        <v>55</v>
      </c>
      <c r="B16" s="95">
        <f ca="1">INDIRECT("Dati!R12C"&amp;A16,FALSE)</f>
        <v>26</v>
      </c>
      <c r="C16" s="95" t="str">
        <f ca="1">INDIRECT("Dati!R15C"&amp;A16,FALSE)</f>
        <v>KPI 2.6</v>
      </c>
      <c r="D16" s="98" t="str">
        <f ca="1">INDIRECT("Dati!R16C"&amp;A16,FALSE)</f>
        <v>Sono consentiti gli accessi alla rete interna da remoto ?</v>
      </c>
      <c r="E16" s="43"/>
      <c r="F16" s="112"/>
      <c r="G16" s="113"/>
      <c r="H16" s="50"/>
      <c r="I16" s="41" t="str">
        <f ca="1">INDIRECT(ADDRESS(I$2,$A16,1,TRUE,"Dati"))</f>
        <v>--</v>
      </c>
      <c r="J16" s="41" t="str">
        <f ca="1">INDIRECT(ADDRESS(J$2,$A16,1,TRUE,"Dati"))</f>
        <v>NO</v>
      </c>
      <c r="K16" s="41" t="str">
        <f ca="1">INDIRECT(ADDRESS(K$2,$A16,1,TRUE,"Dati"))</f>
        <v>SI</v>
      </c>
      <c r="L16" s="114"/>
      <c r="M16" s="55"/>
      <c r="N16" s="55"/>
      <c r="O16" s="55"/>
      <c r="P16" s="55"/>
      <c r="Q16" s="55"/>
      <c r="R16" s="55"/>
      <c r="S16" s="55"/>
      <c r="T16" s="115"/>
      <c r="U16" s="115"/>
      <c r="V16" s="115"/>
    </row>
    <row r="17" spans="1:22" ht="15" customHeight="1">
      <c r="A17" s="94"/>
      <c r="B17" s="95"/>
      <c r="C17" s="95"/>
      <c r="D17" s="98"/>
      <c r="E17" s="43"/>
      <c r="F17" s="112"/>
      <c r="G17" s="113"/>
      <c r="H17" s="50">
        <f ca="1">SUM(I17:Q17)</f>
        <v>46</v>
      </c>
      <c r="I17" s="39">
        <f ca="1">COUNTIF(INDIRECT(ADDRESS($G$2,$A16,1,TRUE,"Dati") &amp;":"&amp; ADDRESS($H$2,$A16,1,TRUE)), "="&amp;T(I16))</f>
        <v>3</v>
      </c>
      <c r="J17" s="39">
        <f ca="1">COUNTIF(INDIRECT(ADDRESS($G$2,$A16,1,TRUE,"Dati") &amp;":"&amp; ADDRESS($H$2,$A16,1,TRUE)), "="&amp;T(J16))</f>
        <v>8</v>
      </c>
      <c r="K17" s="39">
        <f ca="1">COUNTIF(INDIRECT(ADDRESS($G$2,$A16,1,TRUE,"Dati") &amp;":"&amp; ADDRESS($H$2,$A16,1,TRUE)), "="&amp;T(K16))</f>
        <v>35</v>
      </c>
      <c r="L17" s="55"/>
      <c r="M17" s="55"/>
      <c r="N17" s="55"/>
      <c r="O17" s="55"/>
      <c r="P17" s="55"/>
      <c r="Q17" s="55"/>
      <c r="R17" s="55"/>
      <c r="S17" s="55"/>
      <c r="T17" s="115"/>
      <c r="U17" s="115"/>
      <c r="V17" s="115"/>
    </row>
    <row r="18" spans="1:22" ht="75" customHeight="1">
      <c r="A18" s="94">
        <f>A16+2</f>
        <v>57</v>
      </c>
      <c r="B18" s="95">
        <f ca="1">INDIRECT("Dati!R12C"&amp;A18,FALSE)</f>
        <v>27</v>
      </c>
      <c r="C18" s="95" t="str">
        <f ca="1">INDIRECT("Dati!R15C"&amp;A18,FALSE)</f>
        <v>KPI 2.6a</v>
      </c>
      <c r="D18" s="98" t="str">
        <f ca="1">INDIRECT("Dati!R16C"&amp;A18,FALSE)</f>
        <v>Nel caso sia consentito l'accesso alla rete interna da remoto, la modalità di connessione utilizza VPN ?</v>
      </c>
      <c r="E18" s="43"/>
      <c r="F18" s="112"/>
      <c r="G18" s="113"/>
      <c r="H18" s="50"/>
      <c r="I18" s="41" t="str">
        <f ca="1">INDIRECT(ADDRESS(I$2,$A18,1,TRUE,"Dati"))</f>
        <v>--</v>
      </c>
      <c r="J18" s="41" t="str">
        <f ca="1">INDIRECT(ADDRESS(J$2,$A18,1,TRUE,"Dati"))</f>
        <v>Accesso remoto mediante  VPN</v>
      </c>
      <c r="K18" s="41" t="str">
        <f ca="1">INDIRECT(ADDRESS(K$2,$A18,1,TRUE,"Dati"))</f>
        <v>Accesso remoto senza  VPN</v>
      </c>
      <c r="L18" s="55"/>
      <c r="M18" s="55"/>
      <c r="N18" s="55"/>
      <c r="O18" s="55"/>
      <c r="P18" s="55"/>
      <c r="Q18" s="55"/>
      <c r="R18" s="55"/>
      <c r="S18" s="55"/>
      <c r="T18" s="115"/>
      <c r="U18" s="115"/>
      <c r="V18" s="115"/>
    </row>
    <row r="19" spans="1:22" ht="15" customHeight="1">
      <c r="A19" s="94"/>
      <c r="B19" s="95"/>
      <c r="C19" s="95"/>
      <c r="D19" s="98"/>
      <c r="E19" s="43"/>
      <c r="F19" s="112"/>
      <c r="G19" s="113"/>
      <c r="H19" s="50">
        <f ca="1">SUM(I19:Q19)</f>
        <v>46</v>
      </c>
      <c r="I19" s="39">
        <f ca="1">COUNTIF(INDIRECT(ADDRESS($G$2,$A18,1,TRUE,"Dati") &amp;":"&amp; ADDRESS($H$2,$A18,1,TRUE)), "="&amp;T(I18))</f>
        <v>13</v>
      </c>
      <c r="J19" s="39">
        <f ca="1">COUNTIF(INDIRECT(ADDRESS($G$2,$A18,1,TRUE,"Dati") &amp;":"&amp; ADDRESS($H$2,$A18,1,TRUE)), "="&amp;T(J18))</f>
        <v>31</v>
      </c>
      <c r="K19" s="39">
        <f ca="1">COUNTIF(INDIRECT(ADDRESS($G$2,$A18,1,TRUE,"Dati") &amp;":"&amp; ADDRESS($H$2,$A18,1,TRUE)), "="&amp;T(K18))</f>
        <v>2</v>
      </c>
      <c r="L19" s="55"/>
      <c r="M19" s="55"/>
      <c r="N19" s="55"/>
      <c r="O19" s="55"/>
      <c r="P19" s="55"/>
      <c r="Q19" s="55"/>
      <c r="R19" s="55"/>
      <c r="S19" s="55"/>
      <c r="T19" s="115"/>
      <c r="U19" s="115"/>
      <c r="V19" s="115"/>
    </row>
    <row r="20" spans="1:22" ht="75" customHeight="1">
      <c r="A20" s="94">
        <f>A18+2</f>
        <v>59</v>
      </c>
      <c r="B20" s="95">
        <f ca="1">INDIRECT("Dati!R12C"&amp;A20,FALSE)</f>
        <v>28</v>
      </c>
      <c r="C20" s="95" t="str">
        <f ca="1">INDIRECT("Dati!R15C"&amp;A20,FALSE)</f>
        <v>KPI 2.7</v>
      </c>
      <c r="D20" s="98" t="str">
        <f ca="1">INDIRECT("Dati!R16C"&amp;A20,FALSE)</f>
        <v>Viene utilizzato un firewall per la protezione delle connessioni alla rete pubblica?</v>
      </c>
      <c r="E20" s="43"/>
      <c r="F20" s="112"/>
      <c r="G20" s="113"/>
      <c r="H20" s="50"/>
      <c r="I20" s="41" t="str">
        <f ca="1">INDIRECT(ADDRESS(I$2,$A20,1,TRUE,"Dati"))</f>
        <v>--</v>
      </c>
      <c r="J20" s="41" t="str">
        <f ca="1">INDIRECT(ADDRESS(J$2,$A20,1,TRUE,"Dati"))</f>
        <v>NO</v>
      </c>
      <c r="K20" s="41" t="str">
        <f ca="1">INDIRECT(ADDRESS(K$2,$A20,1,TRUE,"Dati"))</f>
        <v>SI</v>
      </c>
      <c r="L20" s="41"/>
      <c r="M20" s="41"/>
      <c r="N20" s="55"/>
      <c r="O20" s="55"/>
      <c r="P20" s="55"/>
      <c r="Q20" s="55"/>
      <c r="R20" s="55"/>
      <c r="S20" s="55"/>
      <c r="T20" s="115"/>
      <c r="U20" s="115"/>
      <c r="V20" s="115"/>
    </row>
    <row r="21" spans="1:22" ht="15" customHeight="1">
      <c r="A21" s="94"/>
      <c r="B21" s="95"/>
      <c r="C21" s="95"/>
      <c r="D21" s="98"/>
      <c r="E21" s="43"/>
      <c r="F21" s="112"/>
      <c r="G21" s="113"/>
      <c r="H21" s="50">
        <f ca="1">SUM(I21:Q21)</f>
        <v>46</v>
      </c>
      <c r="I21" s="39">
        <f ca="1">COUNTIF(INDIRECT(ADDRESS($G$2,$A20,1,TRUE,"Dati") &amp;":"&amp; ADDRESS($H$2,$A20,1,TRUE)), "="&amp;T(I20))</f>
        <v>2</v>
      </c>
      <c r="J21" s="39">
        <f ca="1">COUNTIF(INDIRECT(ADDRESS($G$2,$A20,1,TRUE,"Dati") &amp;":"&amp; ADDRESS($H$2,$A20,1,TRUE)), "="&amp;T(J20))</f>
        <v>0</v>
      </c>
      <c r="K21" s="39">
        <f ca="1">COUNTIF(INDIRECT(ADDRESS($G$2,$A20,1,TRUE,"Dati") &amp;":"&amp; ADDRESS($H$2,$A20,1,TRUE)), "="&amp;T(K20))</f>
        <v>44</v>
      </c>
      <c r="L21" s="55"/>
      <c r="M21" s="39"/>
      <c r="N21" s="55"/>
      <c r="O21" s="55"/>
      <c r="P21" s="55"/>
      <c r="Q21" s="55"/>
      <c r="R21" s="55"/>
      <c r="S21" s="55"/>
      <c r="T21" s="115"/>
      <c r="U21" s="115"/>
      <c r="V21" s="115"/>
    </row>
    <row r="22" spans="1:22" ht="75" customHeight="1">
      <c r="A22" s="94">
        <f>A20+2</f>
        <v>61</v>
      </c>
      <c r="B22" s="95">
        <f ca="1">INDIRECT("Dati!R12C"&amp;A22,FALSE)</f>
        <v>29</v>
      </c>
      <c r="C22" s="95" t="str">
        <f ca="1">INDIRECT("Dati!R15C"&amp;A22,FALSE)</f>
        <v>KPI 2.7a</v>
      </c>
      <c r="D22" s="98" t="str">
        <f ca="1">INDIRECT("Dati!R16C"&amp;A22,FALSE)</f>
        <v>Nel caso vengano utilizzati firewall, la configurazione dei firewall per l'accesso alla rete pubblica prevede una o più DMZ (Demilitarized Zone) per il posizionamento dei server direttamente accessibilità da internet?</v>
      </c>
      <c r="E22" s="43"/>
      <c r="F22" s="112"/>
      <c r="G22" s="113"/>
      <c r="H22" s="50"/>
      <c r="I22" s="41" t="str">
        <f ca="1">INDIRECT(ADDRESS(I$2,$A22,1,TRUE,"Dati"))</f>
        <v>--</v>
      </c>
      <c r="J22" s="41" t="str">
        <f ca="1">INDIRECT(ADDRESS(J$2,$A22,1,TRUE,"Dati"))</f>
        <v>NO</v>
      </c>
      <c r="K22" s="41" t="str">
        <f ca="1">INDIRECT(ADDRESS(K$2,$A22,1,TRUE,"Dati"))</f>
        <v>SI</v>
      </c>
      <c r="L22" s="114"/>
      <c r="M22" s="114"/>
      <c r="N22" s="114"/>
      <c r="O22" s="114"/>
      <c r="P22" s="55"/>
      <c r="Q22" s="55"/>
      <c r="R22" s="55"/>
      <c r="S22" s="55"/>
      <c r="T22" s="115"/>
      <c r="U22" s="115"/>
      <c r="V22" s="115"/>
    </row>
    <row r="23" spans="1:22" ht="15" customHeight="1">
      <c r="A23" s="94"/>
      <c r="B23" s="95"/>
      <c r="C23" s="95"/>
      <c r="D23" s="98"/>
      <c r="E23" s="43"/>
      <c r="F23" s="112"/>
      <c r="G23" s="113"/>
      <c r="H23" s="50">
        <f ca="1">SUM(I23:Q23)</f>
        <v>46</v>
      </c>
      <c r="I23" s="39">
        <f ca="1">COUNTIF(INDIRECT(ADDRESS($G$2,$A22,1,TRUE,"Dati") &amp;":"&amp; ADDRESS($H$2,$A22,1,TRUE)), "="&amp;T(I22))</f>
        <v>4</v>
      </c>
      <c r="J23" s="39">
        <f ca="1">COUNTIF(INDIRECT(ADDRESS($G$2,$A22,1,TRUE,"Dati") &amp;":"&amp; ADDRESS($H$2,$A22,1,TRUE)), "="&amp;T(J22))</f>
        <v>2</v>
      </c>
      <c r="K23" s="270">
        <f ca="1">COUNTIF(INDIRECT(ADDRESS($G$2,$A22,1,TRUE,"Dati") &amp;":"&amp; ADDRESS($H$2,$A22,1,TRUE)), "="&amp;T(K22))</f>
        <v>40</v>
      </c>
      <c r="L23" s="39"/>
      <c r="M23" s="39"/>
      <c r="N23" s="39"/>
      <c r="O23" s="39"/>
      <c r="P23" s="55"/>
      <c r="Q23" s="55"/>
      <c r="R23" s="55"/>
      <c r="S23" s="55"/>
      <c r="T23" s="115"/>
      <c r="U23" s="115"/>
      <c r="V23" s="115"/>
    </row>
    <row r="24" spans="1:22" ht="75" customHeight="1">
      <c r="A24" s="94">
        <f>A22+2</f>
        <v>63</v>
      </c>
      <c r="B24" s="95">
        <f ca="1">INDIRECT("Dati!R12C"&amp;A24,FALSE)</f>
        <v>30</v>
      </c>
      <c r="C24" s="95" t="str">
        <f ca="1">INDIRECT("Dati!R15C"&amp;A24,FALSE)</f>
        <v>KPI 2.8</v>
      </c>
      <c r="D24" s="98" t="str">
        <f ca="1">INDIRECT("Dati!R16C"&amp;A24,FALSE)</f>
        <v>Viene utilizzato un IDS/IPS per la protezione delle connessioni alla rete pubblica?</v>
      </c>
      <c r="E24" s="43"/>
      <c r="F24" s="112"/>
      <c r="G24" s="113"/>
      <c r="H24" s="50"/>
      <c r="I24" s="41" t="str">
        <f ca="1">INDIRECT(ADDRESS(I$2,$A24,1,TRUE,"Dati"))</f>
        <v>--</v>
      </c>
      <c r="J24" s="41" t="str">
        <f ca="1">INDIRECT(ADDRESS(J$2,$A24,1,TRUE,"Dati"))</f>
        <v>NO</v>
      </c>
      <c r="K24" s="41" t="str">
        <f ca="1">INDIRECT(ADDRESS(K$2,$A24,1,TRUE,"Dati"))</f>
        <v>SI</v>
      </c>
      <c r="L24" s="55"/>
      <c r="M24" s="55"/>
      <c r="N24" s="55"/>
      <c r="O24" s="55"/>
      <c r="P24" s="55"/>
      <c r="Q24" s="55"/>
      <c r="R24" s="55"/>
      <c r="S24" s="55"/>
      <c r="T24" s="115"/>
      <c r="U24" s="115"/>
      <c r="V24" s="115"/>
    </row>
    <row r="25" spans="1:22" ht="15" customHeight="1">
      <c r="A25" s="94"/>
      <c r="B25" s="95"/>
      <c r="C25" s="95"/>
      <c r="D25" s="98"/>
      <c r="E25" s="43"/>
      <c r="F25" s="112"/>
      <c r="G25" s="113"/>
      <c r="H25" s="50">
        <f ca="1">SUM(I25:Q25)</f>
        <v>46</v>
      </c>
      <c r="I25" s="39">
        <f ca="1">COUNTIF(INDIRECT(ADDRESS($G$2,$A24,1,TRUE,"Dati") &amp;":"&amp; ADDRESS($H$2,$A24,1,TRUE)), "="&amp;T(I24))</f>
        <v>7</v>
      </c>
      <c r="J25" s="39">
        <f ca="1">COUNTIF(INDIRECT(ADDRESS($G$2,$A24,1,TRUE,"Dati") &amp;":"&amp; ADDRESS($H$2,$A24,1,TRUE)), "="&amp;T(J24))</f>
        <v>5</v>
      </c>
      <c r="K25" s="270">
        <f ca="1">COUNTIF(INDIRECT(ADDRESS($G$2,$A24,1,TRUE,"Dati") &amp;":"&amp; ADDRESS($H$2,$A24,1,TRUE)), "="&amp;T(K24))</f>
        <v>34</v>
      </c>
      <c r="L25" s="55"/>
      <c r="M25" s="55"/>
      <c r="N25" s="55"/>
      <c r="O25" s="55"/>
      <c r="P25" s="55"/>
      <c r="Q25" s="55"/>
      <c r="R25" s="55"/>
      <c r="S25" s="55"/>
      <c r="T25" s="115"/>
      <c r="U25" s="115"/>
      <c r="V25" s="115"/>
    </row>
    <row r="26" spans="1:22" ht="75" customHeight="1">
      <c r="A26" s="94">
        <f>A24+2</f>
        <v>65</v>
      </c>
      <c r="B26" s="95">
        <f ca="1">INDIRECT("Dati!R12C"&amp;A26,FALSE)</f>
        <v>31</v>
      </c>
      <c r="C26" s="95" t="str">
        <f ca="1">INDIRECT("Dati!R15C"&amp;A26,FALSE)</f>
        <v>KPI 2.9</v>
      </c>
      <c r="D26" s="98" t="str">
        <f ca="1">INDIRECT("Dati!R16C"&amp;A26,FALSE)</f>
        <v>Esiste un sistema centralizzato per la raccolta ed il salvataggio delle informazioni critiche (system log, accounting, autorizzazione, autenticazione, tracciamento,IDS) quali accesso ai sistemi, alla rete, alle procedure, ai dati, ecc?</v>
      </c>
      <c r="E26" s="43"/>
      <c r="F26" s="112"/>
      <c r="G26" s="113"/>
      <c r="H26" s="50"/>
      <c r="I26" s="41" t="str">
        <f ca="1">INDIRECT(ADDRESS(I$2,$A26,1,TRUE,"Dati"))</f>
        <v>--</v>
      </c>
      <c r="J26" s="41" t="str">
        <f ca="1">INDIRECT(ADDRESS(J$2,$A26,1,TRUE,"Dati"))</f>
        <v>NO</v>
      </c>
      <c r="K26" s="41" t="str">
        <f ca="1">INDIRECT(ADDRESS(K$2,$A26,1,TRUE,"Dati"))</f>
        <v>Sì, centralizzato</v>
      </c>
      <c r="L26" s="41" t="str">
        <f ca="1">INDIRECT(ADDRESS(L$2,$A26,1,TRUE,"Dati"))</f>
        <v>Sì, non centralizzato</v>
      </c>
      <c r="M26" s="55"/>
      <c r="N26" s="55"/>
      <c r="O26" s="55"/>
      <c r="P26" s="55"/>
      <c r="Q26" s="55"/>
      <c r="R26" s="55"/>
      <c r="S26" s="55"/>
      <c r="T26" s="115"/>
      <c r="U26" s="115"/>
      <c r="V26" s="115"/>
    </row>
    <row r="27" spans="1:22" ht="15" customHeight="1">
      <c r="A27" s="94"/>
      <c r="B27" s="95"/>
      <c r="C27" s="95"/>
      <c r="D27" s="98"/>
      <c r="E27" s="43"/>
      <c r="F27" s="112"/>
      <c r="G27" s="50"/>
      <c r="H27" s="50">
        <f ca="1">SUM(I27:Q27)</f>
        <v>46</v>
      </c>
      <c r="I27" s="39">
        <f ca="1">COUNTIF(INDIRECT(ADDRESS($G$2,$A26,1,TRUE,"Dati") &amp;":"&amp; ADDRESS($H$2,$A26,1,TRUE)), "="&amp;T(I26))</f>
        <v>0</v>
      </c>
      <c r="J27" s="39">
        <f ca="1">COUNTIF(INDIRECT(ADDRESS($G$2,$A26,1,TRUE,"Dati") &amp;":"&amp; ADDRESS($H$2,$A26,1,TRUE)), "="&amp;T(J26))</f>
        <v>2</v>
      </c>
      <c r="K27" s="270">
        <f ca="1">COUNTIF(INDIRECT(ADDRESS($G$2,$A26,1,TRUE,"Dati") &amp;":"&amp; ADDRESS($H$2,$A26,1,TRUE)), "="&amp;T(K26))</f>
        <v>37</v>
      </c>
      <c r="L27" s="39">
        <f ca="1">COUNTIF(INDIRECT(ADDRESS($G$2,$A26,1,TRUE,"Dati") &amp;":"&amp; ADDRESS($H$2,$A26,1,TRUE)), "="&amp;T(L26))</f>
        <v>7</v>
      </c>
      <c r="M27" s="55"/>
      <c r="N27" s="55"/>
      <c r="O27" s="55"/>
      <c r="P27" s="55"/>
      <c r="Q27" s="55"/>
      <c r="R27" s="55"/>
      <c r="S27" s="55"/>
      <c r="T27" s="115"/>
      <c r="U27" s="115"/>
      <c r="V27" s="115"/>
    </row>
    <row r="28" spans="1:22" ht="15" customHeight="1">
      <c r="A28" s="94"/>
      <c r="B28" s="95"/>
      <c r="C28" s="95"/>
      <c r="D28" s="98"/>
      <c r="E28" s="43"/>
      <c r="F28" s="112"/>
      <c r="G28" s="113"/>
      <c r="H28" s="50"/>
      <c r="I28" s="41"/>
      <c r="J28" s="41"/>
      <c r="K28" s="41"/>
      <c r="L28" s="114"/>
      <c r="M28" s="114"/>
      <c r="N28" s="55"/>
      <c r="O28" s="55"/>
      <c r="P28" s="55"/>
      <c r="Q28" s="55"/>
      <c r="R28" s="55"/>
      <c r="S28" s="55"/>
      <c r="T28" s="115"/>
      <c r="U28" s="115"/>
      <c r="V28" s="115"/>
    </row>
    <row r="29" spans="1:22" ht="15" customHeight="1">
      <c r="A29" s="94"/>
      <c r="B29" s="95"/>
      <c r="C29" s="95"/>
      <c r="D29" s="98"/>
      <c r="E29" s="43"/>
      <c r="F29" s="112"/>
      <c r="G29" s="113"/>
      <c r="H29" s="50"/>
      <c r="I29" s="39"/>
      <c r="J29" s="39"/>
      <c r="K29" s="39"/>
      <c r="L29" s="55"/>
      <c r="M29" s="55"/>
      <c r="N29" s="55"/>
      <c r="O29" s="55"/>
      <c r="P29" s="55"/>
      <c r="Q29" s="55"/>
      <c r="R29" s="55"/>
      <c r="S29" s="55"/>
      <c r="T29" s="115"/>
      <c r="U29" s="115"/>
      <c r="V29" s="115"/>
    </row>
    <row r="30" spans="1:22" ht="15" customHeight="1">
      <c r="A30" s="94"/>
      <c r="B30" s="95"/>
      <c r="C30" s="95"/>
      <c r="D30" s="98"/>
      <c r="E30" s="43"/>
      <c r="F30" s="112"/>
      <c r="G30" s="113"/>
      <c r="H30" s="50"/>
      <c r="I30" s="41"/>
      <c r="J30" s="41"/>
      <c r="K30" s="41"/>
      <c r="L30" s="114"/>
      <c r="M30" s="55"/>
      <c r="N30" s="55"/>
      <c r="O30" s="55"/>
      <c r="P30" s="55"/>
      <c r="Q30" s="55"/>
      <c r="R30" s="55"/>
      <c r="S30" s="55"/>
      <c r="T30" s="115"/>
      <c r="U30" s="115"/>
      <c r="V30" s="115"/>
    </row>
    <row r="31" spans="1:22" ht="15" customHeight="1">
      <c r="A31" s="94"/>
      <c r="B31" s="95"/>
      <c r="C31" s="95"/>
      <c r="D31" s="98"/>
      <c r="E31" s="43"/>
      <c r="F31" s="112"/>
      <c r="G31" s="113"/>
      <c r="H31" s="50"/>
      <c r="I31" s="39"/>
      <c r="J31" s="39"/>
      <c r="K31" s="39"/>
      <c r="L31" s="55"/>
      <c r="M31" s="55"/>
      <c r="N31" s="55"/>
      <c r="O31" s="55"/>
      <c r="P31" s="55"/>
      <c r="Q31" s="55"/>
      <c r="R31" s="55"/>
      <c r="S31" s="55"/>
      <c r="T31" s="115"/>
      <c r="U31" s="115"/>
      <c r="V31" s="115"/>
    </row>
    <row r="32" spans="1:22" ht="15" customHeight="1">
      <c r="A32" s="94"/>
      <c r="B32" s="95"/>
      <c r="C32" s="95"/>
      <c r="D32" s="98"/>
      <c r="E32" s="43"/>
      <c r="F32" s="112"/>
      <c r="G32" s="113"/>
      <c r="H32" s="50"/>
      <c r="I32" s="41"/>
      <c r="J32" s="41"/>
      <c r="K32" s="41"/>
      <c r="L32" s="114"/>
      <c r="M32" s="55"/>
      <c r="N32" s="55"/>
      <c r="O32" s="55"/>
      <c r="P32" s="55"/>
      <c r="Q32" s="55"/>
      <c r="R32" s="55"/>
      <c r="S32" s="55"/>
      <c r="T32" s="115"/>
      <c r="U32" s="115"/>
      <c r="V32" s="115"/>
    </row>
    <row r="33" spans="1:22" ht="15" customHeight="1">
      <c r="A33" s="94"/>
      <c r="B33" s="95"/>
      <c r="C33" s="95"/>
      <c r="D33" s="98"/>
      <c r="E33" s="43"/>
      <c r="F33" s="112"/>
      <c r="G33" s="113"/>
      <c r="H33" s="50"/>
      <c r="I33" s="39"/>
      <c r="J33" s="39"/>
      <c r="K33" s="39"/>
      <c r="L33" s="55"/>
      <c r="M33" s="55"/>
      <c r="N33" s="55"/>
      <c r="O33" s="55"/>
      <c r="P33" s="55"/>
      <c r="Q33" s="55"/>
      <c r="R33" s="55"/>
      <c r="S33" s="55"/>
      <c r="T33" s="115"/>
      <c r="U33" s="115"/>
      <c r="V33" s="115"/>
    </row>
    <row r="34" spans="1:22" ht="15" customHeight="1">
      <c r="A34" s="94"/>
      <c r="B34" s="95"/>
      <c r="C34" s="95"/>
      <c r="D34" s="98"/>
      <c r="E34" s="43"/>
      <c r="F34" s="112"/>
      <c r="G34" s="113"/>
      <c r="H34" s="50"/>
      <c r="I34" s="114"/>
      <c r="J34" s="114"/>
      <c r="K34" s="114"/>
      <c r="L34" s="55"/>
      <c r="M34" s="55"/>
      <c r="N34" s="55"/>
      <c r="O34" s="55"/>
      <c r="P34" s="55"/>
      <c r="Q34" s="55"/>
      <c r="R34" s="55"/>
      <c r="S34" s="55"/>
      <c r="T34" s="115"/>
      <c r="U34" s="115"/>
      <c r="V34" s="115"/>
    </row>
    <row r="35" spans="1:22">
      <c r="A35" s="94"/>
      <c r="B35" s="95"/>
      <c r="C35" s="95"/>
      <c r="D35" s="98"/>
      <c r="E35" s="43"/>
      <c r="F35" s="112"/>
      <c r="G35" s="113"/>
      <c r="H35" s="50"/>
      <c r="I35" s="39"/>
      <c r="J35" s="55"/>
      <c r="K35" s="39"/>
      <c r="L35" s="55"/>
      <c r="M35" s="55"/>
      <c r="N35" s="55"/>
      <c r="O35" s="55"/>
      <c r="P35" s="55"/>
      <c r="Q35" s="55"/>
      <c r="R35" s="55"/>
      <c r="S35" s="55"/>
      <c r="T35" s="115"/>
      <c r="U35" s="115"/>
      <c r="V35" s="115"/>
    </row>
    <row r="36" spans="1:22">
      <c r="A36" s="94"/>
      <c r="B36" s="95"/>
      <c r="C36" s="95"/>
      <c r="D36" s="98"/>
      <c r="E36" s="43"/>
      <c r="F36" s="112"/>
      <c r="G36" s="113"/>
      <c r="H36" s="50"/>
      <c r="I36" s="114"/>
      <c r="J36" s="114"/>
      <c r="K36" s="114"/>
      <c r="L36" s="55"/>
      <c r="M36" s="55"/>
      <c r="N36" s="55"/>
      <c r="O36" s="55"/>
      <c r="P36" s="55"/>
      <c r="Q36" s="55"/>
      <c r="R36" s="55"/>
      <c r="S36" s="55"/>
      <c r="T36" s="115"/>
      <c r="U36" s="115"/>
      <c r="V36" s="115"/>
    </row>
    <row r="37" spans="1:22">
      <c r="A37" s="94"/>
      <c r="B37" s="95"/>
      <c r="C37" s="95"/>
      <c r="D37" s="98"/>
      <c r="E37" s="43"/>
      <c r="F37" s="112"/>
      <c r="G37" s="113"/>
      <c r="H37" s="50"/>
      <c r="I37" s="39"/>
      <c r="J37" s="39"/>
      <c r="K37" s="39"/>
      <c r="M37" s="55"/>
      <c r="N37" s="55"/>
      <c r="O37" s="55"/>
      <c r="P37" s="55"/>
      <c r="Q37" s="55"/>
      <c r="R37" s="55"/>
      <c r="S37" s="55"/>
      <c r="T37" s="115"/>
      <c r="U37" s="115"/>
      <c r="V37" s="115"/>
    </row>
  </sheetData>
  <phoneticPr fontId="3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 enableFormatConditionsCalculation="0"/>
  <dimension ref="A1:AB79"/>
  <sheetViews>
    <sheetView topLeftCell="A16" workbookViewId="0">
      <selection activeCell="D21" sqref="D21"/>
    </sheetView>
  </sheetViews>
  <sheetFormatPr baseColWidth="10" defaultColWidth="8.83203125" defaultRowHeight="27" customHeight="1" x14ac:dyDescent="0"/>
  <cols>
    <col min="1" max="1" width="5.1640625" customWidth="1"/>
    <col min="2" max="2" width="4.83203125" customWidth="1"/>
    <col min="3" max="3" width="7.83203125" style="29" customWidth="1"/>
    <col min="4" max="4" width="46.5" style="42" customWidth="1"/>
    <col min="5" max="5" width="6.6640625" style="42" customWidth="1"/>
    <col min="6" max="6" width="6.5" style="36" customWidth="1"/>
    <col min="7" max="7" width="6.6640625" customWidth="1"/>
    <col min="8" max="8" width="6.6640625" style="29" customWidth="1"/>
    <col min="9" max="24" width="14.6640625" style="29" customWidth="1"/>
    <col min="25" max="25" width="14.6640625" customWidth="1"/>
  </cols>
  <sheetData>
    <row r="1" spans="1:28" ht="15" customHeight="1">
      <c r="A1" s="90"/>
      <c r="B1" s="92"/>
      <c r="C1" s="92"/>
      <c r="D1" s="97"/>
      <c r="F1" s="42"/>
      <c r="G1" s="116" t="s">
        <v>437</v>
      </c>
      <c r="H1" s="116" t="s">
        <v>438</v>
      </c>
      <c r="Y1" s="29"/>
    </row>
    <row r="2" spans="1:28" ht="15" customHeight="1">
      <c r="A2" s="90"/>
      <c r="B2" s="91" t="s">
        <v>276</v>
      </c>
      <c r="C2" s="92"/>
      <c r="D2" s="97" t="s">
        <v>423</v>
      </c>
      <c r="E2" s="42">
        <f ca="1">COUNT(Dati!E21:E92)</f>
        <v>46</v>
      </c>
      <c r="F2" s="42"/>
      <c r="G2" s="36">
        <v>21</v>
      </c>
      <c r="H2" s="36">
        <f ca="1">G2+E2-1</f>
        <v>66</v>
      </c>
      <c r="I2" s="38">
        <v>1</v>
      </c>
      <c r="J2" s="38">
        <f>I2+1</f>
        <v>2</v>
      </c>
      <c r="K2" s="38">
        <f t="shared" ref="K2:U2" si="0">J2+1</f>
        <v>3</v>
      </c>
      <c r="L2" s="38">
        <f t="shared" si="0"/>
        <v>4</v>
      </c>
      <c r="M2" s="38">
        <f t="shared" si="0"/>
        <v>5</v>
      </c>
      <c r="N2" s="38">
        <f t="shared" si="0"/>
        <v>6</v>
      </c>
      <c r="O2" s="38">
        <f t="shared" si="0"/>
        <v>7</v>
      </c>
      <c r="P2" s="38">
        <f t="shared" si="0"/>
        <v>8</v>
      </c>
      <c r="Q2" s="38">
        <f t="shared" si="0"/>
        <v>9</v>
      </c>
      <c r="R2" s="38">
        <f t="shared" si="0"/>
        <v>10</v>
      </c>
      <c r="S2" s="38">
        <f t="shared" si="0"/>
        <v>11</v>
      </c>
      <c r="T2" s="38">
        <f t="shared" si="0"/>
        <v>12</v>
      </c>
      <c r="U2" s="38">
        <f t="shared" si="0"/>
        <v>13</v>
      </c>
      <c r="V2" s="38">
        <f t="shared" ref="V2:AA2" si="1">U2+1</f>
        <v>14</v>
      </c>
      <c r="W2" s="38">
        <f t="shared" si="1"/>
        <v>15</v>
      </c>
      <c r="X2" s="38">
        <f t="shared" si="1"/>
        <v>16</v>
      </c>
      <c r="Y2" s="38">
        <f t="shared" si="1"/>
        <v>17</v>
      </c>
      <c r="Z2" s="36">
        <f t="shared" si="1"/>
        <v>18</v>
      </c>
      <c r="AA2" s="36">
        <f t="shared" si="1"/>
        <v>19</v>
      </c>
    </row>
    <row r="3" spans="1:28" ht="30.75" customHeight="1">
      <c r="A3" s="90"/>
      <c r="B3" s="93" t="str">
        <f ca="1">INDIRECT(ADDRESS(14,A4+2,1,TRUE,"Dati"))</f>
        <v>KPI 1  -  Sicurezza Logica</v>
      </c>
      <c r="C3" s="92"/>
      <c r="D3" s="97"/>
      <c r="F3" s="42"/>
      <c r="G3" s="36"/>
      <c r="H3" s="35"/>
      <c r="I3" s="99" t="str">
        <f ca="1">ADDRESS($G$2-15,$A4,1,TRUE,Dati!$A$16&amp;Dati!$D$17) &amp;":"&amp; ADDRESS($H$2-15,$A4,1,TRUE)</f>
        <v>[sicurezzaConsuntivoFinale2010.xls]sicurezzaLogica!$D$6:$D$51</v>
      </c>
      <c r="K3" s="99"/>
      <c r="M3" s="99" t="str">
        <f ca="1">ADDRESS($G$2,$A4,1,TRUE,"Dati") &amp;":"&amp; ADDRESS($H$2,$A4,1,TRUE)</f>
        <v>Dati!$D$21:$D$66</v>
      </c>
      <c r="Y3" s="29"/>
    </row>
    <row r="4" spans="1:28" ht="75" customHeight="1">
      <c r="A4" s="94">
        <f>Dati!D10</f>
        <v>4</v>
      </c>
      <c r="B4" s="95">
        <f ca="1">INDIRECT("Dati!R12C"&amp;A4,FALSE)</f>
        <v>1</v>
      </c>
      <c r="C4" s="95" t="str">
        <f ca="1">INDIRECT("Dati!R15C"&amp;A4,FALSE)</f>
        <v>KPI 1.1</v>
      </c>
      <c r="D4" s="98" t="str">
        <f ca="1">INDIRECT("Dati!R16C"&amp;A4,FALSE)</f>
        <v>Quale modello di gestione e amministrazione della sicurezza del sistema informativo viene impiegato?</v>
      </c>
      <c r="E4" s="43"/>
      <c r="F4" s="43"/>
      <c r="G4" s="37"/>
      <c r="H4" s="34"/>
      <c r="I4" s="41" t="str">
        <f ca="1">INDIRECT(ADDRESS(I$2,$A4,1,TRUE,"Dati"))</f>
        <v>--</v>
      </c>
      <c r="J4" s="41" t="str">
        <f ca="1">INDIRECT(ADDRESS(J$2,$A4,1,TRUE,"Dati"))</f>
        <v>Completamente centralizzato</v>
      </c>
      <c r="K4" s="41" t="str">
        <f ca="1">INDIRECT(ADDRESS(K$2,$A4,1,TRUE,"Dati"))</f>
        <v>Completamente decentralizzato</v>
      </c>
      <c r="L4" s="41" t="str">
        <f ca="1">INDIRECT(ADDRESS(L$2,$A4,1,TRUE,"Dati"))</f>
        <v>Nessuno</v>
      </c>
      <c r="M4" s="41" t="str">
        <f ca="1">INDIRECT(ADDRESS(M$2,$A4,1,TRUE,"Dati"))</f>
        <v>Parzialmente centralizzato</v>
      </c>
      <c r="N4" s="39"/>
      <c r="O4" s="39"/>
      <c r="P4" s="39"/>
      <c r="Q4" s="39"/>
      <c r="R4" s="39"/>
      <c r="S4" s="39"/>
      <c r="Y4" s="29"/>
    </row>
    <row r="5" spans="1:28" ht="15" customHeight="1">
      <c r="A5" s="94"/>
      <c r="B5" s="95"/>
      <c r="C5" s="95"/>
      <c r="D5" s="98"/>
      <c r="E5" s="43"/>
      <c r="F5" s="43"/>
      <c r="G5" s="37"/>
      <c r="H5" s="50">
        <f ca="1">SUM(I5:Q5)</f>
        <v>46</v>
      </c>
      <c r="I5" s="39">
        <f ca="1">COUNTIF(INDIRECT(ADDRESS($G$2,$A4,1,TRUE,"Dati") &amp;":"&amp; ADDRESS($H$2,$A4,1,TRUE)), "="&amp;T(I4))</f>
        <v>1</v>
      </c>
      <c r="J5" s="39">
        <f ca="1">COUNTIF(INDIRECT(ADDRESS($G$2,$A4,1,TRUE,"Dati") &amp;":"&amp; ADDRESS($H$2,$A4,1,TRUE)), "="&amp;T(J4))</f>
        <v>26</v>
      </c>
      <c r="K5" s="39">
        <f ca="1">COUNTIF(INDIRECT(ADDRESS($G$2,$A4,1,TRUE,"Dati") &amp;":"&amp; ADDRESS($H$2,$A4,1,TRUE)), "="&amp;T(K4))</f>
        <v>2</v>
      </c>
      <c r="L5" s="39">
        <f ca="1">COUNTIF(INDIRECT(ADDRESS($G$2,$A4,1,TRUE,"Dati") &amp;":"&amp; ADDRESS($H$2,$A4,1,TRUE)), "="&amp;T(L4))</f>
        <v>0</v>
      </c>
      <c r="M5" s="39">
        <f ca="1">COUNTIF(INDIRECT(ADDRESS($G$2,$A4,1,TRUE,"Dati") &amp;":"&amp; ADDRESS($H$2,$A4,1,TRUE)), "="&amp;T(M4))</f>
        <v>17</v>
      </c>
      <c r="N5" s="99"/>
      <c r="O5" s="39"/>
      <c r="P5" s="39"/>
      <c r="Q5" s="39"/>
      <c r="R5" s="39"/>
      <c r="S5" s="39"/>
      <c r="Y5" s="29"/>
    </row>
    <row r="6" spans="1:28" ht="75" customHeight="1">
      <c r="A6" s="94">
        <f>A4+2</f>
        <v>6</v>
      </c>
      <c r="B6" s="95">
        <f ca="1">INDIRECT("Dati!R12C"&amp;A6,FALSE)</f>
        <v>2</v>
      </c>
      <c r="C6" s="95" t="str">
        <f ca="1">INDIRECT("Dati!R15C"&amp;A6,FALSE)</f>
        <v>KPI 1.2</v>
      </c>
      <c r="D6" s="98" t="str">
        <f ca="1">INDIRECT("Dati!R16C"&amp;A6,FALSE)</f>
        <v xml:space="preserve">Sono state definite policy per l'uso delle risorse interne da parte degli utenti ? </v>
      </c>
      <c r="E6" s="43"/>
      <c r="F6" s="112"/>
      <c r="G6" s="113"/>
      <c r="H6" s="50"/>
      <c r="I6" s="41" t="str">
        <f ca="1">INDIRECT(ADDRESS(I$2,$A6,1,TRUE,"Dati"))</f>
        <v>--</v>
      </c>
      <c r="J6" s="41" t="str">
        <f ca="1">INDIRECT(ADDRESS(J$2,$A6,1,TRUE,"Dati"))</f>
        <v>NO</v>
      </c>
      <c r="K6" s="41" t="str">
        <f ca="1">INDIRECT(ADDRESS(K$2,$A6,1,TRUE,"Dati"))</f>
        <v>SI</v>
      </c>
      <c r="L6" s="55"/>
      <c r="M6" s="55"/>
      <c r="N6" s="55"/>
      <c r="O6" s="55"/>
      <c r="P6" s="55"/>
      <c r="Q6" s="55"/>
      <c r="R6" s="55"/>
      <c r="S6" s="55"/>
      <c r="T6" s="115"/>
      <c r="U6" s="115"/>
      <c r="V6" s="115"/>
      <c r="Y6" s="29"/>
    </row>
    <row r="7" spans="1:28" ht="15" customHeight="1">
      <c r="A7" s="94"/>
      <c r="B7" s="95"/>
      <c r="C7" s="95"/>
      <c r="D7" s="98"/>
      <c r="E7" s="43"/>
      <c r="F7" s="112"/>
      <c r="G7" s="113"/>
      <c r="H7" s="50">
        <f ca="1">SUM(I7:Q7)</f>
        <v>46</v>
      </c>
      <c r="I7" s="39">
        <f ca="1">COUNTIF(INDIRECT(ADDRESS($G$2,$A6,1,TRUE,"Dati") &amp;":"&amp; ADDRESS($H$2,$A6,1,TRUE)), "="&amp;T(I6))</f>
        <v>1</v>
      </c>
      <c r="J7" s="39">
        <f ca="1">COUNTIF(INDIRECT(ADDRESS($G$2,$A6,1,TRUE,"Dati") &amp;":"&amp; ADDRESS($H$2,$A6,1,TRUE)), "="&amp;T(J6))</f>
        <v>3</v>
      </c>
      <c r="K7" s="39">
        <f ca="1">COUNTIF(INDIRECT(ADDRESS($G$2,$A6,1,TRUE,"Dati") &amp;":"&amp; ADDRESS($H$2,$A6,1,TRUE)), "="&amp;T(K6))</f>
        <v>42</v>
      </c>
      <c r="L7" s="55"/>
      <c r="M7" s="55"/>
      <c r="N7" s="55"/>
      <c r="O7" s="55"/>
      <c r="P7" s="55"/>
      <c r="Q7" s="55"/>
      <c r="R7" s="55"/>
      <c r="S7" s="55"/>
      <c r="T7" s="115"/>
      <c r="U7" s="115"/>
      <c r="V7" s="115"/>
      <c r="Y7" s="29"/>
    </row>
    <row r="8" spans="1:28" ht="75" customHeight="1">
      <c r="A8" s="94">
        <f>A6+2</f>
        <v>8</v>
      </c>
      <c r="B8" s="95">
        <f ca="1">INDIRECT("Dati!R12C"&amp;A8,FALSE)</f>
        <v>3</v>
      </c>
      <c r="C8" s="95" t="str">
        <f ca="1">INDIRECT("Dati!R15C"&amp;A8,FALSE)</f>
        <v>KPI 1.3</v>
      </c>
      <c r="D8" s="98" t="str">
        <f ca="1">INDIRECT("Dati!R16C"&amp;A8,FALSE)</f>
        <v xml:space="preserve">Nel caso di acquisizione di prodotti o servizi, vengono considerate certificazioni di sicurezza ? </v>
      </c>
      <c r="E8" s="43"/>
      <c r="F8" s="112"/>
      <c r="G8" s="113"/>
      <c r="H8" s="50"/>
      <c r="I8" s="41" t="str">
        <f ca="1">INDIRECT(ADDRESS(I$2,$A8,1,TRUE,"Dati"))</f>
        <v>--</v>
      </c>
      <c r="J8" s="41" t="str">
        <f ca="1">INDIRECT(ADDRESS(J$2,$A8,1,TRUE,"Dati"))</f>
        <v>NO</v>
      </c>
      <c r="K8" s="41" t="str">
        <f ca="1">INDIRECT(ADDRESS(K$2,$A8,1,TRUE,"Dati"))</f>
        <v>SI</v>
      </c>
      <c r="L8" s="114"/>
      <c r="M8" s="114"/>
      <c r="N8" s="114"/>
      <c r="O8" s="55"/>
      <c r="P8" s="55"/>
      <c r="Q8" s="55"/>
      <c r="R8" s="55"/>
      <c r="S8" s="55"/>
      <c r="T8" s="115"/>
      <c r="U8" s="115"/>
      <c r="V8" s="115"/>
      <c r="Y8" s="29"/>
    </row>
    <row r="9" spans="1:28" ht="15" customHeight="1">
      <c r="A9" s="94"/>
      <c r="B9" s="95"/>
      <c r="C9" s="95"/>
      <c r="D9" s="98"/>
      <c r="E9" s="43"/>
      <c r="F9" s="112"/>
      <c r="G9" s="113"/>
      <c r="H9" s="50">
        <f ca="1">SUM(I9:Q9)</f>
        <v>46</v>
      </c>
      <c r="I9" s="39">
        <f ca="1">COUNTIF(INDIRECT(ADDRESS($G$2,$A8,1,TRUE,"Dati") &amp;":"&amp; ADDRESS($H$2,$A8,1,TRUE)), "="&amp;T(I8))</f>
        <v>7</v>
      </c>
      <c r="J9" s="39">
        <f ca="1">COUNTIF(INDIRECT(ADDRESS($G$2,$A8,1,TRUE,"Dati") &amp;":"&amp; ADDRESS($H$2,$A8,1,TRUE)), "="&amp;T(J8))</f>
        <v>6</v>
      </c>
      <c r="K9" s="270">
        <f ca="1">COUNTIF(INDIRECT(ADDRESS($G$2,$A8,1,TRUE,"Dati") &amp;":"&amp; ADDRESS($H$2,$A8,1,TRUE)), "="&amp;T(K8))</f>
        <v>33</v>
      </c>
      <c r="L9" s="55"/>
      <c r="M9" s="55"/>
      <c r="N9" s="55"/>
      <c r="O9" s="55"/>
      <c r="P9" s="55"/>
      <c r="Q9" s="55"/>
      <c r="R9" s="55"/>
      <c r="S9" s="55"/>
      <c r="T9" s="115"/>
      <c r="U9" s="115"/>
      <c r="V9" s="115"/>
      <c r="Y9" s="29"/>
    </row>
    <row r="10" spans="1:28" ht="15" customHeight="1">
      <c r="A10" s="94"/>
      <c r="B10" s="95"/>
      <c r="C10" s="95"/>
      <c r="D10" s="98"/>
      <c r="E10" s="43"/>
      <c r="F10" s="112"/>
      <c r="G10" s="113"/>
      <c r="H10" s="50"/>
      <c r="I10" s="634" t="str">
        <f ca="1">Dati!J11</f>
        <v>CommonCriteria (ISO 15408)</v>
      </c>
      <c r="J10" s="634"/>
      <c r="K10" s="634"/>
      <c r="L10" s="635" t="str">
        <f ca="1">Dati!L11</f>
        <v>ISO 27001 (ex BS 7799-2)</v>
      </c>
      <c r="M10" s="635"/>
      <c r="N10" s="635"/>
      <c r="O10" s="635"/>
      <c r="P10" s="635" t="str">
        <f ca="1">Dati!N11</f>
        <v>Certificazioni professionali</v>
      </c>
      <c r="Q10" s="635"/>
      <c r="R10" s="635"/>
      <c r="S10" s="635"/>
      <c r="T10" s="636" t="str">
        <f ca="1">Dati!P11</f>
        <v>Altro</v>
      </c>
      <c r="U10" s="633"/>
      <c r="V10" s="633"/>
      <c r="W10" s="633"/>
      <c r="Y10" s="29"/>
    </row>
    <row r="11" spans="1:28" ht="75" customHeight="1">
      <c r="A11" s="94">
        <f>A8+2</f>
        <v>10</v>
      </c>
      <c r="B11" s="95">
        <f ca="1">INDIRECT("Dati!R12C"&amp;A11,FALSE)</f>
        <v>4</v>
      </c>
      <c r="C11" s="95" t="str">
        <f ca="1">INDIRECT("Dati!R15C"&amp;A11,FALSE)</f>
        <v>KPI 1.3a</v>
      </c>
      <c r="D11" s="98" t="str">
        <f ca="1">INDIRECT("Dati!R16C"&amp;A11,FALSE)</f>
        <v xml:space="preserve">Nel caso vengano considerate certificazioni di sicurezza nell'acquisizione di prodotti o servizi, quali certificazioni sono considerate ?  </v>
      </c>
      <c r="E11" s="43"/>
      <c r="F11" s="112"/>
      <c r="G11" s="113"/>
      <c r="H11" s="50"/>
      <c r="I11" s="41" t="str">
        <f ca="1">INDIRECT(ADDRESS(I$2,$A11,1,TRUE,"Dati"))</f>
        <v>--</v>
      </c>
      <c r="J11" s="41" t="str">
        <f ca="1">TEXT(INDIRECT(ADDRESS(J$2,$A11,1,TRUE,"Dati")), "")</f>
        <v>FALSO</v>
      </c>
      <c r="K11" s="41" t="str">
        <f ca="1">TEXT(INDIRECT(ADDRESS(K$2,$A11,1,TRUE,"Dati")), "")</f>
        <v>VERO</v>
      </c>
      <c r="L11" s="41"/>
      <c r="M11" s="41" t="str">
        <f ca="1">INDIRECT(ADDRESS(I$2,$A11+2,1,TRUE,"Dati"))</f>
        <v>--</v>
      </c>
      <c r="N11" s="41" t="str">
        <f ca="1">TEXT(INDIRECT(ADDRESS(J$2,$A11+2,1,TRUE,"Dati")), "")</f>
        <v>FALSO</v>
      </c>
      <c r="O11" s="41" t="str">
        <f ca="1">TEXT(INDIRECT(ADDRESS(K$2,$A11+2,1,TRUE,"Dati")), "")</f>
        <v>VERO</v>
      </c>
      <c r="P11" s="41"/>
      <c r="Q11" s="41" t="str">
        <f ca="1">INDIRECT(ADDRESS(I$2,$A11+4,1,TRUE,"Dati"))</f>
        <v>--</v>
      </c>
      <c r="R11" s="41" t="str">
        <f ca="1">TEXT(INDIRECT(ADDRESS(J$2,$A11+4,1,TRUE,"Dati")), "")</f>
        <v>FALSO</v>
      </c>
      <c r="S11" s="41" t="str">
        <f ca="1">TEXT(INDIRECT(ADDRESS(K$2,$A11+4,1,TRUE,"Dati")), "")</f>
        <v>VERO</v>
      </c>
      <c r="T11" s="41"/>
      <c r="U11" s="41" t="str">
        <f ca="1">INDIRECT(ADDRESS(I$2,$A11+6,1,TRUE,"Dati"))</f>
        <v>--</v>
      </c>
      <c r="V11" s="41" t="str">
        <f ca="1">TEXT(INDIRECT(ADDRESS(J$2,$A11+6,1,TRUE,"Dati")), "")</f>
        <v>FALSO</v>
      </c>
      <c r="W11" s="41" t="str">
        <f ca="1">TEXT(INDIRECT(ADDRESS(K$2,$A11+6,1,TRUE,"Dati")), "")</f>
        <v>VERO</v>
      </c>
      <c r="X11" s="115"/>
      <c r="Y11" s="115"/>
      <c r="Z11" s="29"/>
      <c r="AA11" s="29"/>
      <c r="AB11" s="29"/>
    </row>
    <row r="12" spans="1:28" ht="15" customHeight="1">
      <c r="A12" s="94"/>
      <c r="B12" s="95"/>
      <c r="C12" s="95"/>
      <c r="D12" s="98"/>
      <c r="E12" s="43"/>
      <c r="F12" s="112"/>
      <c r="G12" s="113"/>
      <c r="H12" s="50">
        <f ca="1">SUM(I12:K12)</f>
        <v>46</v>
      </c>
      <c r="I12" s="39">
        <f ca="1">COUNTIF(INDIRECT(ADDRESS($G$2,$A11,1,TRUE,"Dati") &amp;":"&amp; ADDRESS($H$2,$A11,1,TRUE)), "="&amp;T(I11))</f>
        <v>0</v>
      </c>
      <c r="J12" s="39">
        <f ca="1">COUNTIF(INDIRECT(ADDRESS($G$2,$A11,1,TRUE,"Dati") &amp;":"&amp; ADDRESS($H$2,$A11,1,TRUE)), "="&amp;T(J11))</f>
        <v>33</v>
      </c>
      <c r="K12" s="271">
        <f ca="1">COUNTIF(INDIRECT(ADDRESS($G$2,$A11,1,TRUE,"Dati") &amp;":"&amp; ADDRESS($H$2,$A11,1,TRUE)), "="&amp;T(K11))</f>
        <v>13</v>
      </c>
      <c r="L12" s="50">
        <f ca="1">SUM(M12:O12)</f>
        <v>46</v>
      </c>
      <c r="M12" s="55">
        <f ca="1">COUNTIF(INDIRECT(ADDRESS($G$2,$A11+2,1,TRUE,"Dati") &amp;":"&amp; ADDRESS($H$2,$A11+2,1,TRUE)), "="&amp;T(M11))</f>
        <v>0</v>
      </c>
      <c r="N12" s="39">
        <f ca="1">COUNTIF(INDIRECT(ADDRESS($G$2,$A11+2,1,TRUE,"Dati") &amp;":"&amp; ADDRESS($H$2,$A11+2,1,TRUE)), "="&amp;T(N11))</f>
        <v>24</v>
      </c>
      <c r="O12" s="272">
        <f ca="1">COUNTIF(INDIRECT(ADDRESS($G$2,$A11+2,1,TRUE,"Dati") &amp;":"&amp; ADDRESS($H$2,$A11+2,1,TRUE)), "="&amp;T(O11))</f>
        <v>22</v>
      </c>
      <c r="P12" s="50">
        <f ca="1">SUM(Q12:S12)</f>
        <v>46</v>
      </c>
      <c r="Q12" s="39">
        <f ca="1">COUNTIF(INDIRECT(ADDRESS($G$2,$A11+4,1,TRUE,"Dati") &amp;":"&amp; ADDRESS($H$2,$A11+4,1,TRUE)), "="&amp;T(Q11))</f>
        <v>0</v>
      </c>
      <c r="R12" s="39">
        <f ca="1">COUNTIF(INDIRECT(ADDRESS($G$2,$A11+4,1,TRUE,"Dati") &amp;":"&amp; ADDRESS($H$2,$A11+4,1,TRUE)), "="&amp;T(R11))</f>
        <v>30</v>
      </c>
      <c r="S12" s="272">
        <f ca="1">COUNTIF(INDIRECT(ADDRESS($G$2,$A11+4,1,TRUE,"Dati") &amp;":"&amp; ADDRESS($H$2,$A11+4,1,TRUE)), "="&amp;T(S11))</f>
        <v>16</v>
      </c>
      <c r="T12" s="50">
        <f ca="1">SUM(U12:W12)</f>
        <v>46</v>
      </c>
      <c r="U12" s="39">
        <f ca="1">COUNTIF(INDIRECT(ADDRESS($G$2,$A11+6,1,TRUE,"Dati") &amp;":"&amp; ADDRESS($H$2,$A11+6,1,TRUE)), "="&amp;T(U11))</f>
        <v>0</v>
      </c>
      <c r="V12" s="39">
        <f ca="1">COUNTIF(INDIRECT(ADDRESS($G$2,$A11+6,1,TRUE,"Dati") &amp;":"&amp; ADDRESS($H$2,$A11+6,1,TRUE)), "="&amp;T(V11))</f>
        <v>43</v>
      </c>
      <c r="W12" s="39">
        <f ca="1">COUNTIF(INDIRECT(ADDRESS($G$2,$A11+6,1,TRUE,"Dati") &amp;":"&amp; ADDRESS($H$2,$A11+6,1,TRUE)), "="&amp;T(W11))</f>
        <v>3</v>
      </c>
      <c r="X12" s="115"/>
      <c r="Y12" s="115"/>
      <c r="Z12" s="29"/>
      <c r="AA12" s="29"/>
      <c r="AB12" s="29"/>
    </row>
    <row r="13" spans="1:28" ht="75" customHeight="1">
      <c r="A13" s="94">
        <f>A11+8</f>
        <v>18</v>
      </c>
      <c r="B13" s="95">
        <f ca="1">INDIRECT("Dati!R12C"&amp;A13,FALSE)</f>
        <v>8</v>
      </c>
      <c r="C13" s="95" t="str">
        <f ca="1">INDIRECT("Dati!R15C"&amp;A13,FALSE)</f>
        <v>KPI 1.4</v>
      </c>
      <c r="D13" s="98" t="str">
        <f ca="1">INDIRECT("Dati!R16C"&amp;A13,FALSE)</f>
        <v xml:space="preserve">Quali criteri/sistemi di autenticazione per l'accesso alla rete interna vengono utilizzati ? </v>
      </c>
      <c r="E13" s="43"/>
      <c r="F13" s="112"/>
      <c r="G13" s="113"/>
      <c r="H13" s="50"/>
      <c r="I13" s="41" t="str">
        <f ca="1">INDIRECT(ADDRESS(I$2,$A13,1,TRUE,"Dati"))</f>
        <v>--</v>
      </c>
      <c r="J13" s="41" t="str">
        <f ca="1">INDIRECT(ADDRESS(J$2,$A13,1,TRUE,"Dati"))</f>
        <v>ONE TIME PASSWORD</v>
      </c>
      <c r="K13" s="41" t="str">
        <f ca="1">INDIRECT(ADDRESS(K$2,$A13,1,TRUE,"Dati"))</f>
        <v>PKI/SMART CARD/PIN</v>
      </c>
      <c r="L13" s="41" t="str">
        <f ca="1">INDIRECT(ADDRESS(L$2,$A13,1,TRUE,"Dati"))</f>
        <v>TOKEN DI AUTENTICAZIONE</v>
      </c>
      <c r="M13" s="41" t="str">
        <f ca="1">INDIRECT(ADDRESS(M$2,$A13,1,TRUE,"Dati"))</f>
        <v>USERID/PASSWORD</v>
      </c>
      <c r="N13" s="41"/>
      <c r="O13" s="41"/>
      <c r="P13" s="114"/>
      <c r="Q13" s="114"/>
      <c r="R13" s="55"/>
      <c r="S13" s="55"/>
      <c r="T13" s="115"/>
      <c r="U13" s="115"/>
      <c r="V13" s="115"/>
      <c r="Y13" s="29"/>
    </row>
    <row r="14" spans="1:28" ht="15" customHeight="1">
      <c r="A14" s="94"/>
      <c r="B14" s="95"/>
      <c r="C14" s="95"/>
      <c r="D14" s="98"/>
      <c r="E14" s="43"/>
      <c r="F14" s="112"/>
      <c r="G14" s="113"/>
      <c r="H14" s="50">
        <f ca="1">SUM(I14:Q14)</f>
        <v>46</v>
      </c>
      <c r="I14" s="39">
        <f ca="1">COUNTIF(INDIRECT(ADDRESS($G$2,$A13,1,TRUE,"Dati") &amp;":"&amp; ADDRESS($H$2,$A13,1,TRUE)), "="&amp;T(I13))</f>
        <v>1</v>
      </c>
      <c r="J14" s="39">
        <f ca="1">COUNTIF(INDIRECT(ADDRESS($G$2,$A13,1,TRUE,"Dati") &amp;":"&amp; ADDRESS($H$2,$A13,1,TRUE)), "="&amp;T(J13))</f>
        <v>0</v>
      </c>
      <c r="K14" s="39">
        <f ca="1">COUNTIF(INDIRECT(ADDRESS($G$2,$A13,1,TRUE,"Dati") &amp;":"&amp; ADDRESS($H$2,$A13,1,TRUE)), "="&amp;T(K13))</f>
        <v>0</v>
      </c>
      <c r="L14" s="39">
        <f ca="1">COUNTIF(INDIRECT(ADDRESS($G$2,$A13,1,TRUE,"Dati") &amp;":"&amp; ADDRESS($H$2,$A13,1,TRUE)), "="&amp;T(L13))</f>
        <v>1</v>
      </c>
      <c r="M14" s="272">
        <f ca="1">COUNTIF(INDIRECT(ADDRESS($G$2,$A13,1,TRUE,"Dati") &amp;":"&amp; ADDRESS($H$2,$A13,1,TRUE)), "="&amp;T(M13))</f>
        <v>44</v>
      </c>
      <c r="N14" s="55"/>
      <c r="O14" s="55"/>
      <c r="P14" s="55"/>
      <c r="Q14" s="55"/>
      <c r="R14" s="55"/>
      <c r="S14" s="55"/>
      <c r="T14" s="115"/>
      <c r="U14" s="115"/>
      <c r="V14" s="115"/>
      <c r="Y14" s="29"/>
    </row>
    <row r="15" spans="1:28" ht="75" customHeight="1">
      <c r="A15" s="94">
        <f>A13+2</f>
        <v>20</v>
      </c>
      <c r="B15" s="95">
        <f ca="1">INDIRECT("Dati!R12C"&amp;A15,FALSE)</f>
        <v>9</v>
      </c>
      <c r="C15" s="95" t="str">
        <f ca="1">INDIRECT("Dati!R15C"&amp;A15,FALSE)</f>
        <v>KPI 1.4a</v>
      </c>
      <c r="D15" s="98" t="str">
        <f ca="1">INDIRECT("Dati!R16C"&amp;A15,FALSE)</f>
        <v>Se si utilizzano UserID e password come sistema di autenticazione,sono state definite regole per la gestione delle password ?</v>
      </c>
      <c r="E15" s="43"/>
      <c r="F15" s="112"/>
      <c r="G15" s="113"/>
      <c r="H15" s="50"/>
      <c r="I15" s="41" t="str">
        <f ca="1">INDIRECT(ADDRESS(I$2,$A15,1,TRUE,"Dati"))</f>
        <v>--</v>
      </c>
      <c r="J15" s="41" t="str">
        <f ca="1">INDIRECT(ADDRESS(J$2,$A15,1,TRUE,"Dati"))</f>
        <v>NO</v>
      </c>
      <c r="K15" s="41" t="str">
        <f ca="1">INDIRECT(ADDRESS(K$2,$A15,1,TRUE,"Dati"))</f>
        <v>SI</v>
      </c>
      <c r="L15" s="114"/>
      <c r="M15" s="55"/>
      <c r="N15" s="55"/>
      <c r="O15" s="55"/>
      <c r="P15" s="55"/>
      <c r="Q15" s="55"/>
      <c r="R15" s="55"/>
      <c r="S15" s="55"/>
      <c r="T15" s="115"/>
      <c r="U15" s="115"/>
      <c r="V15" s="115"/>
      <c r="Y15" s="29"/>
    </row>
    <row r="16" spans="1:28" ht="15" customHeight="1">
      <c r="A16" s="94"/>
      <c r="B16" s="95"/>
      <c r="C16" s="95"/>
      <c r="D16" s="98"/>
      <c r="E16" s="43"/>
      <c r="F16" s="112"/>
      <c r="G16" s="113"/>
      <c r="H16" s="50">
        <f ca="1">SUM(I16:Q16)</f>
        <v>46</v>
      </c>
      <c r="I16" s="39">
        <f ca="1">COUNTIF(INDIRECT(ADDRESS($G$2,$A15,1,TRUE,"Dati") &amp;":"&amp; ADDRESS($H$2,$A15,1,TRUE)), "="&amp;T(I15))</f>
        <v>2</v>
      </c>
      <c r="J16" s="39">
        <f ca="1">COUNTIF(INDIRECT(ADDRESS($G$2,$A15,1,TRUE,"Dati") &amp;":"&amp; ADDRESS($H$2,$A15,1,TRUE)), "="&amp;T(J15))</f>
        <v>0</v>
      </c>
      <c r="K16" s="270">
        <f ca="1">COUNTIF(INDIRECT(ADDRESS($G$2,$A15,1,TRUE,"Dati") &amp;":"&amp; ADDRESS($H$2,$A15,1,TRUE)), "="&amp;T(K15))</f>
        <v>44</v>
      </c>
      <c r="L16" s="55"/>
      <c r="M16" s="55"/>
      <c r="N16" s="55"/>
      <c r="O16" s="55"/>
      <c r="P16" s="55"/>
      <c r="Q16" s="55"/>
      <c r="R16" s="55"/>
      <c r="S16" s="55"/>
      <c r="T16" s="115"/>
      <c r="U16" s="115"/>
      <c r="V16" s="115"/>
      <c r="Y16" s="29"/>
    </row>
    <row r="17" spans="1:25" ht="75" customHeight="1">
      <c r="A17" s="94">
        <f>A15+2</f>
        <v>22</v>
      </c>
      <c r="B17" s="95">
        <f ca="1">INDIRECT("Dati!R12C"&amp;A17,FALSE)</f>
        <v>10</v>
      </c>
      <c r="C17" s="95" t="str">
        <f ca="1">INDIRECT("Dati!R15C"&amp;A17,FALSE)</f>
        <v>KPI 1.4b</v>
      </c>
      <c r="D17" s="98" t="str">
        <f ca="1">INDIRECT("Dati!R16C"&amp;A17,FALSE)</f>
        <v>E' prevista la scadenza automatica di un account/password ?</v>
      </c>
      <c r="E17" s="43"/>
      <c r="F17" s="112"/>
      <c r="G17" s="113"/>
      <c r="H17" s="50"/>
      <c r="I17" s="41" t="str">
        <f ca="1">INDIRECT(ADDRESS(I$2,$A17,1,TRUE,"Dati"))</f>
        <v>--</v>
      </c>
      <c r="J17" s="41" t="str">
        <f ca="1">INDIRECT(ADDRESS(J$2,$A17,1,TRUE,"Dati"))</f>
        <v>NO</v>
      </c>
      <c r="K17" s="41" t="str">
        <f ca="1">INDIRECT(ADDRESS(K$2,$A17,1,TRUE,"Dati"))</f>
        <v>SI</v>
      </c>
      <c r="L17" s="55"/>
      <c r="M17" s="55"/>
      <c r="N17" s="55"/>
      <c r="O17" s="55"/>
      <c r="P17" s="55"/>
      <c r="Q17" s="55"/>
      <c r="R17" s="55"/>
      <c r="S17" s="55"/>
      <c r="T17" s="115"/>
      <c r="U17" s="115"/>
      <c r="V17" s="115"/>
      <c r="Y17" s="29"/>
    </row>
    <row r="18" spans="1:25" ht="15" customHeight="1">
      <c r="A18" s="94"/>
      <c r="B18" s="95"/>
      <c r="C18" s="95"/>
      <c r="D18" s="98"/>
      <c r="E18" s="43"/>
      <c r="F18" s="112"/>
      <c r="G18" s="113"/>
      <c r="H18" s="50">
        <f ca="1">SUM(I18:Q18)</f>
        <v>46</v>
      </c>
      <c r="I18" s="39">
        <f ca="1">COUNTIF(INDIRECT(ADDRESS($G$2,$A17,1,TRUE,"Dati") &amp;":"&amp; ADDRESS($H$2,$A17,1,TRUE)), "="&amp;T(I17))</f>
        <v>2</v>
      </c>
      <c r="J18" s="39">
        <f ca="1">COUNTIF(INDIRECT(ADDRESS($G$2,$A17,1,TRUE,"Dati") &amp;":"&amp; ADDRESS($H$2,$A17,1,TRUE)), "="&amp;T(J17))</f>
        <v>3</v>
      </c>
      <c r="K18" s="270">
        <f ca="1">COUNTIF(INDIRECT(ADDRESS($G$2,$A17,1,TRUE,"Dati") &amp;":"&amp; ADDRESS($H$2,$A17,1,TRUE)), "="&amp;T(K17))</f>
        <v>41</v>
      </c>
      <c r="L18" s="55"/>
      <c r="M18" s="55"/>
      <c r="N18" s="55"/>
      <c r="O18" s="55"/>
      <c r="P18" s="55"/>
      <c r="Q18" s="55"/>
      <c r="R18" s="55"/>
      <c r="S18" s="55"/>
      <c r="T18" s="115"/>
      <c r="U18" s="115"/>
      <c r="V18" s="115"/>
      <c r="Y18" s="29"/>
    </row>
    <row r="19" spans="1:25" ht="75" customHeight="1">
      <c r="A19" s="94">
        <f>A17+2</f>
        <v>24</v>
      </c>
      <c r="B19" s="95">
        <f ca="1">INDIRECT("Dati!R12C"&amp;A19,FALSE)</f>
        <v>11</v>
      </c>
      <c r="C19" s="95" t="str">
        <f ca="1">INDIRECT("Dati!R15C"&amp;A19,FALSE)</f>
        <v>KPI 1.4c</v>
      </c>
      <c r="D19" s="98" t="str">
        <f ca="1">INDIRECT("Dati!R16C"&amp;A19,FALSE)</f>
        <v>Esiste un controllo preventivo della scelta della password ?</v>
      </c>
      <c r="E19" s="43"/>
      <c r="F19" s="112"/>
      <c r="G19" s="113"/>
      <c r="H19" s="50"/>
      <c r="I19" s="41" t="str">
        <f ca="1">INDIRECT(ADDRESS(I$2,$A19,1,TRUE,"Dati"))</f>
        <v>--</v>
      </c>
      <c r="J19" s="41" t="str">
        <f ca="1">INDIRECT(ADDRESS(J$2,$A19,1,TRUE,"Dati"))</f>
        <v>NO</v>
      </c>
      <c r="K19" s="41" t="str">
        <f ca="1">INDIRECT(ADDRESS(K$2,$A19,1,TRUE,"Dati"))</f>
        <v>SI</v>
      </c>
      <c r="L19" s="41"/>
      <c r="M19" s="41"/>
      <c r="N19" s="55"/>
      <c r="O19" s="55"/>
      <c r="P19" s="55"/>
      <c r="Q19" s="55"/>
      <c r="R19" s="55"/>
      <c r="S19" s="55"/>
      <c r="T19" s="115"/>
      <c r="U19" s="115"/>
      <c r="V19" s="115"/>
      <c r="Y19" s="29"/>
    </row>
    <row r="20" spans="1:25" ht="15" customHeight="1">
      <c r="A20" s="94"/>
      <c r="B20" s="95"/>
      <c r="C20" s="95"/>
      <c r="D20" s="98"/>
      <c r="E20" s="43"/>
      <c r="F20" s="112"/>
      <c r="G20" s="113"/>
      <c r="H20" s="50">
        <f ca="1">SUM(I20:Q20)</f>
        <v>46</v>
      </c>
      <c r="I20" s="39">
        <f ca="1">COUNTIF(INDIRECT(ADDRESS($G$2,$A19,1,TRUE,"Dati") &amp;":"&amp; ADDRESS($H$2,$A19,1,TRUE)), "="&amp;T(I19))</f>
        <v>2</v>
      </c>
      <c r="J20" s="39">
        <f ca="1">COUNTIF(INDIRECT(ADDRESS($G$2,$A19,1,TRUE,"Dati") &amp;":"&amp; ADDRESS($H$2,$A19,1,TRUE)), "="&amp;T(J19))</f>
        <v>3</v>
      </c>
      <c r="K20" s="270">
        <f ca="1">COUNTIF(INDIRECT(ADDRESS($G$2,$A19,1,TRUE,"Dati") &amp;":"&amp; ADDRESS($H$2,$A19,1,TRUE)), "="&amp;T(K19))</f>
        <v>41</v>
      </c>
      <c r="L20" s="55"/>
      <c r="M20" s="39"/>
      <c r="N20" s="55"/>
      <c r="O20" s="55"/>
      <c r="P20" s="55"/>
      <c r="Q20" s="55"/>
      <c r="R20" s="55"/>
      <c r="S20" s="55"/>
      <c r="T20" s="115"/>
      <c r="U20" s="115"/>
      <c r="V20" s="115"/>
      <c r="Y20" s="29"/>
    </row>
    <row r="21" spans="1:25" ht="75" customHeight="1">
      <c r="A21" s="94">
        <f>A19+2</f>
        <v>26</v>
      </c>
      <c r="B21" s="95">
        <f ca="1">INDIRECT("Dati!R12C"&amp;A21,FALSE)</f>
        <v>12</v>
      </c>
      <c r="C21" s="95" t="str">
        <f ca="1">INDIRECT("Dati!R15C"&amp;A21,FALSE)</f>
        <v>KPI 1.5</v>
      </c>
      <c r="D21" s="98" t="str">
        <f ca="1">INDIRECT("Dati!R16C"&amp;A21,FALSE)</f>
        <v xml:space="preserve">Con quale frequenza viene verificata la presenza di aggionamenti dei sistemi operativi dei server ? </v>
      </c>
      <c r="E21" s="43"/>
      <c r="F21" s="112"/>
      <c r="G21" s="113"/>
      <c r="H21" s="50"/>
      <c r="I21" s="41" t="str">
        <f t="shared" ref="I21:N21" ca="1" si="2">INDIRECT(ADDRESS(I$2,$A21,1,TRUE,"Dati"))</f>
        <v>--</v>
      </c>
      <c r="J21" s="41" t="str">
        <f t="shared" ca="1" si="2"/>
        <v>AUTOMATICAMENTE</v>
      </c>
      <c r="K21" s="41" t="str">
        <f t="shared" ca="1" si="2"/>
        <v>MAI</v>
      </c>
      <c r="L21" s="41" t="str">
        <f t="shared" ca="1" si="2"/>
        <v>OGNI MESE</v>
      </c>
      <c r="M21" s="41" t="str">
        <f t="shared" ca="1" si="2"/>
        <v>OGNI SEI MESI</v>
      </c>
      <c r="N21" s="41" t="str">
        <f t="shared" ca="1" si="2"/>
        <v>OGNI SETTIMANA</v>
      </c>
      <c r="O21" s="114"/>
      <c r="P21" s="55"/>
      <c r="Q21" s="55"/>
      <c r="R21" s="55"/>
      <c r="S21" s="55"/>
      <c r="T21" s="115"/>
      <c r="U21" s="115"/>
      <c r="V21" s="115"/>
      <c r="Y21" s="29"/>
    </row>
    <row r="22" spans="1:25" ht="15" customHeight="1">
      <c r="A22" s="94"/>
      <c r="B22" s="95"/>
      <c r="C22" s="95"/>
      <c r="D22" s="98"/>
      <c r="E22" s="43"/>
      <c r="F22" s="112"/>
      <c r="G22" s="113"/>
      <c r="H22" s="50">
        <f ca="1">SUM(I22:Q22)</f>
        <v>46</v>
      </c>
      <c r="I22" s="39">
        <f t="shared" ref="I22:N22" ca="1" si="3">COUNTIF(INDIRECT(ADDRESS($G$2,$A21,1,TRUE,"Dati") &amp;":"&amp; ADDRESS($H$2,$A21,1,TRUE)), "="&amp;T(I21))</f>
        <v>2</v>
      </c>
      <c r="J22" s="270">
        <f t="shared" ca="1" si="3"/>
        <v>22</v>
      </c>
      <c r="K22" s="39">
        <f t="shared" ca="1" si="3"/>
        <v>0</v>
      </c>
      <c r="L22" s="39">
        <f t="shared" ca="1" si="3"/>
        <v>11</v>
      </c>
      <c r="M22" s="39">
        <f t="shared" ca="1" si="3"/>
        <v>3</v>
      </c>
      <c r="N22" s="39">
        <f t="shared" ca="1" si="3"/>
        <v>8</v>
      </c>
      <c r="O22" s="39"/>
      <c r="P22" s="55"/>
      <c r="Q22" s="55"/>
      <c r="R22" s="55"/>
      <c r="S22" s="55"/>
      <c r="T22" s="115"/>
      <c r="U22" s="115"/>
      <c r="V22" s="115"/>
      <c r="Y22" s="29"/>
    </row>
    <row r="23" spans="1:25" ht="75" customHeight="1">
      <c r="A23" s="94">
        <f>A21+2</f>
        <v>28</v>
      </c>
      <c r="B23" s="95">
        <f ca="1">INDIRECT("Dati!R12C"&amp;A23,FALSE)</f>
        <v>13</v>
      </c>
      <c r="C23" s="95" t="str">
        <f ca="1">INDIRECT("Dati!R15C"&amp;A23,FALSE)</f>
        <v>KPI 1.6</v>
      </c>
      <c r="D23" s="98" t="str">
        <f ca="1">INDIRECT("Dati!R16C"&amp;A23,FALSE)</f>
        <v xml:space="preserve">Esiste un sistema centralizzato di software distribution per l'aggiornamento automatico delle postazioni di lavoro ? </v>
      </c>
      <c r="E23" s="43"/>
      <c r="F23" s="112"/>
      <c r="G23" s="113"/>
      <c r="H23" s="50"/>
      <c r="I23" s="41" t="str">
        <f ca="1">INDIRECT(ADDRESS(I$2,$A23,1,TRUE,"Dati"))</f>
        <v>--</v>
      </c>
      <c r="J23" s="41" t="str">
        <f ca="1">INDIRECT(ADDRESS(J$2,$A23,1,TRUE,"Dati"))</f>
        <v>NO</v>
      </c>
      <c r="K23" s="41" t="str">
        <f ca="1">INDIRECT(ADDRESS(K$2,$A23,1,TRUE,"Dati"))</f>
        <v>SI</v>
      </c>
      <c r="L23" s="55"/>
      <c r="M23" s="55"/>
      <c r="N23" s="55"/>
      <c r="O23" s="55"/>
      <c r="P23" s="55"/>
      <c r="Q23" s="55"/>
      <c r="R23" s="55"/>
      <c r="S23" s="55"/>
      <c r="T23" s="115"/>
      <c r="U23" s="115"/>
      <c r="V23" s="115"/>
      <c r="Y23" s="29"/>
    </row>
    <row r="24" spans="1:25" ht="15" customHeight="1">
      <c r="A24" s="94"/>
      <c r="B24" s="95"/>
      <c r="C24" s="95"/>
      <c r="D24" s="98"/>
      <c r="E24" s="43"/>
      <c r="F24" s="112"/>
      <c r="G24" s="113"/>
      <c r="H24" s="50">
        <f ca="1">SUM(I24:Q24)</f>
        <v>46</v>
      </c>
      <c r="I24" s="39">
        <f ca="1">COUNTIF(INDIRECT(ADDRESS($G$2,$A23,1,TRUE,"Dati") &amp;":"&amp; ADDRESS($H$2,$A23,1,TRUE)), "="&amp;T(I23))</f>
        <v>2</v>
      </c>
      <c r="J24" s="39">
        <f ca="1">COUNTIF(INDIRECT(ADDRESS($G$2,$A23,1,TRUE,"Dati") &amp;":"&amp; ADDRESS($H$2,$A23,1,TRUE)), "="&amp;T(J23))</f>
        <v>12</v>
      </c>
      <c r="K24" s="39">
        <f ca="1">COUNTIF(INDIRECT(ADDRESS($G$2,$A23,1,TRUE,"Dati") &amp;":"&amp; ADDRESS($H$2,$A23,1,TRUE)), "="&amp;T(K23))</f>
        <v>32</v>
      </c>
      <c r="L24" s="55"/>
      <c r="M24" s="55"/>
      <c r="N24" s="55"/>
      <c r="O24" s="55"/>
      <c r="P24" s="55"/>
      <c r="Q24" s="55"/>
      <c r="R24" s="55"/>
      <c r="S24" s="55"/>
      <c r="T24" s="115"/>
      <c r="U24" s="115"/>
      <c r="V24" s="115"/>
      <c r="Y24" s="29"/>
    </row>
    <row r="25" spans="1:25" ht="75" customHeight="1">
      <c r="A25" s="94">
        <f>A23+2</f>
        <v>30</v>
      </c>
      <c r="B25" s="95">
        <f ca="1">INDIRECT("Dati!R12C"&amp;A25,FALSE)</f>
        <v>14</v>
      </c>
      <c r="C25" s="95" t="str">
        <f ca="1">INDIRECT("Dati!R15C"&amp;A25,FALSE)</f>
        <v>KPI 1.7</v>
      </c>
      <c r="D25" s="98" t="str">
        <f ca="1">INDIRECT("Dati!R16C"&amp;A25,FALSE)</f>
        <v>Se esistono postazioni mobili o supporti dati che vengono trasportati oltre i confini del luogo di lavoro dell'amministrazione, vengono adottati sistemi software per impedire l'accesso ai dati da parte di persone non autorizzate?</v>
      </c>
      <c r="E25" s="43"/>
      <c r="F25" s="112"/>
      <c r="G25" s="113"/>
      <c r="H25" s="50"/>
      <c r="I25" s="41" t="str">
        <f ca="1">INDIRECT(ADDRESS(I$2,$A25,1,TRUE,"Dati"))</f>
        <v>Esistono postazioni mobili o supporti dati rimuovibili con sistemi di prevenzione degli accessi</v>
      </c>
      <c r="J25" s="41" t="str">
        <f ca="1">INDIRECT(ADDRESS(J$2,$A25,1,TRUE,"Dati"))</f>
        <v>Esistono postazioni mobili o supporti dati rimuovibili senza sistemi di prevenzione degli accessi</v>
      </c>
      <c r="K25" s="41" t="str">
        <f ca="1">INDIRECT(ADDRESS(K$2,$A25,1,TRUE,"Dati"))</f>
        <v>N.R.</v>
      </c>
      <c r="L25" s="41" t="str">
        <f ca="1">INDIRECT(ADDRESS(L$2,$A25,1,TRUE,"Dati"))</f>
        <v>Non esistono postazioni mobili o impiego di supporti dati rimuovibili</v>
      </c>
      <c r="M25" s="41"/>
      <c r="N25" s="41"/>
      <c r="O25" s="55"/>
      <c r="P25" s="55"/>
      <c r="Q25" s="55"/>
      <c r="R25" s="55"/>
      <c r="S25" s="55"/>
      <c r="T25" s="115"/>
      <c r="U25" s="115"/>
      <c r="V25" s="115"/>
      <c r="Y25" s="29"/>
    </row>
    <row r="26" spans="1:25" ht="15" customHeight="1">
      <c r="A26" s="94"/>
      <c r="B26" s="95"/>
      <c r="C26" s="95"/>
      <c r="D26" s="98"/>
      <c r="E26" s="43"/>
      <c r="F26" s="112"/>
      <c r="G26" s="50"/>
      <c r="H26" s="50">
        <f ca="1">SUM(I26:Q26)</f>
        <v>46</v>
      </c>
      <c r="I26" s="39">
        <f ca="1">COUNTIF(INDIRECT(ADDRESS($G$2,$A25,1,TRUE,"Dati") &amp;":"&amp; ADDRESS($H$2,$A25,1,TRUE)), "="&amp;T(I25))</f>
        <v>18</v>
      </c>
      <c r="J26" s="273">
        <f ca="1">COUNTIF(INDIRECT(ADDRESS($G$2,$A25,1,TRUE,"Dati") &amp;":"&amp; ADDRESS($H$2,$A25,1,TRUE)), "="&amp;T(J25))</f>
        <v>13</v>
      </c>
      <c r="K26" s="271">
        <f ca="1">COUNTIF(INDIRECT(ADDRESS($G$2,$A25,1,TRUE,"Dati") &amp;":"&amp; ADDRESS($H$2,$A25,1,TRUE)), "="&amp;T(K25))</f>
        <v>7</v>
      </c>
      <c r="L26" s="39">
        <f ca="1">COUNTIF(INDIRECT(ADDRESS($G$2,$A25,1,TRUE,"Dati") &amp;":"&amp; ADDRESS($H$2,$A25,1,TRUE)), "="&amp;T(L25))</f>
        <v>8</v>
      </c>
      <c r="M26" s="55"/>
      <c r="N26" s="55"/>
      <c r="O26" s="55"/>
      <c r="P26" s="55"/>
      <c r="Q26" s="55"/>
      <c r="R26" s="55"/>
      <c r="S26" s="55"/>
      <c r="T26" s="115"/>
      <c r="U26" s="115"/>
      <c r="V26" s="115"/>
      <c r="Y26" s="29"/>
    </row>
    <row r="27" spans="1:25" ht="75" customHeight="1">
      <c r="A27" s="94">
        <f>A25+2</f>
        <v>32</v>
      </c>
      <c r="B27" s="95">
        <f ca="1">INDIRECT("Dati!R12C"&amp;A27,FALSE)</f>
        <v>15</v>
      </c>
      <c r="C27" s="95" t="str">
        <f ca="1">INDIRECT("Dati!R15C"&amp;A27,FALSE)</f>
        <v>KPI 1.8</v>
      </c>
      <c r="D27" s="98" t="str">
        <f ca="1">INDIRECT("Dati!R16C"&amp;A27,FALSE)</f>
        <v xml:space="preserve">Sono state definite ed adottate tecnologie e procedure per il backup centralizzato ? </v>
      </c>
      <c r="E27" s="43"/>
      <c r="F27" s="112"/>
      <c r="G27" s="113"/>
      <c r="H27" s="50"/>
      <c r="I27" s="41" t="str">
        <f ca="1">INDIRECT(ADDRESS(I$2,$A27,1,TRUE,"Dati"))</f>
        <v>--</v>
      </c>
      <c r="J27" s="41" t="str">
        <f ca="1">INDIRECT(ADDRESS(J$2,$A27,1,TRUE,"Dati"))</f>
        <v>NO</v>
      </c>
      <c r="K27" s="41" t="str">
        <f ca="1">INDIRECT(ADDRESS(K$2,$A27,1,TRUE,"Dati"))</f>
        <v>SI</v>
      </c>
      <c r="L27" s="114"/>
      <c r="M27" s="114"/>
      <c r="N27" s="55"/>
      <c r="O27" s="55"/>
      <c r="P27" s="55"/>
      <c r="Q27" s="55"/>
      <c r="R27" s="55"/>
      <c r="S27" s="55"/>
      <c r="T27" s="115"/>
      <c r="U27" s="115"/>
      <c r="V27" s="115"/>
      <c r="Y27" s="29"/>
    </row>
    <row r="28" spans="1:25" ht="15" customHeight="1">
      <c r="A28" s="94"/>
      <c r="B28" s="95"/>
      <c r="C28" s="95"/>
      <c r="D28" s="98"/>
      <c r="E28" s="43"/>
      <c r="F28" s="112"/>
      <c r="G28" s="113"/>
      <c r="H28" s="50">
        <f ca="1">SUM(I28:Q28)</f>
        <v>46</v>
      </c>
      <c r="I28" s="39">
        <f ca="1">COUNTIF(INDIRECT(ADDRESS($G$2,$A27,1,TRUE,"Dati") &amp;":"&amp; ADDRESS($H$2,$A27,1,TRUE)), "="&amp;T(I27))</f>
        <v>1</v>
      </c>
      <c r="J28" s="39">
        <f ca="1">COUNTIF(INDIRECT(ADDRESS($G$2,$A27,1,TRUE,"Dati") &amp;":"&amp; ADDRESS($H$2,$A27,1,TRUE)), "="&amp;T(J27))</f>
        <v>1</v>
      </c>
      <c r="K28" s="39">
        <f ca="1">COUNTIF(INDIRECT(ADDRESS($G$2,$A27,1,TRUE,"Dati") &amp;":"&amp; ADDRESS($H$2,$A27,1,TRUE)), "="&amp;T(K27))</f>
        <v>44</v>
      </c>
      <c r="L28" s="55"/>
      <c r="M28" s="55"/>
      <c r="N28" s="55"/>
      <c r="O28" s="55"/>
      <c r="P28" s="55"/>
      <c r="Q28" s="55"/>
      <c r="R28" s="55"/>
      <c r="S28" s="55"/>
      <c r="T28" s="115"/>
      <c r="U28" s="115"/>
      <c r="V28" s="115"/>
      <c r="Y28" s="29"/>
    </row>
    <row r="29" spans="1:25" ht="75" customHeight="1">
      <c r="A29" s="94">
        <f>A27+2</f>
        <v>34</v>
      </c>
      <c r="B29" s="95">
        <f ca="1">INDIRECT("Dati!R12C"&amp;A29,FALSE)</f>
        <v>16</v>
      </c>
      <c r="C29" s="95" t="str">
        <f ca="1">INDIRECT("Dati!R15C"&amp;A29,FALSE)</f>
        <v>KPI 1.8a</v>
      </c>
      <c r="D29" s="98" t="str">
        <f ca="1">INDIRECT("Dati!R16C"&amp;A29,FALSE)</f>
        <v>Se si effettuano regolarmente backup dei sistemi, i supporti usati per il backup vengono custoditi in un locale diverso dalla sala macchine o in un armadio ignifugo?</v>
      </c>
      <c r="E29" s="43"/>
      <c r="F29" s="112"/>
      <c r="G29" s="113"/>
      <c r="H29" s="50"/>
      <c r="I29" s="41" t="str">
        <f ca="1">INDIRECT(ADDRESS(I$2,$A29,1,TRUE,"Dati"))</f>
        <v>--</v>
      </c>
      <c r="J29" s="41" t="str">
        <f ca="1">INDIRECT(ADDRESS(J$2,$A29,1,TRUE,"Dati"))</f>
        <v>NO</v>
      </c>
      <c r="K29" s="41" t="str">
        <f ca="1">INDIRECT(ADDRESS(K$2,$A29,1,TRUE,"Dati"))</f>
        <v>SI</v>
      </c>
      <c r="L29" s="114"/>
      <c r="M29" s="55"/>
      <c r="N29" s="55"/>
      <c r="O29" s="55"/>
      <c r="P29" s="55"/>
      <c r="Q29" s="55"/>
      <c r="R29" s="55"/>
      <c r="S29" s="55"/>
      <c r="T29" s="115"/>
      <c r="U29" s="115"/>
      <c r="V29" s="115"/>
      <c r="Y29" s="29"/>
    </row>
    <row r="30" spans="1:25" ht="15" customHeight="1">
      <c r="A30" s="94"/>
      <c r="B30" s="95"/>
      <c r="C30" s="95"/>
      <c r="D30" s="98"/>
      <c r="E30" s="43"/>
      <c r="F30" s="112"/>
      <c r="G30" s="113"/>
      <c r="H30" s="50">
        <f ca="1">SUM(I30:Q30)</f>
        <v>46</v>
      </c>
      <c r="I30" s="271">
        <f ca="1">COUNTIF(INDIRECT(ADDRESS($G$2,$A29,1,TRUE,"Dati") &amp;":"&amp; ADDRESS($H$2,$A29,1,TRUE)), "="&amp;T(I29))</f>
        <v>5</v>
      </c>
      <c r="J30" s="271">
        <f ca="1">COUNTIF(INDIRECT(ADDRESS($G$2,$A29,1,TRUE,"Dati") &amp;":"&amp; ADDRESS($H$2,$A29,1,TRUE)), "="&amp;T(J29))</f>
        <v>4</v>
      </c>
      <c r="K30" s="39">
        <f ca="1">COUNTIF(INDIRECT(ADDRESS($G$2,$A29,1,TRUE,"Dati") &amp;":"&amp; ADDRESS($H$2,$A29,1,TRUE)), "="&amp;T(K29))</f>
        <v>37</v>
      </c>
      <c r="L30" s="55"/>
      <c r="M30" s="55"/>
      <c r="N30" s="55"/>
      <c r="O30" s="55"/>
      <c r="P30" s="55"/>
      <c r="Q30" s="55"/>
      <c r="R30" s="55"/>
      <c r="S30" s="55"/>
      <c r="T30" s="115"/>
      <c r="U30" s="115"/>
      <c r="V30" s="115"/>
      <c r="Y30" s="29"/>
    </row>
    <row r="31" spans="1:25" ht="75" customHeight="1">
      <c r="A31" s="94">
        <f>A29+2</f>
        <v>36</v>
      </c>
      <c r="B31" s="95">
        <f ca="1">INDIRECT("Dati!R12C"&amp;A31,FALSE)</f>
        <v>17</v>
      </c>
      <c r="C31" s="95" t="str">
        <f ca="1">INDIRECT("Dati!R15C"&amp;A31,FALSE)</f>
        <v>KPI 1.9</v>
      </c>
      <c r="D31" s="98" t="str">
        <f ca="1">INDIRECT("Dati!R16C"&amp;A31,FALSE)</f>
        <v>Viene utilizzato un sistema di controllo accessi per disciplinare l'accesso alle risorse elaborative ?</v>
      </c>
      <c r="E31" s="43"/>
      <c r="F31" s="112"/>
      <c r="G31" s="113"/>
      <c r="H31" s="50"/>
      <c r="I31" s="41" t="str">
        <f ca="1">INDIRECT(ADDRESS(I$2,$A31,1,TRUE,"Dati"))</f>
        <v>--</v>
      </c>
      <c r="J31" s="41" t="str">
        <f ca="1">INDIRECT(ADDRESS(J$2,$A31,1,TRUE,"Dati"))</f>
        <v>NO</v>
      </c>
      <c r="K31" s="41" t="str">
        <f ca="1">INDIRECT(ADDRESS(K$2,$A31,1,TRUE,"Dati"))</f>
        <v>SI</v>
      </c>
      <c r="L31" s="114"/>
      <c r="M31" s="55"/>
      <c r="N31" s="55"/>
      <c r="O31" s="55"/>
      <c r="P31" s="55"/>
      <c r="Q31" s="55"/>
      <c r="R31" s="55"/>
      <c r="S31" s="55"/>
      <c r="T31" s="115"/>
      <c r="U31" s="115"/>
      <c r="V31" s="115"/>
      <c r="Y31" s="29"/>
    </row>
    <row r="32" spans="1:25" ht="15" customHeight="1">
      <c r="A32" s="94"/>
      <c r="B32" s="95"/>
      <c r="C32" s="95"/>
      <c r="D32" s="98"/>
      <c r="E32" s="43"/>
      <c r="F32" s="112"/>
      <c r="G32" s="113"/>
      <c r="H32" s="50">
        <f ca="1">SUM(I32:Q32)</f>
        <v>46</v>
      </c>
      <c r="I32" s="39">
        <f ca="1">COUNTIF(INDIRECT(ADDRESS($G$2,$A31,1,TRUE,"Dati") &amp;":"&amp; ADDRESS($H$2,$A31,1,TRUE)), "="&amp;T(I31))</f>
        <v>2</v>
      </c>
      <c r="J32" s="39">
        <f ca="1">COUNTIF(INDIRECT(ADDRESS($G$2,$A31,1,TRUE,"Dati") &amp;":"&amp; ADDRESS($H$2,$A31,1,TRUE)), "="&amp;T(J31))</f>
        <v>5</v>
      </c>
      <c r="K32" s="39">
        <f ca="1">COUNTIF(INDIRECT(ADDRESS($G$2,$A31,1,TRUE,"Dati") &amp;":"&amp; ADDRESS($H$2,$A31,1,TRUE)), "="&amp;T(K31))</f>
        <v>39</v>
      </c>
      <c r="L32" s="55"/>
      <c r="M32" s="55"/>
      <c r="N32" s="55"/>
      <c r="O32" s="55"/>
      <c r="P32" s="55"/>
      <c r="Q32" s="55"/>
      <c r="R32" s="55"/>
      <c r="S32" s="55"/>
      <c r="T32" s="115"/>
      <c r="U32" s="115"/>
      <c r="V32" s="115"/>
      <c r="Y32" s="29"/>
    </row>
    <row r="33" spans="1:25" ht="27" customHeight="1">
      <c r="A33" s="94"/>
      <c r="B33" s="95"/>
      <c r="C33" s="95"/>
      <c r="D33" s="98"/>
      <c r="E33" s="43"/>
      <c r="F33" s="112"/>
      <c r="G33" s="113"/>
      <c r="H33" s="50"/>
      <c r="I33" s="114"/>
      <c r="J33" s="114"/>
      <c r="K33" s="114"/>
      <c r="L33" s="55"/>
      <c r="M33" s="55"/>
      <c r="N33" s="55"/>
      <c r="O33" s="55"/>
      <c r="P33" s="55"/>
      <c r="Q33" s="55"/>
      <c r="R33" s="55"/>
      <c r="S33" s="55"/>
      <c r="T33" s="115"/>
      <c r="U33" s="115"/>
      <c r="V33" s="115"/>
      <c r="Y33" s="29"/>
    </row>
    <row r="34" spans="1:25" ht="27" customHeight="1">
      <c r="A34" s="94"/>
      <c r="B34" s="95"/>
      <c r="C34" s="95"/>
      <c r="D34" s="98"/>
      <c r="E34" s="43"/>
      <c r="F34" s="112"/>
      <c r="G34" s="113"/>
      <c r="H34" s="50"/>
      <c r="I34" s="39"/>
      <c r="J34" s="55"/>
      <c r="K34" s="39"/>
      <c r="L34" s="55"/>
      <c r="M34" s="55"/>
      <c r="N34" s="55"/>
      <c r="O34" s="55"/>
      <c r="P34" s="55"/>
      <c r="Q34" s="55"/>
      <c r="R34" s="55"/>
      <c r="S34" s="55"/>
      <c r="T34" s="115"/>
      <c r="U34" s="115"/>
      <c r="V34" s="115"/>
      <c r="Y34" s="29"/>
    </row>
    <row r="35" spans="1:25" ht="27" customHeight="1">
      <c r="A35" s="94"/>
      <c r="B35" s="95"/>
      <c r="C35" s="95"/>
      <c r="D35" s="98"/>
      <c r="E35" s="43"/>
      <c r="F35" s="112"/>
      <c r="G35" s="113"/>
      <c r="H35" s="50"/>
      <c r="I35" s="114"/>
      <c r="J35" s="114"/>
      <c r="K35" s="114"/>
      <c r="L35" s="55"/>
      <c r="M35" s="55"/>
      <c r="N35" s="55"/>
      <c r="O35" s="55"/>
      <c r="P35" s="55"/>
      <c r="Q35" s="55"/>
      <c r="R35" s="55"/>
      <c r="S35" s="55"/>
      <c r="T35" s="115"/>
      <c r="U35" s="115"/>
      <c r="V35" s="115"/>
      <c r="Y35" s="29"/>
    </row>
    <row r="36" spans="1:25" ht="27" customHeight="1">
      <c r="A36" s="94"/>
      <c r="B36" s="95"/>
      <c r="C36" s="95"/>
      <c r="D36" s="98"/>
      <c r="E36" s="43"/>
      <c r="F36" s="112"/>
      <c r="G36" s="113"/>
      <c r="H36" s="50"/>
      <c r="I36" s="39"/>
      <c r="J36" s="39"/>
      <c r="K36" s="39"/>
      <c r="M36" s="55"/>
      <c r="N36" s="55"/>
      <c r="O36" s="55"/>
      <c r="P36" s="55"/>
      <c r="Q36" s="55"/>
      <c r="R36" s="55"/>
      <c r="S36" s="55"/>
      <c r="T36" s="115"/>
      <c r="U36" s="115"/>
      <c r="V36" s="115"/>
      <c r="Y36" s="29"/>
    </row>
    <row r="37" spans="1:25" ht="27" customHeight="1">
      <c r="A37" s="94"/>
      <c r="B37" s="95"/>
      <c r="C37" s="95"/>
      <c r="D37" s="98"/>
      <c r="E37" s="43"/>
      <c r="F37" s="112"/>
      <c r="G37" s="113"/>
      <c r="H37" s="50"/>
      <c r="I37" s="114"/>
      <c r="J37" s="114"/>
      <c r="K37" s="114"/>
      <c r="L37" s="55"/>
      <c r="M37" s="55"/>
      <c r="N37" s="55"/>
      <c r="O37" s="55"/>
      <c r="P37" s="55"/>
      <c r="Q37" s="55"/>
      <c r="R37" s="55"/>
      <c r="S37" s="55"/>
      <c r="T37" s="115"/>
      <c r="U37" s="115"/>
      <c r="V37" s="115"/>
      <c r="Y37" s="29"/>
    </row>
    <row r="38" spans="1:25" ht="27" customHeight="1">
      <c r="A38" s="94"/>
      <c r="B38" s="95"/>
      <c r="C38" s="95"/>
      <c r="D38" s="98"/>
      <c r="E38" s="43"/>
      <c r="F38" s="112"/>
      <c r="G38" s="113"/>
      <c r="H38" s="50"/>
      <c r="I38" s="55"/>
      <c r="J38" s="55"/>
      <c r="K38" s="39"/>
      <c r="L38" s="55"/>
      <c r="M38" s="55"/>
      <c r="N38" s="55"/>
      <c r="O38" s="55"/>
      <c r="P38" s="55"/>
      <c r="Q38" s="55"/>
      <c r="R38" s="55"/>
      <c r="S38" s="55"/>
      <c r="T38" s="115"/>
      <c r="U38" s="115"/>
      <c r="V38" s="115"/>
      <c r="Y38" s="29"/>
    </row>
    <row r="39" spans="1:25" ht="27" customHeight="1">
      <c r="A39" s="94"/>
      <c r="B39" s="95"/>
      <c r="C39" s="95"/>
      <c r="D39" s="98"/>
      <c r="E39" s="43"/>
      <c r="F39" s="112"/>
      <c r="G39" s="113"/>
      <c r="H39" s="50"/>
      <c r="I39" s="114"/>
      <c r="J39" s="114"/>
      <c r="K39" s="114"/>
      <c r="L39" s="55"/>
      <c r="M39" s="55"/>
      <c r="N39" s="55"/>
      <c r="O39" s="55"/>
      <c r="P39" s="55"/>
      <c r="Q39" s="55"/>
      <c r="R39" s="55"/>
      <c r="S39" s="55"/>
      <c r="T39" s="115"/>
      <c r="U39" s="115"/>
      <c r="V39" s="115"/>
      <c r="Y39" s="29"/>
    </row>
    <row r="40" spans="1:25" ht="27" customHeight="1">
      <c r="A40" s="94"/>
      <c r="B40" s="95"/>
      <c r="C40" s="95"/>
      <c r="D40" s="98"/>
      <c r="E40" s="43"/>
      <c r="F40" s="112"/>
      <c r="G40" s="113"/>
      <c r="H40" s="50"/>
      <c r="I40" s="39"/>
      <c r="J40" s="39"/>
      <c r="K40" s="55"/>
      <c r="L40" s="55"/>
      <c r="M40" s="55"/>
      <c r="N40" s="55"/>
      <c r="O40" s="55"/>
      <c r="P40" s="55"/>
      <c r="Q40" s="55"/>
      <c r="R40" s="55"/>
      <c r="S40" s="55"/>
      <c r="T40" s="115"/>
      <c r="U40" s="115"/>
      <c r="V40" s="115"/>
      <c r="Y40" s="29"/>
    </row>
    <row r="41" spans="1:25" ht="27" customHeight="1">
      <c r="A41" s="94"/>
      <c r="B41" s="95"/>
      <c r="C41" s="95"/>
      <c r="D41" s="98"/>
      <c r="E41" s="43"/>
      <c r="F41" s="112"/>
      <c r="G41" s="113"/>
      <c r="H41" s="50"/>
      <c r="I41" s="114"/>
      <c r="J41" s="114"/>
      <c r="K41" s="55"/>
      <c r="L41" s="55"/>
      <c r="M41" s="55"/>
      <c r="N41" s="55"/>
      <c r="O41" s="55"/>
      <c r="P41" s="55"/>
      <c r="Q41" s="55"/>
      <c r="R41" s="55"/>
      <c r="S41" s="55"/>
      <c r="T41" s="115"/>
      <c r="U41" s="115"/>
      <c r="V41" s="115"/>
      <c r="Y41" s="29"/>
    </row>
    <row r="42" spans="1:25" ht="27" customHeight="1">
      <c r="A42" s="94"/>
      <c r="B42" s="95"/>
      <c r="C42" s="95"/>
      <c r="D42" s="98"/>
      <c r="E42" s="43"/>
      <c r="F42" s="112"/>
      <c r="G42" s="113"/>
      <c r="H42" s="50"/>
      <c r="I42" s="55"/>
      <c r="J42" s="39"/>
      <c r="K42" s="55"/>
      <c r="L42" s="55"/>
      <c r="M42" s="55"/>
      <c r="N42" s="55"/>
      <c r="O42" s="55"/>
      <c r="P42" s="55"/>
      <c r="Q42" s="55"/>
      <c r="R42" s="55"/>
      <c r="S42" s="55"/>
      <c r="T42" s="115"/>
      <c r="U42" s="115"/>
      <c r="V42" s="115"/>
      <c r="Y42" s="29"/>
    </row>
    <row r="43" spans="1:25" ht="27" customHeight="1">
      <c r="A43" s="94"/>
      <c r="B43" s="95"/>
      <c r="C43" s="95"/>
      <c r="D43" s="98"/>
      <c r="E43" s="43"/>
      <c r="F43" s="112"/>
      <c r="G43" s="113"/>
      <c r="H43" s="50"/>
      <c r="I43" s="114"/>
      <c r="J43" s="114"/>
      <c r="K43" s="114"/>
      <c r="L43" s="55"/>
      <c r="M43" s="55"/>
      <c r="N43" s="55"/>
      <c r="O43" s="55"/>
      <c r="P43" s="55"/>
      <c r="Q43" s="55"/>
      <c r="R43" s="55"/>
      <c r="S43" s="55"/>
      <c r="T43" s="115"/>
      <c r="U43" s="115"/>
      <c r="V43" s="115"/>
      <c r="Y43" s="29"/>
    </row>
    <row r="44" spans="1:25" ht="27" customHeight="1">
      <c r="A44" s="94"/>
      <c r="B44" s="95"/>
      <c r="C44" s="95"/>
      <c r="D44" s="98"/>
      <c r="E44" s="43"/>
      <c r="F44" s="112"/>
      <c r="G44" s="113"/>
      <c r="H44" s="50"/>
      <c r="I44" s="39"/>
      <c r="J44" s="55"/>
      <c r="K44" s="39"/>
      <c r="L44" s="55"/>
      <c r="M44" s="55"/>
      <c r="N44" s="55"/>
      <c r="O44" s="55"/>
      <c r="P44" s="55"/>
      <c r="Q44" s="55"/>
      <c r="R44" s="55"/>
      <c r="S44" s="55"/>
      <c r="T44" s="115"/>
      <c r="U44" s="115"/>
      <c r="V44" s="115"/>
      <c r="Y44" s="29"/>
    </row>
    <row r="45" spans="1:25" ht="27" customHeight="1">
      <c r="A45" s="94"/>
      <c r="B45" s="95"/>
      <c r="C45" s="95"/>
      <c r="D45" s="98"/>
      <c r="E45" s="43"/>
      <c r="F45" s="112"/>
      <c r="G45" s="113"/>
      <c r="H45" s="50"/>
      <c r="I45" s="114"/>
      <c r="J45" s="114"/>
      <c r="K45" s="55"/>
      <c r="L45" s="55"/>
      <c r="M45" s="55"/>
      <c r="N45" s="55"/>
      <c r="O45" s="55"/>
      <c r="P45" s="55"/>
      <c r="Q45" s="55"/>
      <c r="R45" s="55"/>
      <c r="S45" s="55"/>
      <c r="T45" s="115"/>
      <c r="U45" s="115"/>
      <c r="V45" s="115"/>
      <c r="Y45" s="29"/>
    </row>
    <row r="46" spans="1:25" ht="27" customHeight="1">
      <c r="A46" s="94"/>
      <c r="B46" s="95"/>
      <c r="C46" s="95"/>
      <c r="D46" s="98"/>
      <c r="E46" s="43"/>
      <c r="F46" s="112"/>
      <c r="G46" s="113"/>
      <c r="H46" s="50"/>
      <c r="I46" s="55"/>
      <c r="J46" s="39"/>
      <c r="K46" s="55"/>
      <c r="L46" s="55"/>
      <c r="M46" s="55"/>
      <c r="N46" s="55"/>
      <c r="O46" s="55"/>
      <c r="P46" s="55"/>
      <c r="Q46" s="55"/>
      <c r="R46" s="55"/>
      <c r="S46" s="55"/>
      <c r="T46" s="115"/>
      <c r="U46" s="115"/>
      <c r="V46" s="115"/>
      <c r="Y46" s="29"/>
    </row>
    <row r="47" spans="1:25" ht="27" customHeight="1">
      <c r="A47" s="94"/>
      <c r="B47" s="95"/>
      <c r="C47" s="95"/>
      <c r="D47" s="98"/>
      <c r="E47" s="43"/>
      <c r="F47" s="112"/>
      <c r="G47" s="113"/>
      <c r="H47" s="50"/>
      <c r="I47" s="114"/>
      <c r="J47" s="114"/>
      <c r="K47" s="55"/>
      <c r="L47" s="55"/>
      <c r="M47" s="55"/>
      <c r="N47" s="55"/>
      <c r="O47" s="55"/>
      <c r="P47" s="55"/>
      <c r="Q47" s="55"/>
      <c r="R47" s="55"/>
      <c r="S47" s="55"/>
      <c r="T47" s="115"/>
      <c r="U47" s="115"/>
      <c r="V47" s="115"/>
      <c r="Y47" s="29"/>
    </row>
    <row r="48" spans="1:25" ht="27" customHeight="1">
      <c r="A48" s="94"/>
      <c r="B48" s="95"/>
      <c r="C48" s="95"/>
      <c r="D48" s="98"/>
      <c r="E48" s="43"/>
      <c r="F48" s="112"/>
      <c r="G48" s="113"/>
      <c r="H48" s="50"/>
      <c r="I48" s="55"/>
      <c r="J48" s="39"/>
      <c r="K48" s="55"/>
      <c r="L48" s="55"/>
      <c r="M48" s="55"/>
      <c r="N48" s="55"/>
      <c r="O48" s="55"/>
      <c r="P48" s="55"/>
      <c r="Q48" s="55"/>
      <c r="R48" s="55"/>
      <c r="S48" s="55"/>
      <c r="T48" s="115"/>
      <c r="U48" s="115"/>
      <c r="V48" s="115"/>
      <c r="Y48" s="29"/>
    </row>
    <row r="49" spans="1:25" ht="27" customHeight="1">
      <c r="A49" s="94"/>
      <c r="B49" s="95"/>
      <c r="C49" s="95"/>
      <c r="D49" s="98"/>
      <c r="E49" s="43"/>
      <c r="F49" s="112"/>
      <c r="G49" s="113"/>
      <c r="H49" s="50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115"/>
      <c r="U49" s="115"/>
      <c r="V49" s="115"/>
      <c r="Y49" s="29"/>
    </row>
    <row r="50" spans="1:25" ht="27" customHeight="1">
      <c r="A50" s="94"/>
      <c r="B50" s="96"/>
      <c r="C50" s="95"/>
      <c r="D50" s="98"/>
      <c r="E50" s="43"/>
      <c r="F50" s="112"/>
      <c r="G50" s="113"/>
      <c r="H50" s="50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115"/>
      <c r="U50" s="115"/>
      <c r="V50" s="115"/>
      <c r="Y50" s="29"/>
    </row>
    <row r="51" spans="1:25" ht="27" customHeight="1">
      <c r="A51" s="94"/>
      <c r="B51" s="95"/>
      <c r="C51" s="95"/>
      <c r="D51" s="98"/>
      <c r="E51" s="43"/>
      <c r="F51" s="112"/>
      <c r="G51" s="113"/>
      <c r="H51" s="50"/>
      <c r="I51" s="114"/>
      <c r="J51" s="114"/>
      <c r="K51" s="114"/>
      <c r="L51" s="55"/>
      <c r="M51" s="55"/>
      <c r="N51" s="55"/>
      <c r="O51" s="55"/>
      <c r="P51" s="55"/>
      <c r="Q51" s="55"/>
      <c r="R51" s="55"/>
      <c r="S51" s="55"/>
      <c r="T51" s="115"/>
      <c r="U51" s="115"/>
      <c r="V51" s="115"/>
      <c r="Y51" s="29"/>
    </row>
    <row r="52" spans="1:25" ht="27" customHeight="1">
      <c r="A52" s="94"/>
      <c r="B52" s="95"/>
      <c r="C52" s="95"/>
      <c r="D52" s="98"/>
      <c r="E52" s="43"/>
      <c r="F52" s="112"/>
      <c r="G52" s="113"/>
      <c r="H52" s="50"/>
      <c r="I52" s="39"/>
      <c r="J52" s="55"/>
      <c r="K52" s="39"/>
      <c r="L52" s="55"/>
      <c r="M52" s="55"/>
      <c r="N52" s="55"/>
      <c r="O52" s="55"/>
      <c r="P52" s="55"/>
      <c r="Q52" s="55"/>
      <c r="R52" s="55"/>
      <c r="S52" s="55"/>
      <c r="T52" s="115"/>
      <c r="U52" s="115"/>
      <c r="V52" s="115"/>
      <c r="Y52" s="29"/>
    </row>
    <row r="53" spans="1:25" ht="27" customHeight="1">
      <c r="A53" s="94"/>
      <c r="B53" s="95"/>
      <c r="C53" s="95"/>
      <c r="D53" s="98"/>
      <c r="E53" s="43"/>
      <c r="F53" s="112"/>
      <c r="G53" s="113"/>
      <c r="H53" s="50"/>
      <c r="I53" s="114"/>
      <c r="J53" s="114"/>
      <c r="K53" s="114"/>
      <c r="L53" s="114"/>
      <c r="M53" s="55"/>
      <c r="N53" s="55"/>
      <c r="O53" s="55"/>
      <c r="P53" s="55"/>
      <c r="Q53" s="55"/>
      <c r="R53" s="55"/>
      <c r="S53" s="55"/>
      <c r="T53" s="115"/>
      <c r="U53" s="115"/>
      <c r="V53" s="115"/>
      <c r="Y53" s="29"/>
    </row>
    <row r="54" spans="1:25" ht="27" customHeight="1">
      <c r="A54" s="94"/>
      <c r="B54" s="95"/>
      <c r="C54" s="95"/>
      <c r="D54" s="98"/>
      <c r="E54" s="43"/>
      <c r="F54" s="112"/>
      <c r="G54" s="113"/>
      <c r="H54" s="50"/>
      <c r="I54" s="39"/>
      <c r="J54" s="55"/>
      <c r="K54" s="55"/>
      <c r="L54" s="39"/>
      <c r="M54" s="55"/>
      <c r="N54" s="55"/>
      <c r="O54" s="55"/>
      <c r="P54" s="55"/>
      <c r="Q54" s="55"/>
      <c r="R54" s="55"/>
      <c r="S54" s="55"/>
      <c r="T54" s="115"/>
      <c r="U54" s="115"/>
      <c r="V54" s="115"/>
      <c r="Y54" s="29"/>
    </row>
    <row r="55" spans="1:25" ht="27" customHeight="1">
      <c r="A55" s="94"/>
      <c r="B55" s="95"/>
      <c r="C55" s="95"/>
      <c r="D55" s="98"/>
      <c r="E55" s="43"/>
      <c r="F55" s="112"/>
      <c r="G55" s="113"/>
      <c r="H55" s="120"/>
      <c r="I55" s="114"/>
      <c r="J55" s="114"/>
      <c r="K55" s="114"/>
      <c r="L55" s="114"/>
      <c r="M55" s="55"/>
      <c r="N55" s="55"/>
      <c r="O55" s="55"/>
      <c r="P55" s="55"/>
      <c r="Q55" s="55"/>
      <c r="R55" s="55"/>
      <c r="S55" s="55"/>
      <c r="T55" s="115"/>
      <c r="U55" s="115"/>
      <c r="V55" s="115"/>
      <c r="Y55" s="29"/>
    </row>
    <row r="56" spans="1:25" ht="27" customHeight="1">
      <c r="A56" s="94"/>
      <c r="B56" s="95"/>
      <c r="C56" s="95"/>
      <c r="D56" s="98"/>
      <c r="E56" s="43"/>
      <c r="F56" s="112"/>
      <c r="G56" s="113"/>
      <c r="H56" s="122"/>
      <c r="I56" s="39"/>
      <c r="J56" s="121"/>
      <c r="K56" s="121"/>
      <c r="L56" s="39"/>
      <c r="M56" s="55"/>
      <c r="N56" s="55"/>
      <c r="O56" s="55"/>
      <c r="P56" s="55"/>
      <c r="Q56" s="55"/>
      <c r="R56" s="55"/>
      <c r="S56" s="55"/>
      <c r="T56" s="115"/>
      <c r="U56" s="115"/>
      <c r="V56" s="115"/>
      <c r="Y56" s="29"/>
    </row>
    <row r="57" spans="1:25" ht="27" customHeight="1">
      <c r="A57" s="94"/>
      <c r="B57" s="95"/>
      <c r="C57" s="95"/>
      <c r="D57" s="98"/>
      <c r="E57" s="43"/>
      <c r="F57" s="112"/>
      <c r="G57" s="113"/>
      <c r="H57" s="122"/>
      <c r="I57" s="114"/>
      <c r="J57" s="114"/>
      <c r="K57" s="114"/>
      <c r="L57" s="123"/>
      <c r="M57" s="55"/>
      <c r="N57" s="55"/>
      <c r="O57" s="55"/>
      <c r="P57" s="55"/>
      <c r="Q57" s="55"/>
      <c r="R57" s="55"/>
      <c r="S57" s="55"/>
      <c r="T57" s="115"/>
      <c r="U57" s="115"/>
      <c r="V57" s="115"/>
      <c r="Y57" s="29"/>
    </row>
    <row r="58" spans="1:25" ht="27" customHeight="1">
      <c r="A58" s="94"/>
      <c r="B58" s="95"/>
      <c r="C58" s="95"/>
      <c r="D58" s="98"/>
      <c r="E58" s="43"/>
      <c r="F58" s="112"/>
      <c r="G58" s="113"/>
      <c r="H58" s="50"/>
      <c r="I58" s="39"/>
      <c r="J58" s="55"/>
      <c r="K58" s="39"/>
      <c r="L58" s="55"/>
      <c r="M58" s="55"/>
      <c r="N58" s="55"/>
      <c r="O58" s="55"/>
      <c r="P58" s="55"/>
      <c r="Q58" s="55"/>
      <c r="R58" s="55"/>
      <c r="S58" s="55"/>
      <c r="T58" s="115"/>
      <c r="U58" s="115"/>
      <c r="V58" s="115"/>
      <c r="Y58" s="29"/>
    </row>
    <row r="59" spans="1:25" ht="27" customHeight="1">
      <c r="A59" s="94"/>
      <c r="B59" s="95"/>
      <c r="C59" s="95"/>
      <c r="D59" s="98"/>
      <c r="E59" s="43"/>
      <c r="F59" s="112"/>
      <c r="G59" s="113"/>
      <c r="H59" s="50"/>
      <c r="I59" s="114"/>
      <c r="J59" s="114"/>
      <c r="K59" s="114"/>
      <c r="L59" s="55"/>
      <c r="M59" s="55"/>
      <c r="N59" s="55"/>
      <c r="O59" s="55"/>
      <c r="P59" s="55"/>
      <c r="Q59" s="55"/>
      <c r="R59" s="55"/>
      <c r="S59" s="55"/>
      <c r="T59" s="115"/>
      <c r="U59" s="115"/>
      <c r="V59" s="115"/>
      <c r="Y59" s="29"/>
    </row>
    <row r="60" spans="1:25" ht="27" customHeight="1">
      <c r="A60" s="94"/>
      <c r="B60" s="95"/>
      <c r="C60" s="95"/>
      <c r="D60" s="98"/>
      <c r="E60" s="43"/>
      <c r="F60" s="112"/>
      <c r="G60" s="113"/>
      <c r="H60" s="50"/>
      <c r="I60" s="39"/>
      <c r="J60" s="55"/>
      <c r="K60" s="39"/>
      <c r="L60" s="55"/>
      <c r="M60" s="55"/>
      <c r="N60" s="55"/>
      <c r="O60" s="55"/>
      <c r="P60" s="55"/>
      <c r="Q60" s="55"/>
      <c r="R60" s="55"/>
      <c r="S60" s="55"/>
      <c r="T60" s="115"/>
      <c r="U60" s="115"/>
      <c r="V60" s="115"/>
      <c r="Y60" s="29"/>
    </row>
    <row r="61" spans="1:25" ht="27" customHeight="1">
      <c r="A61" s="94"/>
      <c r="B61" s="95"/>
      <c r="C61" s="95"/>
      <c r="D61" s="98"/>
      <c r="E61" s="43"/>
      <c r="F61" s="112"/>
      <c r="G61" s="113"/>
      <c r="H61" s="50"/>
      <c r="I61" s="114"/>
      <c r="J61" s="114"/>
      <c r="K61" s="114"/>
      <c r="L61" s="114"/>
      <c r="M61" s="114"/>
      <c r="N61" s="55"/>
      <c r="O61" s="55"/>
      <c r="P61" s="55"/>
      <c r="Q61" s="55"/>
      <c r="R61" s="55"/>
      <c r="S61" s="55"/>
      <c r="T61" s="115"/>
      <c r="U61" s="115"/>
      <c r="V61" s="115"/>
      <c r="Y61" s="29"/>
    </row>
    <row r="62" spans="1:25" ht="27" customHeight="1">
      <c r="A62" s="94"/>
      <c r="B62" s="95"/>
      <c r="C62" s="95"/>
      <c r="D62" s="98"/>
      <c r="E62" s="43"/>
      <c r="F62" s="112"/>
      <c r="G62" s="113"/>
      <c r="H62" s="50"/>
      <c r="I62" s="39"/>
      <c r="J62" s="55"/>
      <c r="K62" s="39"/>
      <c r="L62" s="55"/>
      <c r="M62" s="55"/>
      <c r="N62" s="55"/>
      <c r="O62" s="55"/>
      <c r="P62" s="55"/>
      <c r="Q62" s="55"/>
      <c r="R62" s="55"/>
      <c r="S62" s="55"/>
      <c r="T62" s="115"/>
      <c r="U62" s="115"/>
      <c r="V62" s="115"/>
      <c r="Y62" s="29"/>
    </row>
    <row r="63" spans="1:25" ht="27" customHeight="1">
      <c r="A63" s="94"/>
      <c r="B63" s="95"/>
      <c r="C63" s="95"/>
      <c r="D63" s="98"/>
      <c r="E63" s="43"/>
      <c r="F63" s="112"/>
      <c r="G63" s="113"/>
      <c r="H63" s="50"/>
      <c r="I63" s="114"/>
      <c r="J63" s="114"/>
      <c r="K63" s="114"/>
      <c r="L63" s="55"/>
      <c r="M63" s="55"/>
      <c r="N63" s="55"/>
      <c r="O63" s="55"/>
      <c r="P63" s="55"/>
      <c r="Q63" s="55"/>
      <c r="R63" s="55"/>
      <c r="S63" s="55"/>
      <c r="T63" s="115"/>
      <c r="U63" s="115"/>
      <c r="V63" s="115"/>
      <c r="Y63" s="29"/>
    </row>
    <row r="64" spans="1:25" ht="27" customHeight="1">
      <c r="A64" s="94"/>
      <c r="B64" s="95"/>
      <c r="C64" s="95"/>
      <c r="D64" s="98"/>
      <c r="E64" s="43"/>
      <c r="F64" s="112"/>
      <c r="G64" s="113"/>
      <c r="H64" s="50"/>
      <c r="I64" s="39"/>
      <c r="J64" s="55"/>
      <c r="K64" s="39"/>
      <c r="L64" s="55"/>
      <c r="M64" s="55"/>
      <c r="N64" s="55"/>
      <c r="O64" s="55"/>
      <c r="P64" s="55"/>
      <c r="Q64" s="55"/>
      <c r="R64" s="55"/>
      <c r="S64" s="55"/>
      <c r="T64" s="115"/>
      <c r="U64" s="115"/>
      <c r="V64" s="115"/>
      <c r="Y64" s="29"/>
    </row>
    <row r="65" spans="1:25" ht="27" customHeight="1">
      <c r="A65" s="94"/>
      <c r="B65" s="95"/>
      <c r="C65" s="95"/>
      <c r="D65" s="98"/>
      <c r="E65" s="43"/>
      <c r="F65" s="112"/>
      <c r="G65" s="113"/>
      <c r="H65" s="50"/>
      <c r="I65" s="114"/>
      <c r="J65" s="114"/>
      <c r="K65" s="114"/>
      <c r="L65" s="114"/>
      <c r="M65" s="114"/>
      <c r="N65" s="55"/>
      <c r="O65" s="55"/>
      <c r="P65" s="55"/>
      <c r="Q65" s="55"/>
      <c r="R65" s="55"/>
      <c r="S65" s="55"/>
      <c r="T65" s="115"/>
      <c r="U65" s="115"/>
      <c r="V65" s="115"/>
      <c r="Y65" s="29"/>
    </row>
    <row r="66" spans="1:25" ht="27" customHeight="1">
      <c r="A66" s="94"/>
      <c r="B66" s="95"/>
      <c r="C66" s="95"/>
      <c r="D66" s="98"/>
      <c r="E66" s="43"/>
      <c r="F66" s="112"/>
      <c r="G66" s="113"/>
      <c r="H66" s="50"/>
      <c r="I66" s="39"/>
      <c r="J66" s="55"/>
      <c r="K66" s="39"/>
      <c r="L66" s="55"/>
      <c r="M66" s="55"/>
      <c r="N66" s="55"/>
      <c r="O66" s="55"/>
      <c r="P66" s="55"/>
      <c r="Q66" s="55"/>
      <c r="R66" s="55"/>
      <c r="S66" s="55"/>
      <c r="T66" s="115"/>
      <c r="U66" s="115"/>
      <c r="V66" s="115"/>
      <c r="Y66" s="29"/>
    </row>
    <row r="67" spans="1:25" ht="27" customHeight="1">
      <c r="A67" s="94"/>
      <c r="B67" s="95"/>
      <c r="C67" s="95"/>
      <c r="D67" s="98"/>
      <c r="E67" s="43"/>
      <c r="F67" s="112"/>
      <c r="G67" s="113"/>
      <c r="H67" s="50"/>
      <c r="I67" s="114"/>
      <c r="J67" s="114"/>
      <c r="K67" s="114"/>
      <c r="L67" s="114"/>
      <c r="M67" s="55"/>
      <c r="N67" s="55"/>
      <c r="O67" s="55"/>
      <c r="P67" s="55"/>
      <c r="Q67" s="55"/>
      <c r="R67" s="55"/>
      <c r="S67" s="55"/>
      <c r="T67" s="115"/>
      <c r="U67" s="115"/>
      <c r="V67" s="115"/>
      <c r="Y67" s="29"/>
    </row>
    <row r="68" spans="1:25" ht="27" customHeight="1">
      <c r="A68" s="94"/>
      <c r="B68" s="95"/>
      <c r="C68" s="95"/>
      <c r="D68" s="98"/>
      <c r="E68" s="43"/>
      <c r="F68" s="112"/>
      <c r="G68" s="113"/>
      <c r="H68" s="50"/>
      <c r="I68" s="39"/>
      <c r="J68" s="39"/>
      <c r="K68" s="55"/>
      <c r="L68" s="39"/>
      <c r="M68" s="55"/>
      <c r="N68" s="55"/>
      <c r="O68" s="55"/>
      <c r="P68" s="55"/>
      <c r="Q68" s="55"/>
      <c r="R68" s="55"/>
      <c r="S68" s="55"/>
      <c r="T68" s="115"/>
      <c r="U68" s="115"/>
      <c r="V68" s="115"/>
      <c r="Y68" s="29"/>
    </row>
    <row r="69" spans="1:25" ht="27" customHeight="1">
      <c r="A69" s="94"/>
      <c r="B69" s="95"/>
      <c r="C69" s="95"/>
      <c r="D69" s="98"/>
      <c r="E69" s="43"/>
      <c r="F69" s="112"/>
      <c r="G69" s="113"/>
      <c r="H69" s="50"/>
      <c r="I69" s="114"/>
      <c r="J69" s="114"/>
      <c r="K69" s="114"/>
      <c r="L69" s="114"/>
      <c r="M69" s="114"/>
      <c r="N69" s="55"/>
      <c r="O69" s="55"/>
      <c r="P69" s="55"/>
      <c r="Q69" s="55"/>
      <c r="R69" s="55"/>
      <c r="S69" s="55"/>
      <c r="T69" s="115"/>
      <c r="U69" s="115"/>
      <c r="V69" s="115"/>
      <c r="Y69" s="29"/>
    </row>
    <row r="70" spans="1:25" ht="27" customHeight="1">
      <c r="A70" s="94"/>
      <c r="B70" s="95"/>
      <c r="C70" s="95"/>
      <c r="D70" s="98"/>
      <c r="E70" s="43"/>
      <c r="F70" s="112"/>
      <c r="G70" s="113"/>
      <c r="H70" s="50"/>
      <c r="I70" s="55"/>
      <c r="J70" s="39"/>
      <c r="K70" s="39"/>
      <c r="L70" s="55"/>
      <c r="M70" s="55"/>
      <c r="N70" s="55"/>
      <c r="O70" s="55"/>
      <c r="P70" s="55"/>
      <c r="Q70" s="55"/>
      <c r="R70" s="55"/>
      <c r="S70" s="55"/>
      <c r="T70" s="115"/>
      <c r="U70" s="115"/>
      <c r="V70" s="115"/>
      <c r="Y70" s="29"/>
    </row>
    <row r="71" spans="1:25" ht="27" customHeight="1">
      <c r="A71" s="94"/>
      <c r="B71" s="95"/>
      <c r="C71" s="95"/>
      <c r="D71" s="98"/>
      <c r="E71" s="43"/>
      <c r="F71" s="112"/>
      <c r="G71" s="113"/>
      <c r="H71" s="50"/>
      <c r="I71" s="114"/>
      <c r="J71" s="114"/>
      <c r="K71" s="55"/>
      <c r="L71" s="55"/>
      <c r="M71" s="55"/>
      <c r="N71" s="55"/>
      <c r="O71" s="55"/>
      <c r="P71" s="55"/>
      <c r="Q71" s="55"/>
      <c r="R71" s="55"/>
      <c r="S71" s="55"/>
      <c r="T71" s="115"/>
      <c r="U71" s="115"/>
      <c r="V71" s="115"/>
      <c r="Y71" s="29"/>
    </row>
    <row r="72" spans="1:25" ht="27" customHeight="1">
      <c r="A72" s="94"/>
      <c r="B72" s="95"/>
      <c r="C72" s="95"/>
      <c r="D72" s="98"/>
      <c r="E72" s="43"/>
      <c r="F72" s="112"/>
      <c r="G72" s="113"/>
      <c r="H72" s="50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/>
      <c r="T72" s="115"/>
      <c r="U72" s="115"/>
      <c r="V72" s="115"/>
      <c r="Y72" s="29"/>
    </row>
    <row r="73" spans="1:25" ht="27" customHeight="1">
      <c r="A73" s="94"/>
      <c r="B73" s="95"/>
      <c r="C73" s="95"/>
      <c r="D73" s="98"/>
      <c r="E73" s="43"/>
      <c r="F73" s="112"/>
      <c r="G73" s="113"/>
      <c r="H73" s="50"/>
      <c r="I73" s="114"/>
      <c r="J73" s="114"/>
      <c r="K73" s="55"/>
      <c r="L73" s="55"/>
      <c r="M73" s="55"/>
      <c r="N73" s="55"/>
      <c r="O73" s="55"/>
      <c r="P73" s="55"/>
      <c r="Q73" s="55"/>
      <c r="R73" s="55"/>
      <c r="S73" s="55"/>
      <c r="T73" s="115"/>
      <c r="U73" s="115"/>
      <c r="V73" s="115"/>
      <c r="Y73" s="29"/>
    </row>
    <row r="74" spans="1:25" ht="27" customHeight="1">
      <c r="A74" s="94"/>
      <c r="B74" s="95"/>
      <c r="C74" s="95"/>
      <c r="D74" s="98"/>
      <c r="E74" s="43"/>
      <c r="F74" s="112"/>
      <c r="G74" s="113"/>
      <c r="H74" s="50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115"/>
      <c r="U74" s="115"/>
      <c r="V74" s="115"/>
      <c r="Y74" s="29"/>
    </row>
    <row r="75" spans="1:25" ht="27" customHeight="1">
      <c r="A75" s="94"/>
      <c r="B75" s="95"/>
      <c r="C75" s="95"/>
      <c r="D75" s="98"/>
      <c r="E75" s="43"/>
      <c r="F75" s="112"/>
      <c r="G75" s="113"/>
      <c r="H75" s="50"/>
      <c r="I75" s="114"/>
      <c r="J75" s="114"/>
      <c r="K75" s="55"/>
      <c r="L75" s="55"/>
      <c r="M75" s="55"/>
      <c r="N75" s="55"/>
      <c r="O75" s="55"/>
      <c r="P75" s="55"/>
      <c r="Q75" s="55"/>
      <c r="R75" s="55"/>
      <c r="S75" s="55"/>
      <c r="T75" s="115"/>
      <c r="U75" s="115"/>
      <c r="V75" s="115"/>
      <c r="Y75" s="29"/>
    </row>
    <row r="76" spans="1:25" ht="27" customHeight="1">
      <c r="A76" s="94"/>
      <c r="B76" s="95"/>
      <c r="C76" s="95"/>
      <c r="D76" s="98"/>
      <c r="E76" s="43"/>
      <c r="F76" s="112"/>
      <c r="G76" s="113"/>
      <c r="H76" s="50"/>
      <c r="I76" s="39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115"/>
      <c r="U76" s="115"/>
      <c r="V76" s="115"/>
      <c r="Y76" s="29"/>
    </row>
    <row r="77" spans="1:25" ht="27" customHeight="1">
      <c r="A77" s="94"/>
      <c r="B77" s="95"/>
      <c r="C77" s="95"/>
      <c r="D77" s="98"/>
      <c r="E77" s="43"/>
      <c r="F77" s="112"/>
      <c r="G77" s="113"/>
      <c r="H77" s="50"/>
      <c r="I77" s="114"/>
      <c r="J77" s="114"/>
      <c r="K77" s="55"/>
      <c r="L77" s="55"/>
      <c r="M77" s="55"/>
      <c r="N77" s="55"/>
      <c r="O77" s="55"/>
      <c r="P77" s="55"/>
      <c r="Q77" s="55"/>
      <c r="R77" s="55"/>
      <c r="S77" s="55"/>
      <c r="T77" s="115"/>
      <c r="U77" s="115"/>
      <c r="V77" s="115"/>
      <c r="Y77" s="29"/>
    </row>
    <row r="78" spans="1:25" ht="27" customHeight="1">
      <c r="A78" s="94"/>
      <c r="B78" s="95"/>
      <c r="C78" s="95"/>
      <c r="D78" s="98"/>
      <c r="E78" s="43"/>
      <c r="F78" s="112"/>
      <c r="G78" s="113"/>
      <c r="H78" s="50"/>
      <c r="I78" s="39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115"/>
      <c r="U78" s="115"/>
      <c r="V78" s="115"/>
      <c r="Y78" s="29"/>
    </row>
    <row r="79" spans="1:25" ht="27" customHeight="1">
      <c r="A79" s="94"/>
      <c r="B79" s="95"/>
      <c r="C79" s="95"/>
      <c r="D79" s="98"/>
      <c r="E79" s="43"/>
      <c r="F79" s="112"/>
      <c r="G79" s="113"/>
      <c r="H79" s="50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115"/>
      <c r="U79" s="115"/>
      <c r="V79" s="115"/>
      <c r="Y79" s="29"/>
    </row>
  </sheetData>
  <mergeCells count="4">
    <mergeCell ref="I10:K10"/>
    <mergeCell ref="L10:O10"/>
    <mergeCell ref="P10:S10"/>
    <mergeCell ref="T10:W10"/>
  </mergeCells>
  <phoneticPr fontId="3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 enableFormatConditionsCalculation="0">
    <pageSetUpPr fitToPage="1"/>
  </sheetPr>
  <dimension ref="A1:EP84"/>
  <sheetViews>
    <sheetView topLeftCell="DI19" zoomScale="130" zoomScaleNormal="130" zoomScalePageLayoutView="130" workbookViewId="0">
      <selection activeCell="DT67" sqref="DT67"/>
    </sheetView>
  </sheetViews>
  <sheetFormatPr baseColWidth="10" defaultColWidth="8.83203125" defaultRowHeight="12" x14ac:dyDescent="0"/>
  <cols>
    <col min="1" max="1" width="49" customWidth="1"/>
    <col min="2" max="2" width="5.5" bestFit="1" customWidth="1"/>
    <col min="3" max="3" width="9.33203125" customWidth="1"/>
    <col min="4" max="4" width="18.5" style="34" customWidth="1"/>
    <col min="5" max="5" width="6.6640625" style="34" customWidth="1"/>
    <col min="6" max="37" width="6.6640625" customWidth="1"/>
    <col min="38" max="38" width="4.5" style="181" customWidth="1"/>
    <col min="39" max="52" width="7.6640625" customWidth="1"/>
    <col min="53" max="66" width="7.6640625" style="34" customWidth="1"/>
    <col min="67" max="67" width="4.5" style="34" customWidth="1"/>
    <col min="68" max="83" width="7.6640625" customWidth="1"/>
    <col min="84" max="87" width="7.6640625" style="34" customWidth="1"/>
    <col min="88" max="95" width="7.6640625" customWidth="1"/>
    <col min="96" max="96" width="4.5" style="34" customWidth="1"/>
    <col min="97" max="106" width="7.6640625" customWidth="1"/>
    <col min="107" max="110" width="7.6640625" style="34" customWidth="1"/>
    <col min="111" max="130" width="7.6640625" customWidth="1"/>
    <col min="131" max="131" width="14.33203125" bestFit="1" customWidth="1"/>
    <col min="132" max="132" width="7.6640625" customWidth="1"/>
  </cols>
  <sheetData>
    <row r="1" spans="1:146" ht="9" customHeight="1">
      <c r="A1" s="691" t="s">
        <v>361</v>
      </c>
      <c r="B1" s="338"/>
      <c r="C1" s="274"/>
      <c r="D1" s="206" t="s">
        <v>281</v>
      </c>
      <c r="E1" s="79">
        <v>0</v>
      </c>
      <c r="F1" s="208" t="s">
        <v>281</v>
      </c>
      <c r="G1" s="80">
        <v>0</v>
      </c>
      <c r="H1" s="208" t="s">
        <v>281</v>
      </c>
      <c r="I1" s="80">
        <v>0</v>
      </c>
      <c r="J1" s="210" t="s">
        <v>281</v>
      </c>
      <c r="K1" s="80">
        <v>0</v>
      </c>
      <c r="L1" s="210" t="s">
        <v>281</v>
      </c>
      <c r="M1" s="80">
        <v>0</v>
      </c>
      <c r="N1" s="210" t="s">
        <v>281</v>
      </c>
      <c r="O1" s="80">
        <v>0</v>
      </c>
      <c r="P1" s="210" t="s">
        <v>281</v>
      </c>
      <c r="Q1" s="80">
        <v>0</v>
      </c>
      <c r="R1" s="207" t="s">
        <v>281</v>
      </c>
      <c r="S1" s="80">
        <v>0</v>
      </c>
      <c r="T1" s="208" t="s">
        <v>281</v>
      </c>
      <c r="U1" s="80">
        <v>0</v>
      </c>
      <c r="V1" s="208" t="s">
        <v>281</v>
      </c>
      <c r="W1" s="80">
        <v>0</v>
      </c>
      <c r="X1" s="208" t="s">
        <v>281</v>
      </c>
      <c r="Y1" s="80">
        <v>0</v>
      </c>
      <c r="Z1" s="212" t="s">
        <v>281</v>
      </c>
      <c r="AA1" s="80">
        <v>0</v>
      </c>
      <c r="AB1" s="208" t="s">
        <v>281</v>
      </c>
      <c r="AC1" s="80">
        <v>0</v>
      </c>
      <c r="AD1" s="80" t="s">
        <v>190</v>
      </c>
      <c r="AE1" s="80">
        <v>10</v>
      </c>
      <c r="AF1" s="208" t="s">
        <v>281</v>
      </c>
      <c r="AG1" s="80">
        <v>0</v>
      </c>
      <c r="AH1" s="208" t="s">
        <v>281</v>
      </c>
      <c r="AI1" s="80">
        <v>0</v>
      </c>
      <c r="AJ1" s="208" t="s">
        <v>281</v>
      </c>
      <c r="AK1" s="80">
        <v>0</v>
      </c>
      <c r="AL1" s="180"/>
      <c r="AM1" s="208" t="s">
        <v>281</v>
      </c>
      <c r="AN1" s="80">
        <v>0</v>
      </c>
      <c r="AO1" s="208" t="s">
        <v>281</v>
      </c>
      <c r="AP1" s="80">
        <v>0</v>
      </c>
      <c r="AQ1" s="208" t="s">
        <v>281</v>
      </c>
      <c r="AR1" s="80">
        <v>0</v>
      </c>
      <c r="AS1" s="208" t="s">
        <v>281</v>
      </c>
      <c r="AT1" s="80">
        <v>0</v>
      </c>
      <c r="AU1" s="208" t="s">
        <v>281</v>
      </c>
      <c r="AV1" s="80">
        <v>0</v>
      </c>
      <c r="AW1" s="208" t="s">
        <v>281</v>
      </c>
      <c r="AX1" s="80">
        <v>0</v>
      </c>
      <c r="AY1" s="208" t="s">
        <v>281</v>
      </c>
      <c r="AZ1" s="80">
        <v>0</v>
      </c>
      <c r="BA1" s="208" t="s">
        <v>281</v>
      </c>
      <c r="BB1" s="80">
        <v>0</v>
      </c>
      <c r="BC1" s="208" t="s">
        <v>281</v>
      </c>
      <c r="BD1" s="80">
        <v>0</v>
      </c>
      <c r="BE1" s="208" t="s">
        <v>281</v>
      </c>
      <c r="BF1" s="80">
        <v>0</v>
      </c>
      <c r="BG1" s="208" t="s">
        <v>281</v>
      </c>
      <c r="BH1" s="80">
        <v>0</v>
      </c>
      <c r="BI1" s="208" t="s">
        <v>281</v>
      </c>
      <c r="BJ1" s="80">
        <v>0</v>
      </c>
      <c r="BK1" s="208" t="s">
        <v>281</v>
      </c>
      <c r="BL1" s="80">
        <v>0</v>
      </c>
      <c r="BM1" s="208" t="s">
        <v>281</v>
      </c>
      <c r="BN1" s="80">
        <v>0</v>
      </c>
      <c r="BO1" s="79"/>
      <c r="BP1" s="208" t="s">
        <v>281</v>
      </c>
      <c r="BQ1" s="80">
        <v>0</v>
      </c>
      <c r="BR1" s="208" t="s">
        <v>281</v>
      </c>
      <c r="BS1" s="80">
        <v>0</v>
      </c>
      <c r="BT1" s="208" t="s">
        <v>281</v>
      </c>
      <c r="BU1" s="80">
        <v>0</v>
      </c>
      <c r="BV1" s="208" t="s">
        <v>281</v>
      </c>
      <c r="BW1" s="80">
        <v>0</v>
      </c>
      <c r="BX1" s="208" t="s">
        <v>281</v>
      </c>
      <c r="BY1" s="80">
        <v>0</v>
      </c>
      <c r="BZ1" s="208" t="s">
        <v>281</v>
      </c>
      <c r="CA1" s="80">
        <v>0</v>
      </c>
      <c r="CB1" s="208" t="s">
        <v>281</v>
      </c>
      <c r="CC1" s="80">
        <v>0</v>
      </c>
      <c r="CD1" s="208" t="s">
        <v>281</v>
      </c>
      <c r="CE1" s="80">
        <v>0</v>
      </c>
      <c r="CF1" s="208" t="s">
        <v>281</v>
      </c>
      <c r="CG1" s="80">
        <v>0</v>
      </c>
      <c r="CH1" s="208" t="s">
        <v>281</v>
      </c>
      <c r="CI1" s="80">
        <v>0</v>
      </c>
      <c r="CJ1" s="208" t="s">
        <v>281</v>
      </c>
      <c r="CK1" s="80">
        <v>0</v>
      </c>
      <c r="CL1" s="208" t="s">
        <v>281</v>
      </c>
      <c r="CM1" s="80">
        <v>0</v>
      </c>
      <c r="CN1" s="208" t="s">
        <v>281</v>
      </c>
      <c r="CO1" s="80">
        <v>0</v>
      </c>
      <c r="CP1" s="208" t="s">
        <v>281</v>
      </c>
      <c r="CQ1" s="80">
        <v>0</v>
      </c>
      <c r="CR1" s="79"/>
      <c r="CS1" s="208" t="s">
        <v>281</v>
      </c>
      <c r="CT1" s="80">
        <v>0</v>
      </c>
      <c r="CU1" s="208" t="s">
        <v>281</v>
      </c>
      <c r="CV1" s="80">
        <v>0</v>
      </c>
      <c r="CW1" s="208" t="s">
        <v>281</v>
      </c>
      <c r="CX1" s="80">
        <v>0</v>
      </c>
      <c r="CY1" s="208" t="s">
        <v>281</v>
      </c>
      <c r="CZ1" s="80">
        <v>0</v>
      </c>
      <c r="DA1" s="208" t="s">
        <v>281</v>
      </c>
      <c r="DB1" s="80">
        <v>0</v>
      </c>
      <c r="DC1" s="208" t="s">
        <v>281</v>
      </c>
      <c r="DD1" s="80">
        <v>0</v>
      </c>
      <c r="DE1" s="208" t="s">
        <v>281</v>
      </c>
      <c r="DF1" s="80">
        <v>0</v>
      </c>
      <c r="DG1" s="208" t="s">
        <v>281</v>
      </c>
      <c r="DH1" s="80">
        <v>0</v>
      </c>
      <c r="DI1" s="208" t="s">
        <v>281</v>
      </c>
      <c r="DJ1" s="80">
        <v>0</v>
      </c>
      <c r="DK1" s="208" t="s">
        <v>281</v>
      </c>
      <c r="DL1" s="80">
        <v>0</v>
      </c>
      <c r="DM1" s="208" t="s">
        <v>281</v>
      </c>
      <c r="DN1" s="80">
        <v>0</v>
      </c>
      <c r="DO1" s="208" t="s">
        <v>281</v>
      </c>
      <c r="DP1" s="80">
        <v>0</v>
      </c>
      <c r="DQ1" s="208" t="s">
        <v>281</v>
      </c>
      <c r="DR1" s="80">
        <v>0</v>
      </c>
      <c r="DS1" s="208" t="s">
        <v>281</v>
      </c>
      <c r="DT1" s="80">
        <v>0</v>
      </c>
      <c r="DU1" s="208" t="s">
        <v>281</v>
      </c>
      <c r="DV1" s="80">
        <v>0</v>
      </c>
      <c r="DW1" s="208" t="s">
        <v>281</v>
      </c>
      <c r="DX1" s="80">
        <v>0</v>
      </c>
      <c r="DY1" s="208" t="s">
        <v>281</v>
      </c>
      <c r="DZ1" s="80">
        <v>0</v>
      </c>
      <c r="EA1" s="208" t="s">
        <v>281</v>
      </c>
      <c r="EB1" s="80">
        <v>0</v>
      </c>
      <c r="EC1" s="80"/>
    </row>
    <row r="2" spans="1:146" ht="9" customHeight="1">
      <c r="A2" s="691"/>
      <c r="B2" s="338"/>
      <c r="C2" s="274"/>
      <c r="D2" s="80" t="s">
        <v>255</v>
      </c>
      <c r="E2" s="79">
        <v>6</v>
      </c>
      <c r="F2" s="209" t="s">
        <v>257</v>
      </c>
      <c r="G2" s="80">
        <v>0</v>
      </c>
      <c r="H2" s="209" t="s">
        <v>257</v>
      </c>
      <c r="I2" s="80">
        <v>0</v>
      </c>
      <c r="J2" s="209" t="b">
        <v>0</v>
      </c>
      <c r="K2" s="80">
        <v>0</v>
      </c>
      <c r="L2" s="209" t="b">
        <v>0</v>
      </c>
      <c r="M2" s="80">
        <v>0</v>
      </c>
      <c r="N2" s="209" t="b">
        <v>0</v>
      </c>
      <c r="O2" s="80">
        <v>0</v>
      </c>
      <c r="P2" s="209" t="b">
        <v>0</v>
      </c>
      <c r="Q2" s="80">
        <v>0</v>
      </c>
      <c r="R2" s="80" t="s">
        <v>285</v>
      </c>
      <c r="S2" s="80">
        <v>8</v>
      </c>
      <c r="T2" s="209" t="s">
        <v>257</v>
      </c>
      <c r="U2" s="80">
        <v>0</v>
      </c>
      <c r="V2" s="209" t="s">
        <v>257</v>
      </c>
      <c r="W2" s="80">
        <v>0</v>
      </c>
      <c r="X2" s="209" t="s">
        <v>257</v>
      </c>
      <c r="Y2" s="80">
        <v>0</v>
      </c>
      <c r="Z2" s="211" t="s">
        <v>286</v>
      </c>
      <c r="AA2" s="80">
        <v>10</v>
      </c>
      <c r="AB2" s="209" t="s">
        <v>257</v>
      </c>
      <c r="AC2" s="80">
        <v>0</v>
      </c>
      <c r="AD2" s="80" t="s">
        <v>100</v>
      </c>
      <c r="AE2" s="80">
        <v>0</v>
      </c>
      <c r="AF2" s="209" t="s">
        <v>257</v>
      </c>
      <c r="AG2" s="80">
        <v>0</v>
      </c>
      <c r="AH2" s="209" t="s">
        <v>257</v>
      </c>
      <c r="AI2" s="80">
        <v>0</v>
      </c>
      <c r="AJ2" s="209" t="s">
        <v>257</v>
      </c>
      <c r="AK2" s="80">
        <v>0</v>
      </c>
      <c r="AL2" s="180"/>
      <c r="AM2" s="209" t="s">
        <v>257</v>
      </c>
      <c r="AN2" s="80">
        <v>0</v>
      </c>
      <c r="AO2" s="209" t="s">
        <v>257</v>
      </c>
      <c r="AP2" s="80">
        <v>0</v>
      </c>
      <c r="AQ2" s="209" t="s">
        <v>257</v>
      </c>
      <c r="AR2" s="80">
        <v>0</v>
      </c>
      <c r="AS2" s="209" t="b">
        <v>0</v>
      </c>
      <c r="AT2" s="80">
        <v>0</v>
      </c>
      <c r="AU2" s="209" t="b">
        <v>0</v>
      </c>
      <c r="AV2" s="80">
        <v>0</v>
      </c>
      <c r="AW2" s="209" t="b">
        <v>0</v>
      </c>
      <c r="AX2" s="80">
        <v>0</v>
      </c>
      <c r="AY2" s="209" t="s">
        <v>257</v>
      </c>
      <c r="AZ2" s="80">
        <v>6</v>
      </c>
      <c r="BA2" s="209" t="s">
        <v>291</v>
      </c>
      <c r="BB2" s="80">
        <v>0</v>
      </c>
      <c r="BC2" s="209" t="s">
        <v>257</v>
      </c>
      <c r="BD2" s="80">
        <v>6</v>
      </c>
      <c r="BE2" s="209" t="s">
        <v>7</v>
      </c>
      <c r="BF2" s="80">
        <v>10</v>
      </c>
      <c r="BG2" s="209" t="s">
        <v>257</v>
      </c>
      <c r="BH2" s="80">
        <v>0</v>
      </c>
      <c r="BI2" s="209" t="s">
        <v>257</v>
      </c>
      <c r="BJ2" s="80">
        <v>0</v>
      </c>
      <c r="BK2" s="209" t="s">
        <v>257</v>
      </c>
      <c r="BL2" s="80">
        <v>0</v>
      </c>
      <c r="BM2" s="209" t="s">
        <v>257</v>
      </c>
      <c r="BN2" s="80">
        <v>0</v>
      </c>
      <c r="BO2" s="79"/>
      <c r="BP2" s="209" t="s">
        <v>257</v>
      </c>
      <c r="BQ2" s="80">
        <v>0</v>
      </c>
      <c r="BR2" s="209" t="s">
        <v>257</v>
      </c>
      <c r="BS2" s="80">
        <v>0</v>
      </c>
      <c r="BT2" s="209" t="s">
        <v>257</v>
      </c>
      <c r="BU2" s="80">
        <v>0</v>
      </c>
      <c r="BV2" s="209" t="s">
        <v>257</v>
      </c>
      <c r="BW2" s="80">
        <v>0</v>
      </c>
      <c r="BX2" s="209" t="s">
        <v>257</v>
      </c>
      <c r="BY2" s="80">
        <v>0</v>
      </c>
      <c r="BZ2" s="209" t="s">
        <v>257</v>
      </c>
      <c r="CA2" s="80">
        <v>0</v>
      </c>
      <c r="CB2" s="209" t="s">
        <v>257</v>
      </c>
      <c r="CC2" s="80">
        <v>0</v>
      </c>
      <c r="CD2" s="209" t="s">
        <v>257</v>
      </c>
      <c r="CE2" s="80">
        <v>0</v>
      </c>
      <c r="CF2" s="232" t="s">
        <v>197</v>
      </c>
      <c r="CG2" s="80">
        <v>0</v>
      </c>
      <c r="CH2" s="209" t="s">
        <v>294</v>
      </c>
      <c r="CI2" s="80">
        <v>2</v>
      </c>
      <c r="CJ2" s="209" t="b">
        <v>0</v>
      </c>
      <c r="CK2" s="80">
        <v>0</v>
      </c>
      <c r="CL2" s="209" t="b">
        <v>0</v>
      </c>
      <c r="CM2" s="80">
        <v>0</v>
      </c>
      <c r="CN2" s="209" t="b">
        <v>0</v>
      </c>
      <c r="CO2" s="80">
        <v>0</v>
      </c>
      <c r="CP2" s="209" t="b">
        <v>0</v>
      </c>
      <c r="CQ2" s="80">
        <v>0</v>
      </c>
      <c r="CR2" s="79"/>
      <c r="CS2" s="209" t="s">
        <v>257</v>
      </c>
      <c r="CT2" s="80">
        <v>0</v>
      </c>
      <c r="CU2" s="209" t="s">
        <v>257</v>
      </c>
      <c r="CV2" s="80">
        <v>0</v>
      </c>
      <c r="CW2" s="209" t="s">
        <v>257</v>
      </c>
      <c r="CX2" s="80">
        <v>0</v>
      </c>
      <c r="CY2" s="209" t="s">
        <v>257</v>
      </c>
      <c r="CZ2" s="80">
        <v>0</v>
      </c>
      <c r="DA2" s="209" t="s">
        <v>257</v>
      </c>
      <c r="DB2" s="80">
        <v>0</v>
      </c>
      <c r="DC2" s="209" t="s">
        <v>257</v>
      </c>
      <c r="DD2" s="80">
        <v>0</v>
      </c>
      <c r="DE2" s="209" t="s">
        <v>257</v>
      </c>
      <c r="DF2" s="80">
        <v>0</v>
      </c>
      <c r="DG2" s="209" t="s">
        <v>257</v>
      </c>
      <c r="DH2" s="80">
        <v>0</v>
      </c>
      <c r="DI2" s="209" t="s">
        <v>197</v>
      </c>
      <c r="DJ2" s="80">
        <v>4</v>
      </c>
      <c r="DK2" s="209" t="s">
        <v>184</v>
      </c>
      <c r="DL2" s="80">
        <v>0</v>
      </c>
      <c r="DM2" s="80" t="s">
        <v>185</v>
      </c>
      <c r="DN2" s="80">
        <v>5</v>
      </c>
      <c r="DO2" s="209" t="s">
        <v>257</v>
      </c>
      <c r="DP2" s="80">
        <v>0</v>
      </c>
      <c r="DQ2" s="209" t="s">
        <v>257</v>
      </c>
      <c r="DR2" s="80">
        <v>0</v>
      </c>
      <c r="DS2" s="80" t="s">
        <v>87</v>
      </c>
      <c r="DT2" s="80">
        <v>4</v>
      </c>
      <c r="DU2" s="209" t="s">
        <v>200</v>
      </c>
      <c r="DV2" s="80">
        <v>0</v>
      </c>
      <c r="DW2" s="209" t="s">
        <v>257</v>
      </c>
      <c r="DX2" s="80">
        <v>0</v>
      </c>
      <c r="DY2" s="209" t="s">
        <v>257</v>
      </c>
      <c r="DZ2" s="80">
        <v>0</v>
      </c>
      <c r="EA2" s="80" t="s">
        <v>128</v>
      </c>
      <c r="EB2" s="80">
        <v>4</v>
      </c>
      <c r="EC2" s="80"/>
    </row>
    <row r="3" spans="1:146" ht="9" customHeight="1">
      <c r="A3" s="691"/>
      <c r="B3" s="338"/>
      <c r="C3" s="274"/>
      <c r="D3" s="79" t="s">
        <v>37</v>
      </c>
      <c r="E3" s="79">
        <v>10</v>
      </c>
      <c r="F3" s="209" t="s">
        <v>256</v>
      </c>
      <c r="G3" s="80">
        <v>10</v>
      </c>
      <c r="H3" s="209" t="s">
        <v>256</v>
      </c>
      <c r="I3" s="80">
        <v>10</v>
      </c>
      <c r="J3" s="209" t="b">
        <v>1</v>
      </c>
      <c r="K3" s="80">
        <v>5</v>
      </c>
      <c r="L3" s="209" t="b">
        <v>1</v>
      </c>
      <c r="M3" s="80">
        <v>5</v>
      </c>
      <c r="N3" s="209" t="b">
        <v>1</v>
      </c>
      <c r="O3" s="80">
        <v>3</v>
      </c>
      <c r="P3" s="209" t="b">
        <v>1</v>
      </c>
      <c r="Q3" s="80">
        <v>3</v>
      </c>
      <c r="R3" s="80" t="s">
        <v>284</v>
      </c>
      <c r="S3" s="80">
        <v>6</v>
      </c>
      <c r="T3" s="209" t="s">
        <v>256</v>
      </c>
      <c r="U3" s="80">
        <v>2</v>
      </c>
      <c r="V3" s="209" t="s">
        <v>256</v>
      </c>
      <c r="W3" s="80">
        <v>2</v>
      </c>
      <c r="X3" s="209" t="s">
        <v>256</v>
      </c>
      <c r="Y3" s="80">
        <v>4</v>
      </c>
      <c r="Z3" s="211" t="s">
        <v>290</v>
      </c>
      <c r="AA3" s="80">
        <v>0</v>
      </c>
      <c r="AB3" s="209" t="s">
        <v>256</v>
      </c>
      <c r="AC3" s="80">
        <v>10</v>
      </c>
      <c r="AD3" s="80" t="s">
        <v>258</v>
      </c>
      <c r="AE3" s="80">
        <v>0</v>
      </c>
      <c r="AF3" s="209" t="s">
        <v>256</v>
      </c>
      <c r="AG3" s="80">
        <v>6</v>
      </c>
      <c r="AH3" s="209" t="s">
        <v>256</v>
      </c>
      <c r="AI3" s="80">
        <v>4</v>
      </c>
      <c r="AJ3" s="209" t="s">
        <v>256</v>
      </c>
      <c r="AK3" s="80">
        <v>10</v>
      </c>
      <c r="AL3" s="180"/>
      <c r="AM3" s="209" t="s">
        <v>256</v>
      </c>
      <c r="AN3" s="80">
        <v>10</v>
      </c>
      <c r="AO3" s="209" t="s">
        <v>256</v>
      </c>
      <c r="AP3" s="80">
        <v>10</v>
      </c>
      <c r="AQ3" s="209" t="s">
        <v>256</v>
      </c>
      <c r="AR3" s="80">
        <v>10</v>
      </c>
      <c r="AS3" s="209" t="b">
        <v>1</v>
      </c>
      <c r="AT3" s="80">
        <v>5</v>
      </c>
      <c r="AU3" s="209" t="b">
        <v>1</v>
      </c>
      <c r="AV3" s="80">
        <v>5</v>
      </c>
      <c r="AW3" s="209" t="b">
        <v>1</v>
      </c>
      <c r="AX3" s="80">
        <v>0</v>
      </c>
      <c r="AY3" s="209" t="s">
        <v>256</v>
      </c>
      <c r="AZ3" s="80">
        <v>0</v>
      </c>
      <c r="BA3" s="209" t="s">
        <v>292</v>
      </c>
      <c r="BB3" s="80">
        <v>4</v>
      </c>
      <c r="BC3" s="209" t="s">
        <v>256</v>
      </c>
      <c r="BD3" s="80">
        <v>0</v>
      </c>
      <c r="BE3" s="209" t="s">
        <v>8</v>
      </c>
      <c r="BF3" s="80">
        <v>0</v>
      </c>
      <c r="BG3" s="209" t="s">
        <v>256</v>
      </c>
      <c r="BH3" s="80">
        <v>6</v>
      </c>
      <c r="BI3" s="209" t="s">
        <v>256</v>
      </c>
      <c r="BJ3" s="80">
        <v>4</v>
      </c>
      <c r="BK3" s="209" t="s">
        <v>256</v>
      </c>
      <c r="BL3" s="80">
        <v>10</v>
      </c>
      <c r="BM3" s="80" t="s">
        <v>193</v>
      </c>
      <c r="BN3" s="80">
        <v>10</v>
      </c>
      <c r="BO3" s="79"/>
      <c r="BP3" s="209" t="s">
        <v>256</v>
      </c>
      <c r="BQ3" s="80">
        <v>10</v>
      </c>
      <c r="BR3" s="80" t="s">
        <v>195</v>
      </c>
      <c r="BS3" s="80">
        <v>10</v>
      </c>
      <c r="BT3" s="80" t="s">
        <v>195</v>
      </c>
      <c r="BU3" s="80">
        <v>10</v>
      </c>
      <c r="BV3" s="209" t="s">
        <v>256</v>
      </c>
      <c r="BW3" s="80">
        <v>10</v>
      </c>
      <c r="BX3" s="209" t="s">
        <v>256</v>
      </c>
      <c r="BY3" s="80">
        <v>10</v>
      </c>
      <c r="BZ3" s="209" t="s">
        <v>256</v>
      </c>
      <c r="CA3" s="80">
        <v>10</v>
      </c>
      <c r="CB3" s="209" t="s">
        <v>256</v>
      </c>
      <c r="CC3" s="80">
        <v>10</v>
      </c>
      <c r="CD3" s="209" t="s">
        <v>256</v>
      </c>
      <c r="CE3" s="80">
        <v>10</v>
      </c>
      <c r="CF3" s="209" t="s">
        <v>257</v>
      </c>
      <c r="CG3" s="80">
        <v>10</v>
      </c>
      <c r="CH3" s="209" t="s">
        <v>183</v>
      </c>
      <c r="CI3" s="80">
        <v>0</v>
      </c>
      <c r="CJ3" s="209" t="b">
        <v>1</v>
      </c>
      <c r="CK3" s="80">
        <v>4</v>
      </c>
      <c r="CL3" s="209" t="b">
        <v>1</v>
      </c>
      <c r="CM3" s="80">
        <v>2</v>
      </c>
      <c r="CN3" s="209" t="b">
        <v>1</v>
      </c>
      <c r="CO3" s="80">
        <v>0</v>
      </c>
      <c r="CP3" s="209" t="b">
        <v>1</v>
      </c>
      <c r="CQ3" s="80">
        <v>1</v>
      </c>
      <c r="CR3" s="79"/>
      <c r="CS3" s="209" t="s">
        <v>256</v>
      </c>
      <c r="CT3" s="80">
        <v>10</v>
      </c>
      <c r="CU3" s="209" t="s">
        <v>256</v>
      </c>
      <c r="CV3" s="80">
        <v>10</v>
      </c>
      <c r="CW3" s="209" t="s">
        <v>198</v>
      </c>
      <c r="CX3" s="80">
        <v>6</v>
      </c>
      <c r="CY3" s="209" t="s">
        <v>256</v>
      </c>
      <c r="CZ3" s="80">
        <v>10</v>
      </c>
      <c r="DA3" s="209" t="s">
        <v>256</v>
      </c>
      <c r="DB3" s="80">
        <v>10</v>
      </c>
      <c r="DC3" s="209" t="s">
        <v>256</v>
      </c>
      <c r="DD3" s="80">
        <v>10</v>
      </c>
      <c r="DE3" s="209" t="s">
        <v>256</v>
      </c>
      <c r="DF3" s="80">
        <v>10</v>
      </c>
      <c r="DG3" s="209" t="s">
        <v>256</v>
      </c>
      <c r="DH3" s="80">
        <v>6</v>
      </c>
      <c r="DI3" s="209" t="s">
        <v>200</v>
      </c>
      <c r="DJ3" s="80">
        <v>0</v>
      </c>
      <c r="DK3" s="209" t="s">
        <v>264</v>
      </c>
      <c r="DL3" s="80">
        <v>6</v>
      </c>
      <c r="DM3" s="80" t="s">
        <v>181</v>
      </c>
      <c r="DN3" s="80">
        <v>0</v>
      </c>
      <c r="DO3" s="209" t="s">
        <v>256</v>
      </c>
      <c r="DP3" s="80">
        <v>5</v>
      </c>
      <c r="DQ3" s="209" t="s">
        <v>256</v>
      </c>
      <c r="DR3" s="80">
        <v>4</v>
      </c>
      <c r="DS3" s="80" t="s">
        <v>182</v>
      </c>
      <c r="DT3" s="80">
        <v>2</v>
      </c>
      <c r="DU3" s="209" t="s">
        <v>123</v>
      </c>
      <c r="DV3" s="80">
        <v>4</v>
      </c>
      <c r="DW3" s="209" t="s">
        <v>256</v>
      </c>
      <c r="DX3" s="80">
        <v>10</v>
      </c>
      <c r="DY3" s="209" t="s">
        <v>256</v>
      </c>
      <c r="DZ3" s="80">
        <v>4</v>
      </c>
      <c r="EA3" s="209" t="s">
        <v>129</v>
      </c>
      <c r="EB3" s="80">
        <v>6</v>
      </c>
      <c r="EC3" s="80"/>
    </row>
    <row r="4" spans="1:146" ht="9" customHeight="1">
      <c r="A4" s="691"/>
      <c r="B4" s="338"/>
      <c r="C4" s="274"/>
      <c r="D4" s="79" t="s">
        <v>259</v>
      </c>
      <c r="E4" s="79">
        <v>0</v>
      </c>
      <c r="F4" s="79">
        <v>0</v>
      </c>
      <c r="G4" s="79" t="s">
        <v>191</v>
      </c>
      <c r="H4" s="79">
        <v>0</v>
      </c>
      <c r="I4" s="79" t="s">
        <v>191</v>
      </c>
      <c r="J4" s="79">
        <v>0</v>
      </c>
      <c r="K4" s="79" t="s">
        <v>191</v>
      </c>
      <c r="L4" s="79">
        <v>0</v>
      </c>
      <c r="M4" s="79" t="s">
        <v>191</v>
      </c>
      <c r="N4" s="79">
        <v>0</v>
      </c>
      <c r="O4" s="79" t="s">
        <v>191</v>
      </c>
      <c r="P4" s="79">
        <v>0</v>
      </c>
      <c r="Q4" s="79" t="s">
        <v>191</v>
      </c>
      <c r="R4" s="80" t="s">
        <v>283</v>
      </c>
      <c r="S4" s="80">
        <v>6</v>
      </c>
      <c r="T4" s="79">
        <v>0</v>
      </c>
      <c r="U4" s="79" t="s">
        <v>191</v>
      </c>
      <c r="V4" s="79">
        <v>0</v>
      </c>
      <c r="W4" s="79" t="s">
        <v>191</v>
      </c>
      <c r="X4" s="79">
        <v>0</v>
      </c>
      <c r="Y4" s="79" t="s">
        <v>191</v>
      </c>
      <c r="Z4" s="211" t="s">
        <v>288</v>
      </c>
      <c r="AA4" s="80">
        <v>6</v>
      </c>
      <c r="AB4" s="79">
        <v>0</v>
      </c>
      <c r="AC4" s="79" t="s">
        <v>191</v>
      </c>
      <c r="AD4" s="80" t="s">
        <v>31</v>
      </c>
      <c r="AE4" s="80">
        <v>6</v>
      </c>
      <c r="AF4" s="79">
        <v>0</v>
      </c>
      <c r="AG4" s="79" t="s">
        <v>191</v>
      </c>
      <c r="AH4" s="79">
        <v>0</v>
      </c>
      <c r="AI4" s="79" t="s">
        <v>191</v>
      </c>
      <c r="AJ4" s="79">
        <v>0</v>
      </c>
      <c r="AK4" s="79" t="s">
        <v>191</v>
      </c>
      <c r="AL4" s="180"/>
      <c r="AM4" s="79">
        <v>0</v>
      </c>
      <c r="AN4" s="79" t="s">
        <v>191</v>
      </c>
      <c r="AO4" s="79">
        <v>0</v>
      </c>
      <c r="AP4" s="79" t="s">
        <v>191</v>
      </c>
      <c r="AQ4" s="79">
        <v>0</v>
      </c>
      <c r="AR4" s="79" t="s">
        <v>191</v>
      </c>
      <c r="AS4" s="79">
        <v>0</v>
      </c>
      <c r="AT4" s="79" t="s">
        <v>191</v>
      </c>
      <c r="AU4" s="79">
        <v>0</v>
      </c>
      <c r="AV4" s="79" t="s">
        <v>191</v>
      </c>
      <c r="AW4" s="79">
        <v>0</v>
      </c>
      <c r="AX4" s="79" t="s">
        <v>191</v>
      </c>
      <c r="AY4" s="79">
        <v>0</v>
      </c>
      <c r="AZ4" s="79" t="s">
        <v>191</v>
      </c>
      <c r="BA4" s="223" t="s">
        <v>293</v>
      </c>
      <c r="BB4" s="79">
        <v>10</v>
      </c>
      <c r="BC4" s="79">
        <v>0</v>
      </c>
      <c r="BD4" s="79" t="s">
        <v>191</v>
      </c>
      <c r="BE4" s="79">
        <v>0</v>
      </c>
      <c r="BF4" s="79" t="s">
        <v>191</v>
      </c>
      <c r="BG4" s="79">
        <v>0</v>
      </c>
      <c r="BH4" s="79" t="s">
        <v>191</v>
      </c>
      <c r="BI4" s="79">
        <v>0</v>
      </c>
      <c r="BJ4" s="79" t="s">
        <v>191</v>
      </c>
      <c r="BK4" s="79">
        <v>0</v>
      </c>
      <c r="BL4" s="79" t="s">
        <v>191</v>
      </c>
      <c r="BM4" s="80" t="s">
        <v>194</v>
      </c>
      <c r="BN4" s="79">
        <v>6</v>
      </c>
      <c r="BO4" s="79"/>
      <c r="BP4" s="79">
        <v>0</v>
      </c>
      <c r="BQ4" s="79" t="s">
        <v>191</v>
      </c>
      <c r="BR4" s="80" t="s">
        <v>196</v>
      </c>
      <c r="BS4" s="80">
        <v>6</v>
      </c>
      <c r="BT4" s="80" t="s">
        <v>196</v>
      </c>
      <c r="BU4" s="80">
        <v>6</v>
      </c>
      <c r="BV4" s="79">
        <v>0</v>
      </c>
      <c r="BW4" s="79" t="s">
        <v>191</v>
      </c>
      <c r="BX4" s="79">
        <v>0</v>
      </c>
      <c r="BY4" s="79" t="s">
        <v>191</v>
      </c>
      <c r="BZ4" s="79">
        <v>0</v>
      </c>
      <c r="CA4" s="79" t="s">
        <v>191</v>
      </c>
      <c r="CB4" s="79">
        <v>0</v>
      </c>
      <c r="CC4" s="79" t="s">
        <v>191</v>
      </c>
      <c r="CD4" s="79">
        <v>0</v>
      </c>
      <c r="CE4" s="79" t="s">
        <v>191</v>
      </c>
      <c r="CF4" s="223" t="s">
        <v>256</v>
      </c>
      <c r="CG4" s="79">
        <v>0</v>
      </c>
      <c r="CH4" s="79">
        <v>0</v>
      </c>
      <c r="CI4" s="79" t="s">
        <v>191</v>
      </c>
      <c r="CJ4" s="79">
        <v>0</v>
      </c>
      <c r="CK4" s="79" t="s">
        <v>191</v>
      </c>
      <c r="CL4" s="79">
        <v>0</v>
      </c>
      <c r="CM4" s="79" t="s">
        <v>191</v>
      </c>
      <c r="CN4" s="79">
        <v>0</v>
      </c>
      <c r="CO4" s="79" t="s">
        <v>191</v>
      </c>
      <c r="CP4" s="79">
        <v>0</v>
      </c>
      <c r="CQ4" s="79" t="s">
        <v>191</v>
      </c>
      <c r="CR4" s="79"/>
      <c r="CS4" s="79">
        <v>0</v>
      </c>
      <c r="CT4" s="79" t="s">
        <v>191</v>
      </c>
      <c r="CU4" s="79">
        <v>0</v>
      </c>
      <c r="CV4" s="79" t="s">
        <v>191</v>
      </c>
      <c r="CW4" s="223" t="s">
        <v>199</v>
      </c>
      <c r="CX4" s="80">
        <v>10</v>
      </c>
      <c r="CY4" s="79">
        <v>0</v>
      </c>
      <c r="CZ4" s="79" t="s">
        <v>191</v>
      </c>
      <c r="DA4" s="79">
        <v>0</v>
      </c>
      <c r="DB4" s="79" t="s">
        <v>191</v>
      </c>
      <c r="DC4" s="79">
        <v>0</v>
      </c>
      <c r="DD4" s="79" t="s">
        <v>191</v>
      </c>
      <c r="DE4" s="79">
        <v>0</v>
      </c>
      <c r="DF4" s="79" t="s">
        <v>191</v>
      </c>
      <c r="DG4" s="79">
        <v>0</v>
      </c>
      <c r="DH4" s="79" t="s">
        <v>191</v>
      </c>
      <c r="DI4" s="209" t="s">
        <v>123</v>
      </c>
      <c r="DJ4" s="80">
        <v>4</v>
      </c>
      <c r="DK4" s="209" t="s">
        <v>263</v>
      </c>
      <c r="DL4" s="80">
        <v>10</v>
      </c>
      <c r="DM4" s="79">
        <v>0</v>
      </c>
      <c r="DN4" s="79" t="s">
        <v>191</v>
      </c>
      <c r="DO4" s="79">
        <v>0</v>
      </c>
      <c r="DP4" s="79" t="s">
        <v>191</v>
      </c>
      <c r="DQ4" s="79">
        <v>0</v>
      </c>
      <c r="DR4" s="79" t="s">
        <v>191</v>
      </c>
      <c r="DS4" s="80" t="s">
        <v>88</v>
      </c>
      <c r="DT4" s="80">
        <v>6</v>
      </c>
      <c r="DU4" s="209" t="s">
        <v>124</v>
      </c>
      <c r="DV4" s="80">
        <v>6</v>
      </c>
      <c r="DW4" s="79">
        <v>0</v>
      </c>
      <c r="DX4" s="79" t="s">
        <v>191</v>
      </c>
      <c r="DY4" s="79">
        <v>0</v>
      </c>
      <c r="DZ4" s="79">
        <v>0</v>
      </c>
      <c r="EA4" s="209" t="s">
        <v>127</v>
      </c>
      <c r="EB4" s="80">
        <v>2</v>
      </c>
      <c r="EC4" s="80"/>
    </row>
    <row r="5" spans="1:146" ht="9" customHeight="1">
      <c r="A5" s="691"/>
      <c r="B5" s="338"/>
      <c r="C5" s="274"/>
      <c r="D5" s="80" t="s">
        <v>254</v>
      </c>
      <c r="E5" s="79">
        <v>8</v>
      </c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 t="s">
        <v>282</v>
      </c>
      <c r="S5" s="80">
        <v>2</v>
      </c>
      <c r="T5" s="80"/>
      <c r="U5" s="80"/>
      <c r="V5" s="80"/>
      <c r="W5" s="80"/>
      <c r="X5" s="80"/>
      <c r="Y5" s="80"/>
      <c r="Z5" s="211" t="s">
        <v>289</v>
      </c>
      <c r="AA5" s="80">
        <v>4</v>
      </c>
      <c r="AB5" s="80"/>
      <c r="AC5" s="80"/>
      <c r="AD5" s="79">
        <v>0</v>
      </c>
      <c r="AE5" s="79" t="s">
        <v>191</v>
      </c>
      <c r="AF5" s="80"/>
      <c r="AG5" s="80"/>
      <c r="AH5" s="80"/>
      <c r="AI5" s="80"/>
      <c r="AJ5" s="80"/>
      <c r="AK5" s="80"/>
      <c r="AL5" s="1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79">
        <v>0</v>
      </c>
      <c r="BB5" s="79" t="s">
        <v>191</v>
      </c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>
        <v>0</v>
      </c>
      <c r="BN5" s="79" t="s">
        <v>191</v>
      </c>
      <c r="BO5" s="79"/>
      <c r="BP5" s="80"/>
      <c r="BQ5" s="80"/>
      <c r="BR5" s="79">
        <v>0</v>
      </c>
      <c r="BS5" s="79" t="s">
        <v>191</v>
      </c>
      <c r="BT5" s="79">
        <v>0</v>
      </c>
      <c r="BU5" s="79" t="s">
        <v>191</v>
      </c>
      <c r="BV5" s="80"/>
      <c r="BW5" s="80"/>
      <c r="BX5" s="80"/>
      <c r="BY5" s="80"/>
      <c r="BZ5" s="80"/>
      <c r="CA5" s="80"/>
      <c r="CB5" s="80"/>
      <c r="CC5" s="80"/>
      <c r="CD5" s="80"/>
      <c r="CE5" s="80"/>
      <c r="CF5" s="79">
        <v>0</v>
      </c>
      <c r="CG5" s="79" t="s">
        <v>191</v>
      </c>
      <c r="CH5" s="79"/>
      <c r="CI5" s="79"/>
      <c r="CJ5" s="80"/>
      <c r="CK5" s="80"/>
      <c r="CL5" s="80"/>
      <c r="CM5" s="80"/>
      <c r="CN5" s="80"/>
      <c r="CO5" s="80"/>
      <c r="CP5" s="80"/>
      <c r="CQ5" s="80"/>
      <c r="CR5" s="79"/>
      <c r="CS5" s="80"/>
      <c r="CT5" s="80"/>
      <c r="CU5" s="80"/>
      <c r="CV5" s="80"/>
      <c r="CW5" s="80">
        <v>0</v>
      </c>
      <c r="CX5" s="79" t="s">
        <v>191</v>
      </c>
      <c r="CY5" s="80"/>
      <c r="CZ5" s="80"/>
      <c r="DA5" s="80"/>
      <c r="DB5" s="80"/>
      <c r="DC5" s="79"/>
      <c r="DD5" s="79"/>
      <c r="DE5" s="79"/>
      <c r="DF5" s="79"/>
      <c r="DG5" s="80"/>
      <c r="DH5" s="80"/>
      <c r="DI5" s="79">
        <v>0</v>
      </c>
      <c r="DJ5" s="79" t="s">
        <v>191</v>
      </c>
      <c r="DK5" s="79">
        <v>0</v>
      </c>
      <c r="DL5" s="79" t="s">
        <v>191</v>
      </c>
      <c r="DM5" s="80"/>
      <c r="DO5" s="80"/>
      <c r="DP5" s="79"/>
      <c r="DQ5" s="80"/>
      <c r="DR5" s="80"/>
      <c r="DS5" s="80"/>
      <c r="DT5" s="80"/>
      <c r="DU5" s="209" t="s">
        <v>125</v>
      </c>
      <c r="DV5" s="80">
        <v>8</v>
      </c>
      <c r="DW5" s="80"/>
      <c r="DX5" s="80"/>
      <c r="DY5" s="80"/>
      <c r="DZ5" s="80"/>
      <c r="EA5" s="80" t="s">
        <v>441</v>
      </c>
      <c r="EB5" s="79">
        <v>8</v>
      </c>
      <c r="EC5" s="80"/>
    </row>
    <row r="6" spans="1:146" ht="9" customHeight="1">
      <c r="A6" s="691"/>
      <c r="B6" s="338"/>
      <c r="C6" s="274"/>
      <c r="D6" s="79">
        <v>0</v>
      </c>
      <c r="E6" s="79" t="s">
        <v>191</v>
      </c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  <c r="Q6" s="80"/>
      <c r="R6" s="79">
        <v>0</v>
      </c>
      <c r="S6" s="79" t="s">
        <v>191</v>
      </c>
      <c r="T6" s="80"/>
      <c r="U6" s="80"/>
      <c r="V6" s="80"/>
      <c r="W6" s="80"/>
      <c r="X6" s="80"/>
      <c r="Y6" s="80"/>
      <c r="Z6" s="211" t="s">
        <v>287</v>
      </c>
      <c r="AA6" s="80">
        <v>8</v>
      </c>
      <c r="AB6" s="80"/>
      <c r="AC6" s="80"/>
      <c r="AE6" s="80"/>
      <c r="AF6" s="80"/>
      <c r="AG6" s="80"/>
      <c r="AH6" s="80"/>
      <c r="AI6" s="80"/>
      <c r="AJ6" s="80"/>
      <c r="AK6" s="80"/>
      <c r="AL6" s="1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80"/>
      <c r="CA6" s="80"/>
      <c r="CB6" s="80"/>
      <c r="CC6" s="80"/>
      <c r="CD6" s="80"/>
      <c r="CE6" s="80"/>
      <c r="CF6" s="79"/>
      <c r="CG6" s="79"/>
      <c r="CH6" s="79"/>
      <c r="CI6" s="79"/>
      <c r="CJ6" s="80"/>
      <c r="CK6" s="80"/>
      <c r="CL6" s="80"/>
      <c r="CM6" s="80"/>
      <c r="CN6" s="80"/>
      <c r="CO6" s="80"/>
      <c r="CP6" s="80"/>
      <c r="CQ6" s="80"/>
      <c r="CR6" s="79"/>
      <c r="CS6" s="80"/>
      <c r="CT6" s="80"/>
      <c r="CU6" s="80"/>
      <c r="CV6" s="80"/>
      <c r="CW6" s="80"/>
      <c r="CX6" s="80"/>
      <c r="CY6" s="80"/>
      <c r="CZ6" s="80"/>
      <c r="DA6" s="80"/>
      <c r="DB6" s="80"/>
      <c r="DC6" s="79"/>
      <c r="DD6" s="79"/>
      <c r="DE6" s="79"/>
      <c r="DF6" s="79"/>
      <c r="DG6" s="80"/>
      <c r="DH6" s="80"/>
      <c r="DI6" s="80"/>
      <c r="DJ6" s="80"/>
      <c r="DK6" s="80"/>
      <c r="DL6" s="80"/>
      <c r="DM6" s="80"/>
      <c r="DN6" s="80"/>
      <c r="DO6" s="80"/>
      <c r="DP6" s="80"/>
      <c r="DQ6" s="80"/>
      <c r="DR6" s="80"/>
      <c r="DS6" s="80"/>
      <c r="DT6" s="80"/>
      <c r="DU6" s="209" t="s">
        <v>126</v>
      </c>
      <c r="DV6" s="80">
        <v>10</v>
      </c>
      <c r="DW6" s="80"/>
      <c r="DX6" s="80"/>
      <c r="DY6" s="80"/>
      <c r="DZ6" s="80"/>
      <c r="EA6" s="79">
        <v>0</v>
      </c>
      <c r="EB6" s="80" t="s">
        <v>191</v>
      </c>
      <c r="EC6" s="80"/>
    </row>
    <row r="7" spans="1:146" ht="9" customHeight="1">
      <c r="A7" s="691"/>
      <c r="B7" s="338"/>
      <c r="C7" s="274"/>
      <c r="E7" s="80"/>
      <c r="H7" s="80"/>
      <c r="I7" s="80"/>
      <c r="J7" s="80"/>
      <c r="K7" s="80"/>
      <c r="L7" s="80"/>
      <c r="M7" s="80"/>
      <c r="N7" s="80"/>
      <c r="O7" s="80"/>
      <c r="P7" s="80"/>
      <c r="Q7" s="80"/>
      <c r="S7" s="80"/>
      <c r="T7" s="80"/>
      <c r="U7" s="80"/>
      <c r="V7" s="80"/>
      <c r="W7" s="80"/>
      <c r="X7" s="80"/>
      <c r="Y7" s="80"/>
      <c r="Z7" s="79">
        <v>0</v>
      </c>
      <c r="AA7" s="79" t="s">
        <v>191</v>
      </c>
      <c r="AB7" s="80"/>
      <c r="AC7" s="80"/>
      <c r="AE7" s="80"/>
      <c r="AF7" s="80"/>
      <c r="AG7" s="80"/>
      <c r="AH7" s="80"/>
      <c r="AI7" s="80"/>
      <c r="AJ7" s="80"/>
      <c r="AK7" s="80"/>
      <c r="AL7" s="180"/>
      <c r="AM7" s="165"/>
      <c r="AN7" s="165"/>
      <c r="AO7" s="164"/>
      <c r="AP7" s="164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165"/>
      <c r="BQ7" s="165"/>
      <c r="BT7" s="80"/>
      <c r="BU7" s="80"/>
      <c r="BV7" s="80"/>
      <c r="BW7" s="80"/>
      <c r="BX7" s="80"/>
      <c r="BY7" s="80"/>
      <c r="BZ7" s="80"/>
      <c r="CA7" s="80"/>
      <c r="CB7" s="80"/>
      <c r="CC7" s="80"/>
      <c r="CD7" s="80"/>
      <c r="CE7" s="80"/>
      <c r="CF7" s="79"/>
      <c r="CG7" s="79"/>
      <c r="CH7" s="79"/>
      <c r="CI7" s="79"/>
      <c r="CJ7" s="80"/>
      <c r="CK7" s="80"/>
      <c r="CL7" s="80"/>
      <c r="CM7" s="80"/>
      <c r="CN7" s="80"/>
      <c r="CO7" s="80"/>
      <c r="CP7" s="80"/>
      <c r="CQ7" s="80"/>
      <c r="CR7" s="79"/>
      <c r="CS7" s="165"/>
      <c r="CT7" s="165"/>
      <c r="CU7" s="164"/>
      <c r="CV7" s="164"/>
      <c r="CW7" s="80"/>
      <c r="CX7" s="80"/>
      <c r="CY7" s="80"/>
      <c r="CZ7" s="80"/>
      <c r="DA7" s="80"/>
      <c r="DB7" s="80"/>
      <c r="DC7" s="79"/>
      <c r="DD7" s="79"/>
      <c r="DE7" s="79"/>
      <c r="DF7" s="79"/>
      <c r="DG7" s="80"/>
      <c r="DH7" s="80"/>
      <c r="DI7" s="80"/>
      <c r="DJ7" s="80"/>
      <c r="DK7" s="80"/>
      <c r="DL7" s="80"/>
      <c r="DM7" s="80"/>
      <c r="DN7" s="80"/>
      <c r="DO7" s="80"/>
      <c r="DP7" s="80"/>
      <c r="DQ7" s="80"/>
      <c r="DR7" s="80"/>
      <c r="DS7" s="79">
        <v>0</v>
      </c>
      <c r="DT7" s="79" t="s">
        <v>191</v>
      </c>
      <c r="DU7" s="79">
        <v>0</v>
      </c>
      <c r="DV7" s="79" t="s">
        <v>191</v>
      </c>
      <c r="DW7" s="80"/>
      <c r="DX7" s="80"/>
      <c r="DY7" s="80"/>
      <c r="DZ7" s="80"/>
      <c r="EA7" s="80"/>
      <c r="EB7" s="80"/>
      <c r="EC7" s="80"/>
    </row>
    <row r="8" spans="1:146" ht="9" customHeight="1">
      <c r="A8" s="691"/>
      <c r="B8" s="338"/>
      <c r="C8" s="274"/>
      <c r="E8" s="80"/>
      <c r="F8" s="166"/>
      <c r="G8" s="166"/>
      <c r="H8" s="80"/>
      <c r="I8" s="80"/>
      <c r="J8" s="80"/>
      <c r="K8" s="80"/>
      <c r="L8" s="80"/>
      <c r="M8" s="80"/>
      <c r="N8" s="80"/>
      <c r="O8" s="80"/>
      <c r="P8" s="80"/>
      <c r="Q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E8" s="80"/>
      <c r="AF8" s="80"/>
      <c r="AG8" s="80"/>
      <c r="AH8" s="80"/>
      <c r="AI8" s="80"/>
      <c r="AJ8" s="80"/>
      <c r="AK8" s="80"/>
      <c r="AL8" s="1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80"/>
      <c r="BQ8" s="80"/>
      <c r="BR8" s="80"/>
      <c r="BS8" s="80"/>
      <c r="BT8" s="80"/>
      <c r="BU8" s="80"/>
      <c r="BV8" s="80"/>
      <c r="BW8" s="80"/>
      <c r="BX8" s="80"/>
      <c r="BY8" s="80"/>
      <c r="BZ8" s="80"/>
      <c r="CA8" s="80"/>
      <c r="CB8" s="80"/>
      <c r="CC8" s="80"/>
      <c r="CD8" s="80"/>
      <c r="CE8" s="80"/>
      <c r="CF8" s="79"/>
      <c r="CG8" s="79"/>
      <c r="CH8" s="79"/>
      <c r="CI8" s="79"/>
      <c r="CJ8" s="80"/>
      <c r="CK8" s="80"/>
      <c r="CL8" s="80"/>
      <c r="CM8" s="80"/>
      <c r="CN8" s="80"/>
      <c r="CO8" s="80"/>
      <c r="CP8" s="80"/>
      <c r="CQ8" s="80"/>
      <c r="CR8" s="79"/>
      <c r="CS8" s="80"/>
      <c r="CT8" s="80"/>
      <c r="CU8" s="80"/>
      <c r="CV8" s="80"/>
      <c r="CW8" s="80"/>
      <c r="CX8" s="80"/>
      <c r="CY8" s="80"/>
      <c r="CZ8" s="80"/>
      <c r="DA8" s="80"/>
      <c r="DB8" s="80"/>
      <c r="DC8" s="79"/>
      <c r="DD8" s="79"/>
      <c r="DE8" s="79"/>
      <c r="DF8" s="79"/>
      <c r="DG8" s="80"/>
      <c r="DH8" s="80"/>
      <c r="DI8" s="80"/>
      <c r="DJ8" s="80"/>
      <c r="DK8" s="80"/>
      <c r="DL8" s="80"/>
      <c r="DM8" s="80"/>
      <c r="DN8" s="80"/>
      <c r="DO8" s="80"/>
      <c r="DP8" s="80"/>
      <c r="DQ8" s="80"/>
      <c r="DR8" s="80"/>
      <c r="DS8" s="80"/>
      <c r="DT8" s="80"/>
      <c r="DU8" s="80"/>
      <c r="DV8" s="80"/>
      <c r="DW8" s="80"/>
      <c r="DX8" s="80"/>
      <c r="DY8" s="80"/>
      <c r="DZ8" s="80"/>
      <c r="EA8" s="80"/>
      <c r="EB8" s="80"/>
      <c r="EC8" s="80"/>
    </row>
    <row r="9" spans="1:146" ht="9" customHeight="1">
      <c r="A9" s="691"/>
      <c r="B9" s="338"/>
      <c r="C9" s="274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E9" s="80"/>
      <c r="AF9" s="80"/>
      <c r="AG9" s="80"/>
      <c r="AH9" s="80"/>
      <c r="AI9" s="80"/>
      <c r="AJ9" s="80"/>
      <c r="AK9" s="80"/>
      <c r="AL9" s="1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80"/>
      <c r="CF9" s="79"/>
      <c r="CG9" s="79"/>
      <c r="CH9" s="79"/>
      <c r="CI9" s="79"/>
      <c r="CJ9" s="80"/>
      <c r="CK9" s="80"/>
      <c r="CL9" s="80"/>
      <c r="CM9" s="80"/>
      <c r="CN9" s="80"/>
      <c r="CO9" s="80"/>
      <c r="CP9" s="80"/>
      <c r="CQ9" s="80"/>
      <c r="CR9" s="79"/>
      <c r="CS9" s="79"/>
      <c r="CT9" s="79"/>
      <c r="CU9" s="80"/>
      <c r="CV9" s="80"/>
      <c r="CW9" s="80"/>
      <c r="CX9" s="80"/>
      <c r="CY9" s="80"/>
      <c r="CZ9" s="80"/>
      <c r="DA9" s="80"/>
      <c r="DB9" s="80"/>
      <c r="DC9" s="79"/>
      <c r="DD9" s="79"/>
      <c r="DE9" s="79"/>
      <c r="DF9" s="79"/>
      <c r="DG9" s="80"/>
      <c r="DH9" s="80"/>
      <c r="DI9" s="80"/>
      <c r="DJ9" s="80"/>
      <c r="DK9" s="80"/>
      <c r="DL9" s="80"/>
      <c r="DM9" s="80"/>
      <c r="DN9" s="80"/>
      <c r="DO9" s="80"/>
      <c r="DP9" s="80"/>
      <c r="DQ9" s="80"/>
      <c r="DR9" s="80"/>
      <c r="DS9" s="80"/>
      <c r="DT9" s="80"/>
      <c r="DU9" s="80"/>
      <c r="DV9" s="80"/>
      <c r="DW9" s="80"/>
      <c r="DX9" s="80"/>
      <c r="DY9" s="80"/>
      <c r="DZ9" s="80"/>
      <c r="EA9" s="80"/>
      <c r="EB9" s="80"/>
      <c r="EC9" s="80"/>
    </row>
    <row r="10" spans="1:146" ht="9" customHeight="1">
      <c r="A10" s="692"/>
      <c r="B10" s="285"/>
      <c r="C10" s="285"/>
      <c r="D10" s="80">
        <f>COLUMN()</f>
        <v>4</v>
      </c>
      <c r="E10" s="80"/>
      <c r="F10" s="80"/>
      <c r="G10" s="80"/>
      <c r="H10" s="80"/>
      <c r="I10" s="80"/>
      <c r="J10">
        <f>COLUMN()</f>
        <v>10</v>
      </c>
      <c r="K10" s="80"/>
      <c r="L10" s="80"/>
      <c r="M10" s="80"/>
      <c r="N10" s="80"/>
      <c r="O10" s="80"/>
      <c r="P10" s="80"/>
      <c r="Q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E10" s="80"/>
      <c r="AF10" s="80"/>
      <c r="AG10" s="80"/>
      <c r="AH10" s="80"/>
      <c r="AI10" s="80"/>
      <c r="AJ10" s="80"/>
      <c r="AK10" s="233">
        <f>COLUMN()</f>
        <v>37</v>
      </c>
      <c r="AL10" s="180"/>
      <c r="AM10" s="80">
        <f>COLUMN()</f>
        <v>39</v>
      </c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>
        <f>COLUMN()</f>
        <v>51</v>
      </c>
      <c r="AZ10" s="80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80">
        <f>COLUMN()</f>
        <v>68</v>
      </c>
      <c r="BQ10" s="80"/>
      <c r="BR10" s="80"/>
      <c r="BS10" s="80"/>
      <c r="BT10" s="80"/>
      <c r="BU10" s="80"/>
      <c r="BV10" s="80"/>
      <c r="BW10" s="80"/>
      <c r="BX10" s="80"/>
      <c r="BY10" s="80"/>
      <c r="BZ10" s="80"/>
      <c r="CA10" s="80"/>
      <c r="CB10" s="80"/>
      <c r="CC10" s="80"/>
      <c r="CD10" s="80"/>
      <c r="CE10" s="80"/>
      <c r="CF10" s="79"/>
      <c r="CG10" s="79"/>
      <c r="CH10" s="79"/>
      <c r="CI10" s="79"/>
      <c r="CJ10" s="80"/>
      <c r="CK10" s="80"/>
      <c r="CL10" s="80"/>
      <c r="CM10" s="80"/>
      <c r="CN10" s="80"/>
      <c r="CO10" s="80"/>
      <c r="CP10" s="80"/>
      <c r="CQ10" s="80"/>
      <c r="CR10" s="79"/>
      <c r="CS10" s="80">
        <f>COLUMN()</f>
        <v>97</v>
      </c>
      <c r="CT10" s="80"/>
      <c r="CU10" s="80"/>
      <c r="CV10" s="80"/>
      <c r="CW10" s="80"/>
      <c r="CX10" s="80"/>
      <c r="CY10" s="80"/>
      <c r="CZ10" s="80"/>
      <c r="DA10" s="80"/>
      <c r="DB10" s="80"/>
      <c r="DC10" s="79"/>
      <c r="DD10" s="79"/>
      <c r="DE10" s="79"/>
      <c r="DF10" s="79"/>
      <c r="DG10" s="80"/>
      <c r="DH10" s="80"/>
      <c r="DI10" s="80"/>
      <c r="DJ10" s="80"/>
      <c r="DK10" s="80"/>
      <c r="DL10" s="80"/>
      <c r="DM10" s="80"/>
      <c r="DN10" s="80"/>
      <c r="DO10" s="80"/>
      <c r="DP10" s="80"/>
      <c r="DQ10" s="80"/>
      <c r="DR10" s="80"/>
      <c r="DS10" s="80"/>
      <c r="DT10" s="80"/>
      <c r="DU10" s="80"/>
      <c r="DV10" s="80"/>
      <c r="DW10" s="80"/>
      <c r="DX10" s="80"/>
      <c r="DY10" s="80"/>
      <c r="DZ10" s="80"/>
      <c r="EA10" s="80"/>
      <c r="EB10" s="80">
        <f>COLUMN()</f>
        <v>132</v>
      </c>
      <c r="EC10" s="80"/>
    </row>
    <row r="11" spans="1:146" s="87" customFormat="1" ht="22.5" customHeight="1">
      <c r="A11" s="167" t="s">
        <v>388</v>
      </c>
      <c r="B11" s="167"/>
      <c r="C11" s="167"/>
      <c r="D11" s="667" t="str">
        <f ca="1">INDIRECT(ADDRESS($D$18-1,D$19,1,FALSE,$A$16 &amp; $D$17), FALSE)</f>
        <v>FormalmenteDefinito</v>
      </c>
      <c r="E11" s="668"/>
      <c r="F11" s="667" t="str">
        <f ca="1">INDIRECT(ADDRESS($D$18-1,F$19,1,FALSE,$A$16 &amp; $D$17), FALSE)</f>
        <v>DefinizioneFormale</v>
      </c>
      <c r="G11" s="668"/>
      <c r="H11" s="667" t="str">
        <f ca="1">INDIRECT(ADDRESS($D$18-1,H$19,1,FALSE,$A$16 &amp; $D$17), FALSE)</f>
        <v>RuoliAttribuiti</v>
      </c>
      <c r="I11" s="668"/>
      <c r="J11" s="667" t="str">
        <f ca="1">INDIRECT(ADDRESS($D$18-1,J$19,1,FALSE,$A$16 &amp; $D$17), FALSE)</f>
        <v>CommonCriteria (ISO 15408)</v>
      </c>
      <c r="K11" s="668"/>
      <c r="L11" s="667" t="str">
        <f ca="1">INDIRECT(ADDRESS($D$18-1,L$19,1,FALSE,$A$16 &amp; $D$17), FALSE)</f>
        <v>ISO 27001 (ex BS 7799-2)</v>
      </c>
      <c r="M11" s="668"/>
      <c r="N11" s="667" t="str">
        <f ca="1">INDIRECT(ADDRESS($D$18-1,N$19,1,FALSE,$A$16 &amp; $D$17), FALSE)</f>
        <v>Certificazioni professionali</v>
      </c>
      <c r="O11" s="668"/>
      <c r="P11" s="667" t="str">
        <f ca="1">INDIRECT(ADDRESS($D$18-1,P$19,1,FALSE,$A$16 &amp; $D$17), FALSE)</f>
        <v>Altro</v>
      </c>
      <c r="Q11" s="668"/>
      <c r="R11" s="667" t="str">
        <f ca="1">INDIRECT(ADDRESS($D$18-1,R$19,1,FALSE,$A$16 &amp; $D$17), FALSE)</f>
        <v>CentroGestione</v>
      </c>
      <c r="S11" s="668"/>
      <c r="T11" s="667" t="str">
        <f ca="1">INDIRECT(ADDRESS($D$18-1,T$19,1,FALSE,$A$16 &amp; $D$17), FALSE)</f>
        <v>GruppoGestione</v>
      </c>
      <c r="U11" s="668"/>
      <c r="V11" s="667" t="str">
        <f ca="1">INDIRECT(ADDRESS($D$18-1,V$19,1,FALSE,$A$16 &amp; $D$17), FALSE)</f>
        <v>ResponsabileProtezione</v>
      </c>
      <c r="W11" s="668"/>
      <c r="X11" s="667" t="str">
        <f ca="1">INDIRECT(ADDRESS($D$18-1,X$19,1,FALSE,$A$16 &amp; $D$17), FALSE)</f>
        <v>ProcedureGestione</v>
      </c>
      <c r="Y11" s="668"/>
      <c r="Z11" s="667" t="str">
        <f ca="1">INDIRECT(ADDRESS($D$18-1,Z$19,1,FALSE,$A$16 &amp; $D$17), FALSE)</f>
        <v>PolicyBackup</v>
      </c>
      <c r="AA11" s="668"/>
      <c r="AB11" s="667" t="str">
        <f ca="1">INDIRECT(ADDRESS($D$18-1,AB$19,1,FALSE,$A$16 &amp; $D$17), FALSE)</f>
        <v>ProceduraBackup</v>
      </c>
      <c r="AC11" s="668"/>
      <c r="AD11" s="667" t="str">
        <f ca="1">INDIRECT(ADDRESS($D$18-1,AD$19,1,FALSE,$A$16 &amp; $D$17), FALSE)</f>
        <v>EsiSisSofImpAccDatNonAut</v>
      </c>
      <c r="AE11" s="668"/>
      <c r="AF11" s="667" t="str">
        <f ca="1">INDIRECT(ADDRESS($D$18-1,AF$19,1,FALSE,$A$16 &amp; $D$17), FALSE)</f>
        <v>PresonaleImpiegato</v>
      </c>
      <c r="AG11" s="668"/>
      <c r="AH11" s="667" t="str">
        <f ca="1">INDIRECT(ADDRESS($D$18-1,AH$19,1,FALSE,$A$16 &amp; $D$17), FALSE)</f>
        <v>CusLocDivSalmacArmIgn</v>
      </c>
      <c r="AI11" s="668"/>
      <c r="AJ11" s="667" t="str">
        <f ca="1">INDIRECT(ADDRESS($D$18-1,AJ$19,1,FALSE,$A$16 &amp; $D$17), FALSE)</f>
        <v>ContrattoOutSourcing</v>
      </c>
      <c r="AK11" s="645"/>
      <c r="AL11" s="176"/>
      <c r="AM11" s="639" t="str">
        <f ca="1">INDIRECT(ADDRESS($AM$18-1,AM$19,1,FALSE,$A$16 &amp; $AM$17), FALSE)</f>
        <v>barrierefisiche</v>
      </c>
      <c r="AN11" s="640"/>
      <c r="AO11" s="639" t="str">
        <f ca="1">INDIRECT(ADDRESS($AM$18-1,AO$19,1,FALSE,$A$16 &amp; $AM$17), FALSE)</f>
        <v>controlloaccessi</v>
      </c>
      <c r="AP11" s="640"/>
      <c r="AQ11" s="639" t="str">
        <f ca="1">INDIRECT(ADDRESS($AM$18-1,AQ$19,1,FALSE,$A$16 &amp; $AM$17), FALSE)</f>
        <v>EsiSisVidSorRegH24</v>
      </c>
      <c r="AR11" s="640"/>
      <c r="AS11" s="639" t="str">
        <f ca="1">INDIRECT(ADDRESS($AM$18-1,AS$19,1,FALSE,$A$16 &amp; $AM$17), FALSE)</f>
        <v>firewall</v>
      </c>
      <c r="AT11" s="640"/>
      <c r="AU11" s="639" t="str">
        <f ca="1">INDIRECT(ADDRESS($AM$18-1,AU$19,1,FALSE,$A$16 &amp; $AM$17), FALSE)</f>
        <v>IDS/IPS</v>
      </c>
      <c r="AV11" s="640"/>
      <c r="AW11" s="639" t="str">
        <f ca="1">INDIRECT(ADDRESS($AM$18-1,AW$19,1,FALSE,$A$16 &amp; $AM$17), FALSE)</f>
        <v>nessuna</v>
      </c>
      <c r="AX11" s="640"/>
      <c r="AY11" s="639" t="str">
        <f ca="1">INDIRECT(ADDRESS($AM$18-1,AY$19,1,FALSE,$A$16 &amp; $AM$17), FALSE)</f>
        <v>sottoretiwireless</v>
      </c>
      <c r="AZ11" s="640"/>
      <c r="BA11" s="639" t="str">
        <f ca="1">INDIRECT(ADDRESS($AM$18-1,BA$19,1,FALSE,$A$16 &amp; $AM$17), FALSE)</f>
        <v>retiwifi</v>
      </c>
      <c r="BB11" s="640"/>
      <c r="BC11" s="639" t="str">
        <f ca="1">INDIRECT(ADDRESS($AM$18-1,BC$19,1,FALSE,$A$16 &amp; $AM$17), FALSE)</f>
        <v>accessirete</v>
      </c>
      <c r="BD11" s="640"/>
      <c r="BE11" s="639" t="str">
        <f ca="1">INDIRECT(ADDRESS($AM$18-1,BE$19,1,FALSE,$A$16 &amp; $AM$17), FALSE)</f>
        <v>accessivpn</v>
      </c>
      <c r="BF11" s="640"/>
      <c r="BG11" s="639" t="str">
        <f ca="1">INDIRECT(ADDRESS($AM$18-1,BG$19,1,FALSE,$A$16 &amp; $AM$17), FALSE)</f>
        <v>UtiFirProConRetPub</v>
      </c>
      <c r="BH11" s="640"/>
      <c r="BI11" s="639" t="str">
        <f ca="1">INDIRECT(ADDRESS($AM$18-1,BI$19,1,FALSE,$A$16 &amp; $AM$17), FALSE)</f>
        <v>ConFirAccRetDMZ</v>
      </c>
      <c r="BJ11" s="640"/>
      <c r="BK11" s="639" t="str">
        <f ca="1">INDIRECT(ADDRESS($AM$18-1,BK$19,1,FALSE,$A$16 &amp; $AM$17), FALSE)</f>
        <v>utilDs_IPS</v>
      </c>
      <c r="BL11" s="640"/>
      <c r="BM11" s="639" t="str">
        <f ca="1">INDIRECT(ADDRESS($AM$18-1,BM$19,1,FALSE,$A$16 &amp; $AM$17), FALSE)</f>
        <v>EsiSisCenRacInfCri</v>
      </c>
      <c r="BN11" s="640"/>
      <c r="BO11" s="178"/>
      <c r="BP11" s="639" t="str">
        <f ca="1">INDIRECT(ADDRESS($BP$18-1,BP$19,1,FALSE,$A$16 &amp; $BP$17), FALSE)</f>
        <v>PianoFormalizzato</v>
      </c>
      <c r="BQ11" s="640"/>
      <c r="BR11" s="639" t="str">
        <f ca="1">INDIRECT(ADDRESS($BP$18-1,BR$19,1,FALSE,$A$16 &amp; $BP$17), FALSE)</f>
        <v>ProcedureOperative</v>
      </c>
      <c r="BS11" s="640"/>
      <c r="BT11" s="639" t="str">
        <f ca="1">INDIRECT(ADDRESS($BP$18-1,BT$19,1,FALSE,$A$16 &amp; $BP$17), FALSE)</f>
        <v>DisasterRecovery</v>
      </c>
      <c r="BU11" s="640"/>
      <c r="BV11" s="639" t="str">
        <f ca="1">INDIRECT(ADDRESS($BP$18-1,BV$19,1,FALSE,$A$16 &amp; $BP$17), FALSE)</f>
        <v>SviluppoApplicazioni</v>
      </c>
      <c r="BW11" s="640"/>
      <c r="BX11" s="639" t="str">
        <f ca="1">INDIRECT(ADDRESS($BP$18-1,BX$19,1,FALSE,$A$16 &amp; $BP$17), FALSE)</f>
        <v>ServerPosta</v>
      </c>
      <c r="BY11" s="640"/>
      <c r="BZ11" s="639" t="str">
        <f ca="1">INDIRECT(ADDRESS($BP$18-1,BZ$19,1,FALSE,$A$16 &amp; $BP$17), FALSE)</f>
        <v>FiltroAntiSpam</v>
      </c>
      <c r="CA11" s="640"/>
      <c r="CB11" s="639" t="str">
        <f ca="1">INDIRECT(ADDRESS($BP$18-1,CB$19,1,FALSE,$A$16 &amp; $BP$17), FALSE)</f>
        <v>ProtocolloHttps</v>
      </c>
      <c r="CC11" s="640"/>
      <c r="CD11" s="639" t="str">
        <f ca="1">INDIRECT(ADDRESS($BP$18-1,CD$19,1,FALSE,$A$16 &amp; $BP$17), FALSE)</f>
        <v>ProtezioneAntivirus</v>
      </c>
      <c r="CE11" s="640"/>
      <c r="CF11" s="639" t="str">
        <f ca="1">INDIRECT(ADDRESS($BP$18-1,CF$19,1,FALSE,$A$16 &amp; $BP$17), FALSE)</f>
        <v>IntrusioniRiuscite</v>
      </c>
      <c r="CG11" s="640"/>
      <c r="CH11" s="639" t="str">
        <f ca="1">INDIRECT(ADDRESS($BP$18-1,CH$19,1,FALSE,$A$16 &amp; $BP$17), FALSE)</f>
        <v>IntrusioneQuante</v>
      </c>
      <c r="CI11" s="640"/>
      <c r="CJ11" s="639" t="str">
        <f ca="1">INDIRECT(ADDRESS($BP$18-1,CJ$19,1,FALSE,$A$16 &amp; $BP$17), FALSE)</f>
        <v>Denial Of Service</v>
      </c>
      <c r="CK11" s="640"/>
      <c r="CL11" s="639" t="str">
        <f ca="1">INDIRECT(ADDRESS($BP$18-1,CL$19,1,FALSE,$A$16 &amp; $BP$17), FALSE)</f>
        <v>Utilizzo di risorse protette</v>
      </c>
      <c r="CM11" s="640"/>
      <c r="CN11" s="639" t="str">
        <f ca="1">INDIRECT(ADDRESS($BP$18-1,CN$19,1,FALSE,$A$16 &amp; $BP$17), FALSE)</f>
        <v>Accesso a dati riservati</v>
      </c>
      <c r="CO11" s="640"/>
      <c r="CP11" s="639" t="str">
        <f ca="1">INDIRECT(ADDRESS($BP$18-1,CP$19,1,FALSE,$A$16 &amp; $BP$17), FALSE)</f>
        <v>Altro tipo</v>
      </c>
      <c r="CQ11" s="640"/>
      <c r="CR11" s="178"/>
      <c r="CS11" s="639" t="str">
        <f ca="1">INDIRECT(ADDRESS($CS$18-1,CS$19,1,FALSE,$A$16 &amp; $CS$17), FALSE)</f>
        <v>FormalmenteDefinito</v>
      </c>
      <c r="CT11" s="640"/>
      <c r="CU11" s="639" t="str">
        <f ca="1">INDIRECT(ADDRESS($CS$18-1,CU$19,1,FALSE,$A$16 &amp; $CS$17), FALSE)</f>
        <v>DefinizioneFormale</v>
      </c>
      <c r="CV11" s="640"/>
      <c r="CW11" s="639" t="str">
        <f ca="1">INDIRECT(ADDRESS($CS$18-1,CW$19,1,FALSE,$A$16 &amp; $CS$17), FALSE)</f>
        <v>RuoliAttribuiti</v>
      </c>
      <c r="CX11" s="640"/>
      <c r="CY11" s="639" t="str">
        <f ca="1">INDIRECT(ADDRESS($CS$18-1,CY$19,1,FALSE,$A$16 &amp; $CS$17), FALSE)</f>
        <v>CentroGestione</v>
      </c>
      <c r="CZ11" s="640"/>
      <c r="DA11" s="639" t="str">
        <f ca="1">INDIRECT(ADDRESS($CS$18-1,DA$19,1,FALSE,$A$16 &amp; $CS$17), FALSE)</f>
        <v>GruppoGestione</v>
      </c>
      <c r="DB11" s="640"/>
      <c r="DC11" s="639" t="str">
        <f ca="1">INDIRECT(ADDRESS($CS$18-1,DC$19,1,FALSE,$A$16 &amp; $CS$17), FALSE)</f>
        <v>ResponsabileProtezione</v>
      </c>
      <c r="DD11" s="640"/>
      <c r="DE11" s="639" t="str">
        <f ca="1">INDIRECT(ADDRESS($CS$18-1,DE$19,1,FALSE,$A$16 &amp; $CS$17), FALSE)</f>
        <v>ProcedureGestione</v>
      </c>
      <c r="DF11" s="640"/>
      <c r="DG11" s="639" t="str">
        <f ca="1">INDIRECT(ADDRESS($CS$18-1,DG$19,1,FALSE,$A$16 &amp; $CS$17), FALSE)</f>
        <v>PolicyBackup</v>
      </c>
      <c r="DH11" s="640"/>
      <c r="DI11" s="639" t="str">
        <f ca="1">INDIRECT(ADDRESS($CS$18-1,DI$19,1,FALSE,$A$16 &amp; $CS$17), FALSE)</f>
        <v>ProceduraBackup</v>
      </c>
      <c r="DJ11" s="640"/>
      <c r="DK11" s="639" t="str">
        <f ca="1">INDIRECT(ADDRESS($CS$18-1,DK$19,1,FALSE,$A$16 &amp; $CS$17), FALSE)</f>
        <v>PresonaleImpiegato</v>
      </c>
      <c r="DL11" s="640"/>
      <c r="DM11" s="639" t="str">
        <f ca="1">INDIRECT(ADDRESS($CS$18-1,DM$19,1,FALSE,$A$16 &amp; $CS$17), FALSE)</f>
        <v>ContrattoOutSourcing</v>
      </c>
      <c r="DN11" s="640"/>
      <c r="DO11" s="639" t="str">
        <f ca="1">INDIRECT(ADDRESS($CS$18-1,DO$19,1,FALSE,$A$16 &amp; $CS$17), FALSE)</f>
        <v>AuditGestione</v>
      </c>
      <c r="DP11" s="640"/>
      <c r="DQ11" s="639" t="str">
        <f ca="1">INDIRECT(ADDRESS($CS$18-1,DQ$19,1,FALSE,$A$16 &amp; $CS$17), FALSE)</f>
        <v>PrevisioneSpesa</v>
      </c>
      <c r="DR11" s="640"/>
      <c r="DS11" s="639" t="str">
        <f ca="1">INDIRECT(ADDRESS($CS$18-1,DS$19,1,FALSE,$A$16 &amp; $CS$17), FALSE)</f>
        <v>VoceSicurezza</v>
      </c>
      <c r="DT11" s="640"/>
      <c r="DU11" s="639" t="str">
        <f ca="1">INDIRECT(ADDRESS($CS$18-1,DU$19,1,FALSE,$A$16 &amp; $CS$17), FALSE)</f>
        <v>AnalisiRichi</v>
      </c>
      <c r="DV11" s="640"/>
      <c r="DW11" s="639" t="str">
        <f ca="1">INDIRECT(ADDRESS($CS$18-1,DW$19,1,FALSE,$A$16 &amp; $CS$17), FALSE)</f>
        <v>IniziativePrese</v>
      </c>
      <c r="DX11" s="640"/>
      <c r="DY11" s="639" t="str">
        <f ca="1">INDIRECT(ADDRESS($CS$18-1,DY$19,1,FALSE,$A$16 &amp; $CS$17), FALSE)</f>
        <v>PianoFormazione</v>
      </c>
      <c r="DZ11" s="640"/>
      <c r="EA11" s="639" t="str">
        <f ca="1">INDIRECT(ADDRESS($CS$18-1,EA$19,1,FALSE,$A$16 &amp; $CS$17), FALSE)</f>
        <v>PercentualeAddetti</v>
      </c>
      <c r="EB11" s="645"/>
      <c r="EC11" s="86"/>
    </row>
    <row r="12" spans="1:146" s="119" customFormat="1">
      <c r="A12" s="231" t="s">
        <v>389</v>
      </c>
      <c r="B12" s="231"/>
      <c r="C12" s="231"/>
      <c r="D12" s="204">
        <v>1</v>
      </c>
      <c r="E12" s="204"/>
      <c r="F12" s="204">
        <f>D12+1</f>
        <v>2</v>
      </c>
      <c r="G12" s="204"/>
      <c r="H12" s="204">
        <f>F12+1</f>
        <v>3</v>
      </c>
      <c r="I12" s="204"/>
      <c r="J12" s="204">
        <f>H12+1</f>
        <v>4</v>
      </c>
      <c r="K12" s="204"/>
      <c r="L12" s="204">
        <f>J12+1</f>
        <v>5</v>
      </c>
      <c r="M12" s="204"/>
      <c r="N12" s="204">
        <f>L12+1</f>
        <v>6</v>
      </c>
      <c r="O12" s="204"/>
      <c r="P12" s="204">
        <f>N12+1</f>
        <v>7</v>
      </c>
      <c r="Q12" s="204"/>
      <c r="R12" s="204">
        <f>P12+1</f>
        <v>8</v>
      </c>
      <c r="S12" s="204"/>
      <c r="T12" s="204">
        <f>R12+1</f>
        <v>9</v>
      </c>
      <c r="U12" s="204"/>
      <c r="V12" s="204">
        <f>T12+1</f>
        <v>10</v>
      </c>
      <c r="W12" s="204"/>
      <c r="X12" s="204">
        <f>V12+1</f>
        <v>11</v>
      </c>
      <c r="Y12" s="204"/>
      <c r="Z12" s="204">
        <f>X12+1</f>
        <v>12</v>
      </c>
      <c r="AA12" s="204"/>
      <c r="AB12" s="204">
        <f>Z12+1</f>
        <v>13</v>
      </c>
      <c r="AC12" s="204"/>
      <c r="AD12" s="204">
        <f>AB12+1</f>
        <v>14</v>
      </c>
      <c r="AE12" s="204"/>
      <c r="AF12" s="204">
        <f>AD12+1</f>
        <v>15</v>
      </c>
      <c r="AG12" s="204"/>
      <c r="AH12" s="204">
        <f>AF12+1</f>
        <v>16</v>
      </c>
      <c r="AI12" s="204"/>
      <c r="AJ12" s="204">
        <f>AH12+1</f>
        <v>17</v>
      </c>
      <c r="AK12" s="205"/>
      <c r="AL12" s="177"/>
      <c r="AM12" s="169">
        <f>AJ12+1</f>
        <v>18</v>
      </c>
      <c r="AN12" s="169"/>
      <c r="AO12" s="117">
        <f>AM12+1</f>
        <v>19</v>
      </c>
      <c r="AP12" s="117"/>
      <c r="AQ12" s="117">
        <f>AO12+1</f>
        <v>20</v>
      </c>
      <c r="AR12" s="117"/>
      <c r="AS12" s="117">
        <f>AQ12+1</f>
        <v>21</v>
      </c>
      <c r="AT12" s="117"/>
      <c r="AU12" s="117">
        <f>AS12+1</f>
        <v>22</v>
      </c>
      <c r="AV12" s="117"/>
      <c r="AW12" s="117">
        <f>AU12+1</f>
        <v>23</v>
      </c>
      <c r="AX12" s="117"/>
      <c r="AY12" s="117">
        <f>AW12+1</f>
        <v>24</v>
      </c>
      <c r="AZ12" s="117"/>
      <c r="BA12" s="117">
        <f>AY12+1</f>
        <v>25</v>
      </c>
      <c r="BB12" s="117"/>
      <c r="BC12" s="117">
        <f>BA12+1</f>
        <v>26</v>
      </c>
      <c r="BD12" s="117"/>
      <c r="BE12" s="117">
        <f>BC12+1</f>
        <v>27</v>
      </c>
      <c r="BF12" s="117"/>
      <c r="BG12" s="117">
        <f>BE12+1</f>
        <v>28</v>
      </c>
      <c r="BH12" s="117"/>
      <c r="BI12" s="117">
        <f>BG12+1</f>
        <v>29</v>
      </c>
      <c r="BJ12" s="117"/>
      <c r="BK12" s="117">
        <f>BI12+1</f>
        <v>30</v>
      </c>
      <c r="BL12" s="117"/>
      <c r="BM12" s="117">
        <f>BK12+1</f>
        <v>31</v>
      </c>
      <c r="BN12" s="218"/>
      <c r="BO12" s="117"/>
      <c r="BP12" s="117">
        <f>BM12+1</f>
        <v>32</v>
      </c>
      <c r="BQ12" s="117"/>
      <c r="BR12" s="117">
        <f>BP12+1</f>
        <v>33</v>
      </c>
      <c r="BS12" s="117"/>
      <c r="BT12" s="117">
        <f>BR12+1</f>
        <v>34</v>
      </c>
      <c r="BU12" s="117"/>
      <c r="BV12" s="117">
        <f>BT12+1</f>
        <v>35</v>
      </c>
      <c r="BW12" s="117"/>
      <c r="BX12" s="117">
        <f>BV12+1</f>
        <v>36</v>
      </c>
      <c r="BY12" s="117"/>
      <c r="BZ12" s="117">
        <f>BX12+1</f>
        <v>37</v>
      </c>
      <c r="CA12" s="117"/>
      <c r="CB12" s="117">
        <f>BZ12+1</f>
        <v>38</v>
      </c>
      <c r="CC12" s="117"/>
      <c r="CD12" s="117">
        <f>CB12+1</f>
        <v>39</v>
      </c>
      <c r="CE12" s="117"/>
      <c r="CF12" s="117">
        <f>CD12+1</f>
        <v>40</v>
      </c>
      <c r="CG12" s="117"/>
      <c r="CH12" s="117">
        <f>CF12+1</f>
        <v>41</v>
      </c>
      <c r="CI12" s="117"/>
      <c r="CJ12" s="117">
        <f>CH12+1</f>
        <v>42</v>
      </c>
      <c r="CK12" s="117"/>
      <c r="CL12" s="117">
        <f>CJ12+1</f>
        <v>43</v>
      </c>
      <c r="CM12" s="117"/>
      <c r="CN12" s="117">
        <f>CL12+1</f>
        <v>44</v>
      </c>
      <c r="CO12" s="117"/>
      <c r="CP12" s="117">
        <f>CN12+1</f>
        <v>45</v>
      </c>
      <c r="CQ12" s="170"/>
      <c r="CR12" s="117"/>
      <c r="CS12" s="117">
        <f>CP12+1</f>
        <v>46</v>
      </c>
      <c r="CT12" s="117"/>
      <c r="CU12" s="117">
        <f>CS12+1</f>
        <v>47</v>
      </c>
      <c r="CV12" s="117"/>
      <c r="CW12" s="117">
        <f>CU12+1</f>
        <v>48</v>
      </c>
      <c r="CX12" s="117"/>
      <c r="CY12" s="117">
        <f>CW12+1</f>
        <v>49</v>
      </c>
      <c r="CZ12" s="117"/>
      <c r="DA12" s="117">
        <f>CY12+1</f>
        <v>50</v>
      </c>
      <c r="DB12" s="117"/>
      <c r="DC12" s="117">
        <f>DA12+1</f>
        <v>51</v>
      </c>
      <c r="DD12" s="117"/>
      <c r="DE12" s="117">
        <f>DC12+1</f>
        <v>52</v>
      </c>
      <c r="DF12" s="117"/>
      <c r="DG12" s="117">
        <f>DE12+1</f>
        <v>53</v>
      </c>
      <c r="DH12" s="117"/>
      <c r="DI12" s="117">
        <f>DG12+1</f>
        <v>54</v>
      </c>
      <c r="DJ12" s="117"/>
      <c r="DK12" s="117">
        <f>DI12+1</f>
        <v>55</v>
      </c>
      <c r="DL12" s="117"/>
      <c r="DM12" s="117">
        <f>DK12+1</f>
        <v>56</v>
      </c>
      <c r="DN12" s="117"/>
      <c r="DO12" s="117">
        <f>DM12+1</f>
        <v>57</v>
      </c>
      <c r="DP12" s="117"/>
      <c r="DQ12" s="117">
        <f>DO12+1</f>
        <v>58</v>
      </c>
      <c r="DR12" s="117"/>
      <c r="DS12" s="117">
        <f>DQ12+1</f>
        <v>59</v>
      </c>
      <c r="DT12" s="117"/>
      <c r="DU12" s="117">
        <f>DS12+1</f>
        <v>60</v>
      </c>
      <c r="DV12" s="117"/>
      <c r="DW12" s="117">
        <f>DU12+1</f>
        <v>61</v>
      </c>
      <c r="DX12" s="117"/>
      <c r="DY12" s="117">
        <f>DW12+1</f>
        <v>62</v>
      </c>
      <c r="DZ12" s="117"/>
      <c r="EA12" s="222">
        <f>DY12+1</f>
        <v>63</v>
      </c>
      <c r="EB12" s="170"/>
      <c r="EC12" s="118"/>
    </row>
    <row r="13" spans="1:146" s="60" customFormat="1">
      <c r="A13" s="230" t="s">
        <v>360</v>
      </c>
      <c r="B13" s="286"/>
      <c r="C13" s="286"/>
      <c r="D13" s="171">
        <v>1</v>
      </c>
      <c r="E13" s="171"/>
      <c r="F13" s="171">
        <f>D13+1</f>
        <v>2</v>
      </c>
      <c r="G13" s="171"/>
      <c r="H13" s="171">
        <f>F13+1</f>
        <v>3</v>
      </c>
      <c r="I13" s="171"/>
      <c r="J13" s="669" t="s">
        <v>77</v>
      </c>
      <c r="K13" s="695"/>
      <c r="L13" s="685"/>
      <c r="M13" s="685"/>
      <c r="N13" s="685"/>
      <c r="O13" s="685"/>
      <c r="P13" s="685"/>
      <c r="Q13" s="651"/>
      <c r="R13" s="669">
        <f>H13+1</f>
        <v>4</v>
      </c>
      <c r="S13" s="670"/>
      <c r="T13" s="669" t="s">
        <v>77</v>
      </c>
      <c r="U13" s="670"/>
      <c r="V13" s="669" t="s">
        <v>78</v>
      </c>
      <c r="W13" s="670"/>
      <c r="X13" s="669" t="s">
        <v>79</v>
      </c>
      <c r="Y13" s="670"/>
      <c r="Z13" s="669">
        <f>R13+1</f>
        <v>5</v>
      </c>
      <c r="AA13" s="670"/>
      <c r="AB13" s="669">
        <f>Z13+1</f>
        <v>6</v>
      </c>
      <c r="AC13" s="670"/>
      <c r="AD13" s="669">
        <f>AB13+1</f>
        <v>7</v>
      </c>
      <c r="AE13" s="670"/>
      <c r="AF13" s="669">
        <f>AD13+1</f>
        <v>8</v>
      </c>
      <c r="AG13" s="670"/>
      <c r="AH13" s="669" t="s">
        <v>77</v>
      </c>
      <c r="AI13" s="670"/>
      <c r="AJ13" s="669">
        <f>AF13+1</f>
        <v>9</v>
      </c>
      <c r="AK13" s="651"/>
      <c r="AL13" s="196"/>
      <c r="AM13" s="200">
        <v>1</v>
      </c>
      <c r="AN13" s="200"/>
      <c r="AO13" s="200">
        <f>AM13+1</f>
        <v>2</v>
      </c>
      <c r="AP13" s="200"/>
      <c r="AQ13" s="200">
        <f>AO13+1</f>
        <v>3</v>
      </c>
      <c r="AR13" s="200"/>
      <c r="AS13" s="674">
        <f>AQ13+1</f>
        <v>4</v>
      </c>
      <c r="AT13" s="675"/>
      <c r="AU13" s="673"/>
      <c r="AV13" s="673"/>
      <c r="AW13" s="673"/>
      <c r="AX13" s="651"/>
      <c r="AY13" s="200">
        <f>AS13+1</f>
        <v>5</v>
      </c>
      <c r="AZ13" s="200"/>
      <c r="BA13" s="200" t="s">
        <v>77</v>
      </c>
      <c r="BB13" s="200"/>
      <c r="BC13" s="200">
        <f>AY13+1</f>
        <v>6</v>
      </c>
      <c r="BD13" s="200"/>
      <c r="BE13" s="200" t="s">
        <v>77</v>
      </c>
      <c r="BF13" s="200"/>
      <c r="BG13" s="200">
        <f>BC13+1</f>
        <v>7</v>
      </c>
      <c r="BH13" s="200"/>
      <c r="BI13" s="200" t="s">
        <v>77</v>
      </c>
      <c r="BJ13" s="200"/>
      <c r="BK13" s="200">
        <f>BG13+1</f>
        <v>8</v>
      </c>
      <c r="BL13" s="200"/>
      <c r="BM13" s="200">
        <f>BK13+1</f>
        <v>9</v>
      </c>
      <c r="BN13" s="217"/>
      <c r="BO13" s="219"/>
      <c r="BP13" s="188">
        <v>1</v>
      </c>
      <c r="BQ13" s="188"/>
      <c r="BR13" s="188">
        <f>BP13+1</f>
        <v>2</v>
      </c>
      <c r="BS13" s="188"/>
      <c r="BT13" s="188">
        <f>BR13+1</f>
        <v>3</v>
      </c>
      <c r="BU13" s="188"/>
      <c r="BV13" s="188">
        <f>BT13+1</f>
        <v>4</v>
      </c>
      <c r="BW13" s="188"/>
      <c r="BX13" s="188">
        <f>BV13+1</f>
        <v>5</v>
      </c>
      <c r="BY13" s="188"/>
      <c r="BZ13" s="188">
        <f>BX13+1</f>
        <v>6</v>
      </c>
      <c r="CA13" s="188"/>
      <c r="CB13" s="188">
        <f>BZ13+1</f>
        <v>7</v>
      </c>
      <c r="CC13" s="188"/>
      <c r="CD13" s="188">
        <f>CB13+1</f>
        <v>8</v>
      </c>
      <c r="CE13" s="188"/>
      <c r="CF13" s="188">
        <f>CD13+1</f>
        <v>9</v>
      </c>
      <c r="CG13" s="188"/>
      <c r="CH13" s="188" t="s">
        <v>77</v>
      </c>
      <c r="CI13" s="188"/>
      <c r="CJ13" s="660" t="s">
        <v>78</v>
      </c>
      <c r="CK13" s="661"/>
      <c r="CL13" s="662"/>
      <c r="CM13" s="662"/>
      <c r="CN13" s="662"/>
      <c r="CO13" s="662"/>
      <c r="CP13" s="662"/>
      <c r="CQ13" s="651"/>
      <c r="CR13" s="186"/>
      <c r="CS13" s="189">
        <v>1</v>
      </c>
      <c r="CT13" s="189"/>
      <c r="CU13" s="189">
        <f>CS13+1</f>
        <v>2</v>
      </c>
      <c r="CV13" s="189"/>
      <c r="CW13" s="189">
        <f>CU13+1</f>
        <v>3</v>
      </c>
      <c r="CX13" s="189"/>
      <c r="CY13" s="189">
        <f>CW13+1</f>
        <v>4</v>
      </c>
      <c r="CZ13" s="189"/>
      <c r="DA13" s="189">
        <f>CY13+1</f>
        <v>5</v>
      </c>
      <c r="DB13" s="189"/>
      <c r="DC13" s="189">
        <f>DA13+1</f>
        <v>6</v>
      </c>
      <c r="DD13" s="189"/>
      <c r="DE13" s="189">
        <f>DC13+1</f>
        <v>7</v>
      </c>
      <c r="DF13" s="189"/>
      <c r="DG13" s="189">
        <f>DE13+1</f>
        <v>8</v>
      </c>
      <c r="DH13" s="189"/>
      <c r="DI13" s="189" t="s">
        <v>77</v>
      </c>
      <c r="DJ13" s="189"/>
      <c r="DK13" s="189">
        <f>DG13+1</f>
        <v>9</v>
      </c>
      <c r="DL13" s="189"/>
      <c r="DM13" s="189" t="s">
        <v>77</v>
      </c>
      <c r="DN13" s="189"/>
      <c r="DO13" s="189" t="s">
        <v>78</v>
      </c>
      <c r="DP13" s="189"/>
      <c r="DQ13" s="189">
        <f>DK13+1</f>
        <v>10</v>
      </c>
      <c r="DR13" s="189"/>
      <c r="DS13" s="189" t="s">
        <v>77</v>
      </c>
      <c r="DT13" s="189"/>
      <c r="DU13" s="189">
        <f>DQ13+1</f>
        <v>11</v>
      </c>
      <c r="DV13" s="189"/>
      <c r="DW13" s="189">
        <f>DU13+1</f>
        <v>12</v>
      </c>
      <c r="DX13" s="189"/>
      <c r="DY13" s="189">
        <f>DW13+1</f>
        <v>13</v>
      </c>
      <c r="DZ13" s="189"/>
      <c r="EA13" s="189" t="s">
        <v>77</v>
      </c>
      <c r="EB13" s="227"/>
      <c r="EC13" s="74"/>
    </row>
    <row r="14" spans="1:146" ht="13">
      <c r="A14" s="175" t="s">
        <v>390</v>
      </c>
      <c r="B14" s="287"/>
      <c r="C14" s="287"/>
      <c r="D14" s="172" t="s">
        <v>130</v>
      </c>
      <c r="E14" s="163"/>
      <c r="F14" s="683" t="str">
        <f>D14 &amp; "  -  Sicurezza Logica"</f>
        <v>KPI 1  -  Sicurezza Logica</v>
      </c>
      <c r="G14" s="684"/>
      <c r="H14" s="685"/>
      <c r="I14" s="685"/>
      <c r="J14" s="685"/>
      <c r="K14" s="685"/>
      <c r="L14" s="685"/>
      <c r="M14" s="685"/>
      <c r="N14" s="685"/>
      <c r="O14" s="685"/>
      <c r="P14" s="685"/>
      <c r="Q14" s="685"/>
      <c r="R14" s="685"/>
      <c r="S14" s="685"/>
      <c r="T14" s="685"/>
      <c r="U14" s="685"/>
      <c r="V14" s="685"/>
      <c r="W14" s="685"/>
      <c r="X14" s="685"/>
      <c r="Y14" s="685"/>
      <c r="Z14" s="685"/>
      <c r="AA14" s="685"/>
      <c r="AB14" s="685"/>
      <c r="AC14" s="685"/>
      <c r="AD14" s="685"/>
      <c r="AE14" s="685"/>
      <c r="AF14" s="685"/>
      <c r="AG14" s="685"/>
      <c r="AH14" s="685"/>
      <c r="AI14" s="685"/>
      <c r="AJ14" s="685"/>
      <c r="AK14" s="686"/>
      <c r="AL14" s="213"/>
      <c r="AM14" s="201" t="s">
        <v>131</v>
      </c>
      <c r="AN14" s="201"/>
      <c r="AO14" s="671" t="str">
        <f>AM14 &amp; "  -  Sicurezza Infrastruttura"</f>
        <v>KPI 2  -  Sicurezza Infrastruttura</v>
      </c>
      <c r="AP14" s="672"/>
      <c r="AQ14" s="673"/>
      <c r="AR14" s="673"/>
      <c r="AS14" s="673"/>
      <c r="AT14" s="673"/>
      <c r="AU14" s="673"/>
      <c r="AV14" s="673"/>
      <c r="AW14" s="673"/>
      <c r="AX14" s="673"/>
      <c r="AY14" s="673"/>
      <c r="AZ14" s="673"/>
      <c r="BA14" s="673"/>
      <c r="BB14" s="673"/>
      <c r="BC14" s="673"/>
      <c r="BD14" s="673"/>
      <c r="BE14" s="673"/>
      <c r="BF14" s="673"/>
      <c r="BG14" s="673"/>
      <c r="BH14" s="673"/>
      <c r="BI14" s="673"/>
      <c r="BJ14" s="673"/>
      <c r="BK14" s="673"/>
      <c r="BL14" s="673"/>
      <c r="BM14" s="673"/>
      <c r="BN14" s="651"/>
      <c r="BO14" s="182"/>
      <c r="BP14" s="193" t="s">
        <v>5</v>
      </c>
      <c r="BQ14" s="193"/>
      <c r="BR14" s="656" t="str">
        <f>BP14 &amp; "  -  Sicurezza Servizi"</f>
        <v>KPI 3  -  Sicurezza Servizi</v>
      </c>
      <c r="BS14" s="657"/>
      <c r="BT14" s="657"/>
      <c r="BU14" s="657"/>
      <c r="BV14" s="657"/>
      <c r="BW14" s="657"/>
      <c r="BX14" s="657"/>
      <c r="BY14" s="657"/>
      <c r="BZ14" s="657"/>
      <c r="CA14" s="657"/>
      <c r="CB14" s="657"/>
      <c r="CC14" s="657"/>
      <c r="CD14" s="657"/>
      <c r="CE14" s="657"/>
      <c r="CF14" s="657"/>
      <c r="CG14" s="657"/>
      <c r="CH14" s="657"/>
      <c r="CI14" s="657"/>
      <c r="CJ14" s="657"/>
      <c r="CK14" s="657"/>
      <c r="CL14" s="657"/>
      <c r="CM14" s="657"/>
      <c r="CN14" s="657"/>
      <c r="CO14" s="657"/>
      <c r="CP14" s="657"/>
      <c r="CQ14" s="651"/>
      <c r="CR14" s="182"/>
      <c r="CS14" s="190" t="s">
        <v>6</v>
      </c>
      <c r="CT14" s="190"/>
      <c r="CU14" s="648" t="str">
        <f>CS14 &amp; "  -  Sicurezza Organizzazione"</f>
        <v>KPI 4  -  Sicurezza Organizzazione</v>
      </c>
      <c r="CV14" s="649"/>
      <c r="CW14" s="650"/>
      <c r="CX14" s="650"/>
      <c r="CY14" s="650"/>
      <c r="CZ14" s="650"/>
      <c r="DA14" s="650"/>
      <c r="DB14" s="650"/>
      <c r="DC14" s="650"/>
      <c r="DD14" s="650"/>
      <c r="DE14" s="650"/>
      <c r="DF14" s="650"/>
      <c r="DG14" s="650"/>
      <c r="DH14" s="650"/>
      <c r="DI14" s="650"/>
      <c r="DJ14" s="650"/>
      <c r="DK14" s="650"/>
      <c r="DL14" s="650"/>
      <c r="DM14" s="650"/>
      <c r="DN14" s="650"/>
      <c r="DO14" s="650"/>
      <c r="DP14" s="650"/>
      <c r="DQ14" s="650"/>
      <c r="DR14" s="650"/>
      <c r="DS14" s="650"/>
      <c r="DT14" s="650"/>
      <c r="DU14" s="650"/>
      <c r="DV14" s="650"/>
      <c r="DW14" s="650"/>
      <c r="DX14" s="650"/>
      <c r="DY14" s="650"/>
      <c r="DZ14" s="650"/>
      <c r="EA14" s="650"/>
      <c r="EB14" s="651"/>
      <c r="EC14" s="82"/>
    </row>
    <row r="15" spans="1:146" s="60" customFormat="1">
      <c r="A15" s="168" t="s">
        <v>434</v>
      </c>
      <c r="B15" s="288"/>
      <c r="C15" s="288"/>
      <c r="D15" s="678" t="str">
        <f>$D14&amp;"."&amp;D13</f>
        <v>KPI 1.1</v>
      </c>
      <c r="E15" s="679"/>
      <c r="F15" s="678" t="str">
        <f>$D14&amp;"."&amp;F13</f>
        <v>KPI 1.2</v>
      </c>
      <c r="G15" s="679"/>
      <c r="H15" s="678" t="str">
        <f>$D14&amp;"."&amp;H13</f>
        <v>KPI 1.3</v>
      </c>
      <c r="I15" s="679"/>
      <c r="J15" s="678" t="str">
        <f>$D14&amp;"."&amp;H13&amp;J13</f>
        <v>KPI 1.3a</v>
      </c>
      <c r="K15" s="693"/>
      <c r="L15" s="694"/>
      <c r="M15" s="694"/>
      <c r="N15" s="694"/>
      <c r="O15" s="694"/>
      <c r="P15" s="694"/>
      <c r="Q15" s="647"/>
      <c r="R15" s="678" t="str">
        <f>$D14&amp;"."&amp;R13</f>
        <v>KPI 1.4</v>
      </c>
      <c r="S15" s="679"/>
      <c r="T15" s="678" t="str">
        <f>$D14&amp;"."&amp;R13&amp;T13</f>
        <v>KPI 1.4a</v>
      </c>
      <c r="U15" s="679"/>
      <c r="V15" s="678" t="str">
        <f>$D14&amp;"."&amp;R13&amp;V13</f>
        <v>KPI 1.4b</v>
      </c>
      <c r="W15" s="679"/>
      <c r="X15" s="678" t="str">
        <f>$D14&amp;"."&amp;R13&amp;X13</f>
        <v>KPI 1.4c</v>
      </c>
      <c r="Y15" s="679"/>
      <c r="Z15" s="678" t="str">
        <f>$D14&amp;"."&amp;Z13</f>
        <v>KPI 1.5</v>
      </c>
      <c r="AA15" s="679"/>
      <c r="AB15" s="678" t="str">
        <f>$D14&amp;"."&amp;AB13</f>
        <v>KPI 1.6</v>
      </c>
      <c r="AC15" s="679"/>
      <c r="AD15" s="678" t="str">
        <f>$D14&amp;"."&amp;AD13</f>
        <v>KPI 1.7</v>
      </c>
      <c r="AE15" s="679"/>
      <c r="AF15" s="678" t="str">
        <f>$D14&amp;"."&amp;AF13</f>
        <v>KPI 1.8</v>
      </c>
      <c r="AG15" s="679"/>
      <c r="AH15" s="678" t="str">
        <f>$D14&amp;"."&amp;AF13&amp;AH13</f>
        <v>KPI 1.8a</v>
      </c>
      <c r="AI15" s="679"/>
      <c r="AJ15" s="678" t="str">
        <f>$D14&amp;"."&amp;AJ13</f>
        <v>KPI 1.9</v>
      </c>
      <c r="AK15" s="682"/>
      <c r="AL15" s="214"/>
      <c r="AM15" s="676" t="str">
        <f>$AM14&amp;"."&amp;AM13</f>
        <v>KPI 2.1</v>
      </c>
      <c r="AN15" s="677"/>
      <c r="AO15" s="676" t="str">
        <f>$AM14&amp;"."&amp;AO13</f>
        <v>KPI 2.2</v>
      </c>
      <c r="AP15" s="677"/>
      <c r="AQ15" s="676" t="str">
        <f>$AM14&amp;"."&amp;AQ13</f>
        <v>KPI 2.3</v>
      </c>
      <c r="AR15" s="677"/>
      <c r="AS15" s="676" t="str">
        <f>$AM14&amp;"."&amp;AS13</f>
        <v>KPI 2.4</v>
      </c>
      <c r="AT15" s="680"/>
      <c r="AU15" s="681"/>
      <c r="AV15" s="681"/>
      <c r="AW15" s="681"/>
      <c r="AX15" s="647"/>
      <c r="AY15" s="676" t="str">
        <f>$AM14&amp;"."&amp;AY13</f>
        <v>KPI 2.5</v>
      </c>
      <c r="AZ15" s="677"/>
      <c r="BA15" s="676" t="str">
        <f>$AM14&amp;"."&amp;AY13&amp;BA13</f>
        <v>KPI 2.5a</v>
      </c>
      <c r="BB15" s="677"/>
      <c r="BC15" s="676" t="str">
        <f>$AM14&amp;"."&amp;BC13</f>
        <v>KPI 2.6</v>
      </c>
      <c r="BD15" s="677"/>
      <c r="BE15" s="676" t="str">
        <f>$AM14&amp;"."&amp;BC13&amp;BE13</f>
        <v>KPI 2.6a</v>
      </c>
      <c r="BF15" s="677"/>
      <c r="BG15" s="676" t="str">
        <f>$AM14&amp;"."&amp;BG13</f>
        <v>KPI 2.7</v>
      </c>
      <c r="BH15" s="677"/>
      <c r="BI15" s="676" t="str">
        <f>$AM14&amp;"."&amp;BG13&amp;BI13</f>
        <v>KPI 2.7a</v>
      </c>
      <c r="BJ15" s="677"/>
      <c r="BK15" s="676" t="str">
        <f>$AM14&amp;"."&amp;BK13</f>
        <v>KPI 2.8</v>
      </c>
      <c r="BL15" s="677"/>
      <c r="BM15" s="676" t="str">
        <f>$AM14&amp;"."&amp;BM13</f>
        <v>KPI 2.9</v>
      </c>
      <c r="BN15" s="677"/>
      <c r="BO15" s="187"/>
      <c r="BP15" s="652" t="str">
        <f>$BP14&amp;"."&amp;BP13</f>
        <v>KPI 3.1</v>
      </c>
      <c r="BQ15" s="653"/>
      <c r="BR15" s="652" t="str">
        <f>$BP14&amp;"."&amp;BR13</f>
        <v>KPI 3.2</v>
      </c>
      <c r="BS15" s="653"/>
      <c r="BT15" s="652" t="str">
        <f>$BP14&amp;"."&amp;BT13</f>
        <v>KPI 3.3</v>
      </c>
      <c r="BU15" s="653"/>
      <c r="BV15" s="652" t="str">
        <f>$BP14&amp;"."&amp;BV13</f>
        <v>KPI 3.4</v>
      </c>
      <c r="BW15" s="653"/>
      <c r="BX15" s="652" t="str">
        <f>$BP14&amp;"."&amp;BX13</f>
        <v>KPI 3.5</v>
      </c>
      <c r="BY15" s="653"/>
      <c r="BZ15" s="652" t="str">
        <f>$BP14&amp;"."&amp;BZ13</f>
        <v>KPI 3.6</v>
      </c>
      <c r="CA15" s="653"/>
      <c r="CB15" s="652" t="str">
        <f>$BP14&amp;"."&amp;CB13</f>
        <v>KPI 3.7</v>
      </c>
      <c r="CC15" s="653"/>
      <c r="CD15" s="652" t="str">
        <f>$BP14&amp;"."&amp;CD13</f>
        <v>KPI 3.8</v>
      </c>
      <c r="CE15" s="653"/>
      <c r="CF15" s="652" t="str">
        <f>$BP14&amp;"."&amp;CF13</f>
        <v>KPI 3.9</v>
      </c>
      <c r="CG15" s="653"/>
      <c r="CH15" s="652" t="str">
        <f>BP14&amp;"."&amp;CF13&amp;CH13</f>
        <v>KPI 3.9a</v>
      </c>
      <c r="CI15" s="653"/>
      <c r="CJ15" s="652" t="str">
        <f>$BP$14&amp;"."&amp;CF13&amp;CJ13</f>
        <v>KPI 3.9b</v>
      </c>
      <c r="CK15" s="663"/>
      <c r="CL15" s="664"/>
      <c r="CM15" s="664"/>
      <c r="CN15" s="664"/>
      <c r="CO15" s="664"/>
      <c r="CP15" s="664"/>
      <c r="CQ15" s="647"/>
      <c r="CR15" s="187"/>
      <c r="CS15" s="637" t="str">
        <f>$CS$14&amp;"."&amp;CS13</f>
        <v>KPI 4.1</v>
      </c>
      <c r="CT15" s="638"/>
      <c r="CU15" s="637" t="str">
        <f>$CS$14&amp;"."&amp;CU13</f>
        <v>KPI 4.2</v>
      </c>
      <c r="CV15" s="638"/>
      <c r="CW15" s="637" t="str">
        <f>$CS$14&amp;"."&amp;CW13</f>
        <v>KPI 4.3</v>
      </c>
      <c r="CX15" s="638"/>
      <c r="CY15" s="637" t="str">
        <f>$CS$14&amp;"."&amp;CY13</f>
        <v>KPI 4.4</v>
      </c>
      <c r="CZ15" s="638"/>
      <c r="DA15" s="637" t="str">
        <f>$CS$14&amp;"."&amp;DA13</f>
        <v>KPI 4.5</v>
      </c>
      <c r="DB15" s="638"/>
      <c r="DC15" s="637" t="str">
        <f>$CS$14&amp;"."&amp;DC13</f>
        <v>KPI 4.6</v>
      </c>
      <c r="DD15" s="638"/>
      <c r="DE15" s="637" t="str">
        <f>$CS$14&amp;"."&amp;DE13</f>
        <v>KPI 4.7</v>
      </c>
      <c r="DF15" s="638"/>
      <c r="DG15" s="637" t="str">
        <f>$CS$14&amp;"."&amp;DG13</f>
        <v>KPI 4.8</v>
      </c>
      <c r="DH15" s="638"/>
      <c r="DI15" s="637" t="str">
        <f>$CS$14&amp;"."&amp;DG13&amp;DI13</f>
        <v>KPI 4.8a</v>
      </c>
      <c r="DJ15" s="638"/>
      <c r="DK15" s="637" t="str">
        <f>$CS$14&amp;"."&amp;DK13</f>
        <v>KPI 4.9</v>
      </c>
      <c r="DL15" s="638"/>
      <c r="DM15" s="637" t="str">
        <f>$CS$14&amp;"."&amp;DK13&amp;DM13</f>
        <v>KPI 4.9a</v>
      </c>
      <c r="DN15" s="638"/>
      <c r="DO15" s="637" t="str">
        <f>$CS$14&amp;"."&amp;DK13&amp;DO13</f>
        <v>KPI 4.9b</v>
      </c>
      <c r="DP15" s="638"/>
      <c r="DQ15" s="637" t="str">
        <f>$CS$14&amp;"."&amp;DQ13</f>
        <v>KPI 4.10</v>
      </c>
      <c r="DR15" s="638"/>
      <c r="DS15" s="637" t="str">
        <f>$CS$14&amp;"."&amp;DQ13&amp;DS13</f>
        <v>KPI 4.10a</v>
      </c>
      <c r="DT15" s="638"/>
      <c r="DU15" s="637" t="str">
        <f>$CS$14&amp;"."&amp;DU13</f>
        <v>KPI 4.11</v>
      </c>
      <c r="DV15" s="638"/>
      <c r="DW15" s="637" t="str">
        <f>$CS$14&amp;"."&amp;DW13</f>
        <v>KPI 4.12</v>
      </c>
      <c r="DX15" s="638"/>
      <c r="DY15" s="637" t="str">
        <f>$CS$14&amp;"."&amp;DY13</f>
        <v>KPI 4.13</v>
      </c>
      <c r="DZ15" s="638"/>
      <c r="EA15" s="637" t="str">
        <f>$CS$14&amp;"."&amp;DY13&amp;EA13</f>
        <v>KPI 4.13a</v>
      </c>
      <c r="EB15" s="647"/>
      <c r="EC15" s="81"/>
    </row>
    <row r="16" spans="1:146" s="3" customFormat="1" ht="102.75" customHeight="1">
      <c r="A16" s="385" t="s">
        <v>476</v>
      </c>
      <c r="B16" s="386"/>
      <c r="C16" s="387"/>
      <c r="D16" s="696" t="str">
        <f ca="1">INDIRECT(ADDRESS($D$18-2,D$19,1,FALSE,$A$16 &amp; $D$17), FALSE)</f>
        <v>Quale modello di gestione e amministrazione della sicurezza del sistema informativo viene impiegato?</v>
      </c>
      <c r="E16" s="688"/>
      <c r="F16" s="687" t="str">
        <f ca="1">INDIRECT(ADDRESS($D$18-2,F$19,1,FALSE,$A$16 &amp; $D$17), FALSE)</f>
        <v xml:space="preserve">Sono state definite policy per l'uso delle risorse interne da parte degli utenti ? </v>
      </c>
      <c r="G16" s="688"/>
      <c r="H16" s="687" t="str">
        <f ca="1">INDIRECT(ADDRESS($D$18-2,H$19,1,FALSE,$A$16 &amp; $D$17), FALSE)</f>
        <v xml:space="preserve">Nel caso di acquisizione di prodotti o servizi, vengono considerate certificazioni di sicurezza ? </v>
      </c>
      <c r="I16" s="688"/>
      <c r="J16" s="687" t="str">
        <f ca="1">INDIRECT(ADDRESS($D$18-2,J$19,1,FALSE,$A$16 &amp; $D$17), FALSE)</f>
        <v xml:space="preserve">Nel caso vengano considerate certificazioni di sicurezza nell'acquisizione di prodotti o servizi, quali certificazioni sono considerate ?  </v>
      </c>
      <c r="K16" s="696"/>
      <c r="L16" s="697"/>
      <c r="M16" s="697"/>
      <c r="N16" s="697"/>
      <c r="O16" s="697"/>
      <c r="P16" s="697"/>
      <c r="Q16" s="646"/>
      <c r="R16" s="687" t="str">
        <f ca="1">INDIRECT(ADDRESS($D$18-2,R$19,1,FALSE,$A$16 &amp; $D$17), FALSE)</f>
        <v xml:space="preserve">Quali criteri/sistemi di autenticazione per l'accesso alla rete interna vengono utilizzati ? </v>
      </c>
      <c r="S16" s="688"/>
      <c r="T16" s="687" t="str">
        <f ca="1">INDIRECT(ADDRESS($D$18-2,T$19,1,FALSE,$A$16 &amp; $D$17), FALSE)</f>
        <v>Se si utilizzano UserID e password come sistema di autenticazione,sono state definite regole per la gestione delle password ?</v>
      </c>
      <c r="U16" s="688"/>
      <c r="V16" s="687" t="str">
        <f ca="1">INDIRECT(ADDRESS($D$18-2,V$19,1,FALSE,$A$16 &amp; $D$17), FALSE)</f>
        <v>E' prevista la scadenza automatica di un account/password ?</v>
      </c>
      <c r="W16" s="688"/>
      <c r="X16" s="687" t="str">
        <f ca="1">INDIRECT(ADDRESS($D$18-2,X$19,1,FALSE,$A$16 &amp; $D$17), FALSE)</f>
        <v>Esiste un controllo preventivo della scelta della password ?</v>
      </c>
      <c r="Y16" s="688"/>
      <c r="Z16" s="687" t="str">
        <f ca="1">INDIRECT(ADDRESS($D$18-2,Z$19,1,FALSE,$A$16 &amp; $D$17), FALSE)</f>
        <v xml:space="preserve">Con quale frequenza viene verificata la presenza di aggionamenti dei sistemi operativi dei server ? </v>
      </c>
      <c r="AA16" s="688"/>
      <c r="AB16" s="687" t="str">
        <f ca="1">INDIRECT(ADDRESS($D$18-2,AB$19,1,FALSE,$A$16 &amp; $D$17), FALSE)</f>
        <v xml:space="preserve">Esiste un sistema centralizzato di software distribution per l'aggiornamento automatico delle postazioni di lavoro ? </v>
      </c>
      <c r="AC16" s="688"/>
      <c r="AD16" s="689" t="str">
        <f ca="1">INDIRECT(ADDRESS($D$18-2,AD$19,1,FALSE,$A$16 &amp; $D$17), FALSE)</f>
        <v>Se esistono postazioni mobili o supporti dati che vengono trasportati oltre i confini del luogo di lavoro dell'amministrazione, vengono adottati sistemi software per impedire l'accesso ai dati da parte di persone non autorizzate?</v>
      </c>
      <c r="AE16" s="690"/>
      <c r="AF16" s="689" t="str">
        <f ca="1">INDIRECT(ADDRESS($D$18-2,AF$19,1,FALSE,$A$16 &amp; $D$17), FALSE)</f>
        <v xml:space="preserve">Sono state definite ed adottate tecnologie e procedure per il backup centralizzato ? </v>
      </c>
      <c r="AG16" s="690"/>
      <c r="AH16" s="689" t="str">
        <f ca="1">INDIRECT(ADDRESS($D$18-2,AH$19,1,FALSE,$A$16 &amp; $D$17), FALSE)</f>
        <v>Se si effettuano regolarmente backup dei sistemi, i supporti usati per il backup vengono custoditi in un locale diverso dalla sala macchine o in un armadio ignifugo?</v>
      </c>
      <c r="AI16" s="690"/>
      <c r="AJ16" s="687" t="str">
        <f ca="1">INDIRECT(ADDRESS($D$18-2,AJ$19,1,FALSE,$A$16 &amp; $D$17), FALSE)</f>
        <v>Viene utilizzato un sistema di controllo accessi per disciplinare l'accesso alle risorse elaborative ?</v>
      </c>
      <c r="AK16" s="646"/>
      <c r="AL16" s="226"/>
      <c r="AM16" s="658" t="str">
        <f ca="1">INDIRECT(ADDRESS($AM$18-2,AM$19,1,FALSE,$A$16 &amp; $AM$17), FALSE)</f>
        <v>Esistono barriere fisiche per limitare e perimetrare l'accesso alle risorse elaborative e alla rete interna ?</v>
      </c>
      <c r="AN16" s="659"/>
      <c r="AO16" s="658" t="str">
        <f ca="1">INDIRECT(ADDRESS($AM$18-2,AO$19,1,FALSE,$A$16 &amp; $AM$17), FALSE)</f>
        <v>Esiste un sistema di controllo dell'accesso fisico ai locali dove si trovano gli elaboratori e gli apparati di rete ?</v>
      </c>
      <c r="AP16" s="659"/>
      <c r="AQ16" s="658" t="str">
        <f ca="1">INDIRECT(ADDRESS($AM$18-2,AQ$19,1,FALSE,$A$16 &amp; $AM$17), FALSE)</f>
        <v>Se l'accesso ai locali critici è ristretto, esiste un sistema di videosorveglianza con registrazione delle riprese H24 ?</v>
      </c>
      <c r="AR16" s="659"/>
      <c r="AS16" s="658" t="str">
        <f ca="1">INDIRECT(ADDRESS($AM$18-2,AS$19,1,FALSE,$A$16 &amp; $AM$17), FALSE)</f>
        <v>Quali di queste protezioni di rete vengono utilizzate?</v>
      </c>
      <c r="AT16" s="698"/>
      <c r="AU16" s="699"/>
      <c r="AV16" s="699"/>
      <c r="AW16" s="699"/>
      <c r="AX16" s="646"/>
      <c r="AY16" s="658" t="str">
        <f ca="1">INDIRECT(ADDRESS($AM$18-2,AY$19,1,FALSE,$A$16 &amp; $AM$17), FALSE)</f>
        <v>Sono presenti sottoreti wireless?</v>
      </c>
      <c r="AZ16" s="659"/>
      <c r="BA16" s="658" t="str">
        <f ca="1">INDIRECT(ADDRESS($AM$18-2,BA$19,1,FALSE,$A$16 &amp; $AM$17), FALSE)</f>
        <v>Se si utilizzano reti Wi-Fi quali sistemi di protezione vengono utilizzati?</v>
      </c>
      <c r="BB16" s="659"/>
      <c r="BC16" s="658" t="str">
        <f ca="1">INDIRECT(ADDRESS($AM$18-2,BC$19,1,FALSE,$A$16 &amp; $AM$17), FALSE)</f>
        <v>Sono consentiti gli accessi alla rete interna da remoto ?</v>
      </c>
      <c r="BD16" s="659"/>
      <c r="BE16" s="658" t="str">
        <f ca="1">INDIRECT(ADDRESS($AM$18-2,BE$19,1,FALSE,$A$16 &amp; $AM$17), FALSE)</f>
        <v>Nel caso sia consentito l'accesso alla rete interna da remoto, la modalità di connessione utilizza VPN ?</v>
      </c>
      <c r="BF16" s="659"/>
      <c r="BG16" s="658" t="str">
        <f ca="1">INDIRECT(ADDRESS($AM$18-2,BG$19,1,FALSE,$A$16 &amp; $AM$17), FALSE)</f>
        <v>Viene utilizzato un firewall per la protezione delle connessioni alla rete pubblica?</v>
      </c>
      <c r="BH16" s="659"/>
      <c r="BI16" s="658" t="str">
        <f ca="1">INDIRECT(ADDRESS($AM$18-2,BI$19,1,FALSE,$A$16 &amp; $AM$17), FALSE)</f>
        <v>Nel caso vengano utilizzati firewall, la configurazione dei firewall per l'accesso alla rete pubblica prevede una o più DMZ (Demilitarized Zone) per il posizionamento dei server direttamente accessibilità da internet?</v>
      </c>
      <c r="BJ16" s="659"/>
      <c r="BK16" s="658" t="str">
        <f ca="1">INDIRECT(ADDRESS($AM$18-2,BK$19,1,FALSE,$A$16 &amp; $AM$17), FALSE)</f>
        <v>Viene utilizzato un IDS/IPS per la protezione delle connessioni alla rete pubblica?</v>
      </c>
      <c r="BL16" s="659"/>
      <c r="BM16" s="665" t="str">
        <f ca="1">INDIRECT(ADDRESS($AM$18-2,BM$19,1,FALSE,$A$16 &amp; $AM$17), FALSE)</f>
        <v>Esiste un sistema centralizzato per la raccolta ed il salvataggio delle informazioni critiche (system log, accounting, autorizzazione, autenticazione, tracciamento,IDS) quali accesso ai sistemi, alla rete, alle procedure, ai dati, ecc?</v>
      </c>
      <c r="BN16" s="666"/>
      <c r="BO16" s="226"/>
      <c r="BP16" s="643" t="str">
        <f ca="1">INDIRECT(ADDRESS($BP$18-2,BP$19,1,FALSE,$A$16 &amp; $BP$17), FALSE)</f>
        <v>Esiste un piano formalizzato per la continuità operativa ?</v>
      </c>
      <c r="BQ16" s="644"/>
      <c r="BR16" s="643" t="str">
        <f ca="1">INDIRECT(ADDRESS($BP$18-2,BR$19,1,FALSE,$A$16 &amp; $BP$17), FALSE)</f>
        <v>Esistono procedure operative da attivare in  caso di indisponibilità parziale dei servizi applicativi ?</v>
      </c>
      <c r="BS16" s="644"/>
      <c r="BT16" s="643" t="str">
        <f ca="1">INDIRECT(ADDRESS($BP$18-2,BT$19,1,FALSE,$A$16 &amp; $BP$17), FALSE)</f>
        <v>E' stato definito in modo formale il piano di disaster recovery ?</v>
      </c>
      <c r="BU16" s="644"/>
      <c r="BV16" s="643" t="str">
        <f ca="1">INDIRECT(ADDRESS($BP$18-2,BV$19,1,FALSE,$A$16 &amp; $BP$17), FALSE)</f>
        <v>Nello sviluppo di applicazioni, vengono seguiti dei criteri per ridurre la vulnerabilità del software ?</v>
      </c>
      <c r="BW16" s="644"/>
      <c r="BX16" s="643" t="str">
        <f ca="1">INDIRECT(ADDRESS($BP$18-2,BX$19,1,FALSE,$A$16 &amp; $BP$17), FALSE)</f>
        <v>Se esiste un server di posta elettronica interno, esiste un filtro antivirus sul server di posta locale ?</v>
      </c>
      <c r="BY16" s="644"/>
      <c r="BZ16" s="643" t="str">
        <f ca="1">INDIRECT(ADDRESS($BP$18-2,BZ$19,1,FALSE,$A$16 &amp; $BP$17), FALSE)</f>
        <v>Se esiste un server di posta elettronica interno, esiste un filtro anti-spam sul server locale ?</v>
      </c>
      <c r="CA16" s="644"/>
      <c r="CB16" s="643" t="str">
        <f ca="1">INDIRECT(ADDRESS($BP$18-2,CB$19,1,FALSE,$A$16 &amp; $BP$17), FALSE)</f>
        <v>Viene utilizzato il protocollo HTTPS per proteggere i contenuti sensibili ?</v>
      </c>
      <c r="CC16" s="644"/>
      <c r="CD16" s="643" t="str">
        <f ca="1">INDIRECT(ADDRESS($BP$18-2,CD$19,1,FALSE,$A$16 &amp; $BP$17), FALSE)</f>
        <v>Esiste un sistema di protezione antivirus centralizzato  ?</v>
      </c>
      <c r="CE16" s="644"/>
      <c r="CF16" s="643" t="str">
        <f ca="1">INDIRECT(ADDRESS($BP$18-2,CF$19,1,FALSE,$A$16 &amp; $BP$17), FALSE)</f>
        <v>Sono state rilevate intrusioni riuscite negli ultimi 24 mesi ?</v>
      </c>
      <c r="CG16" s="644"/>
      <c r="CH16" s="643" t="str">
        <f ca="1">INDIRECT(ADDRESS($BP$18-2,CH$19,1,FALSE,$A$16 &amp; $BP$17), FALSE)</f>
        <v>Se sono state rilevate intrusioni riuscite, quante ?</v>
      </c>
      <c r="CI16" s="644"/>
      <c r="CJ16" s="643" t="str">
        <f ca="1">INDIRECT(ADDRESS($BP$18-2,CJ$19,1,FALSE,$A$16 &amp; $BP$17), FALSE)</f>
        <v>Se sono state rilevate intrusioni riuscite di che tipo sono state ?</v>
      </c>
      <c r="CK16" s="654"/>
      <c r="CL16" s="655"/>
      <c r="CM16" s="655"/>
      <c r="CN16" s="655"/>
      <c r="CO16" s="655"/>
      <c r="CP16" s="655"/>
      <c r="CQ16" s="646"/>
      <c r="CR16" s="226"/>
      <c r="CS16" s="641" t="str">
        <f ca="1">INDIRECT(ADDRESS($CS$18-2,CS$19,1,FALSE,$A$16 &amp; $CS$17), FALSE)</f>
        <v>E' stato formalmente definito ed approvato il piano della sicurezza ICT ?</v>
      </c>
      <c r="CT16" s="642"/>
      <c r="CU16" s="641" t="str">
        <f ca="1">INDIRECT(ADDRESS($CS$18-2,CU$19,1,FALSE,$A$16 &amp; $CS$17), FALSE)</f>
        <v>Esiste la definizione formale di una policy di sicurezza ITC ?</v>
      </c>
      <c r="CV16" s="642"/>
      <c r="CW16" s="641" t="str">
        <f ca="1">INDIRECT(ADDRESS($CS$18-2,CW$19,1,FALSE,$A$16 &amp; $CS$17), FALSE)</f>
        <v>Sono stati attribuiti i ruoli e le responsabilità secondo quanto previsto dal DM 16-2-02?</v>
      </c>
      <c r="CX16" s="642"/>
      <c r="CY16" s="641" t="str">
        <f ca="1">INDIRECT(ADDRESS($CS$18-2,CY$19,1,FALSE,$A$16 &amp; $CS$17), FALSE)</f>
        <v>Esiste ed è attivo un centro di gestione ed amministrazione della sicurezza ICT ?</v>
      </c>
      <c r="CZ16" s="642"/>
      <c r="DA16" s="641" t="str">
        <f ca="1">INDIRECT(ADDRESS($CS$18-2,DA$19,1,FALSE,$A$16 &amp; $CS$17), FALSE)</f>
        <v>Esiste ed è attivo un gruppo di gestione degli incidenti ?</v>
      </c>
      <c r="DB16" s="642"/>
      <c r="DC16" s="641" t="str">
        <f ca="1">INDIRECT(ADDRESS($CS$18-2,DC$19,1,FALSE,$A$16 &amp; $CS$17), FALSE)</f>
        <v>Esiste la figura di 'Responsabile protezione dati personali' ?</v>
      </c>
      <c r="DD16" s="642"/>
      <c r="DE16" s="641" t="str">
        <f ca="1">INDIRECT(ADDRESS($CS$18-2,DE$19,1,FALSE,$A$16 &amp; $CS$17), FALSE)</f>
        <v xml:space="preserve">Esistono una o più procedure di gestione dei log ? </v>
      </c>
      <c r="DF16" s="642"/>
      <c r="DG16" s="641" t="str">
        <f ca="1">INDIRECT(ADDRESS($CS$18-2,DG$19,1,FALSE,$A$16 &amp; $CS$17), FALSE)</f>
        <v>Esiste un responsabile per la gestione ed attuazione delle policy di backup / restore ?</v>
      </c>
      <c r="DH16" s="642"/>
      <c r="DI16" s="641" t="str">
        <f ca="1">INDIRECT(ADDRESS($CS$18-2,DI$19,1,FALSE,$A$16 &amp; $CS$17), FALSE)</f>
        <v>La procedura di backup è documentata?</v>
      </c>
      <c r="DJ16" s="642"/>
      <c r="DK16" s="641" t="str">
        <f ca="1">INDIRECT(ADDRESS($CS$18-2,DK$19,1,FALSE,$A$16 &amp; $CS$17), FALSE)</f>
        <v>Che tipo di personale viene impiegato per la gestione e l'amministrazione della sicurezza del sistema informativo ?</v>
      </c>
      <c r="DL16" s="642"/>
      <c r="DM16" s="641" t="str">
        <f ca="1">INDIRECT(ADDRESS($CS$18-2,DM$19,1,FALSE,$A$16 &amp; $CS$17), FALSE)</f>
        <v>Se esiste un contratto di outsourcing, il contratto prevede che l'amministrazione appaltante effettui verifiche su come è gestita la sicurezza ?</v>
      </c>
      <c r="DN16" s="642"/>
      <c r="DO16" s="641" t="str">
        <f ca="1">INDIRECT(ADDRESS($CS$18-2,DO$19,1,FALSE,$A$16 &amp; $CS$17), FALSE)</f>
        <v>Se è previsto l'audit della gestione della sicurezza dell'outsourcer, l'audit viene effettuato con regolarità ?</v>
      </c>
      <c r="DP16" s="642"/>
      <c r="DQ16" s="641" t="str">
        <f ca="1">INDIRECT(ADDRESS($CS$18-2,DQ$19,1,FALSE,$A$16 &amp; $CS$17), FALSE)</f>
        <v>Esiste una previsione di spesa dedicata specificatamente alla sicurezza ?</v>
      </c>
      <c r="DR16" s="642"/>
      <c r="DS16" s="641" t="str">
        <f ca="1">INDIRECT(ADDRESS($CS$18-2,DS$19,1,FALSE,$A$16 &amp; $CS$17), FALSE)</f>
        <v>Se esiste una previsione di spesa dedicata alla sicurezza quale è la percentuale sul budget IT complessivo ?</v>
      </c>
      <c r="DT16" s="642"/>
      <c r="DU16" s="641" t="str">
        <f ca="1">INDIRECT(ADDRESS($CS$18-2,DU$19,1,FALSE,$A$16 &amp; $CS$17), FALSE)</f>
        <v>E' stata effettuata un'analisi dei rischi connessi alla sicurezza ICT ?</v>
      </c>
      <c r="DV16" s="642"/>
      <c r="DW16" s="641" t="str">
        <f ca="1">INDIRECT(ADDRESS($CS$18-2,DW$19,1,FALSE,$A$16 &amp; $CS$17), FALSE)</f>
        <v>Sono state prese iniziative per la sensibilizzazione alla sicurezza informatica rivolte a tutto il personale dell'amministrazione ?</v>
      </c>
      <c r="DX16" s="642"/>
      <c r="DY16" s="641" t="str">
        <f ca="1">INDIRECT(ADDRESS($CS$18-2,DY$19,1,FALSE,$A$16 &amp; $CS$17), FALSE)</f>
        <v>E' stato già redatto ed approvato un piano di formazione e sensibilizazzione per la sicurezza ICT ?</v>
      </c>
      <c r="DZ16" s="642"/>
      <c r="EA16" s="641" t="str">
        <f ca="1">INDIRECT(ADDRESS($CS$18-2,EA$19,1,FALSE,$A$16 &amp; $CS$17), FALSE)</f>
        <v>Se sì quale percentuale di addetti al S.I. ne ha usufruito ?</v>
      </c>
      <c r="EB16" s="646"/>
      <c r="EC16" s="83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</row>
    <row r="17" spans="1:146" s="3" customFormat="1">
      <c r="A17" s="388" t="s">
        <v>73</v>
      </c>
      <c r="B17" s="389"/>
      <c r="C17" s="390"/>
      <c r="D17" s="382" t="s">
        <v>74</v>
      </c>
      <c r="E17" s="173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174"/>
      <c r="AC17" s="174"/>
      <c r="AD17" s="174"/>
      <c r="AE17" s="174"/>
      <c r="AF17" s="174"/>
      <c r="AG17" s="174"/>
      <c r="AH17" s="174"/>
      <c r="AI17" s="174"/>
      <c r="AJ17" s="174"/>
      <c r="AK17" s="174"/>
      <c r="AL17" s="215"/>
      <c r="AM17" s="202" t="s">
        <v>278</v>
      </c>
      <c r="AN17" s="202"/>
      <c r="AO17" s="179"/>
      <c r="AP17" s="179"/>
      <c r="AQ17" s="179"/>
      <c r="AR17" s="179"/>
      <c r="AS17" s="179"/>
      <c r="AT17" s="179"/>
      <c r="AU17" s="179"/>
      <c r="AV17" s="179"/>
      <c r="AW17" s="179"/>
      <c r="AX17" s="179"/>
      <c r="AY17" s="179"/>
      <c r="AZ17" s="179"/>
      <c r="BA17" s="179"/>
      <c r="BB17" s="179"/>
      <c r="BC17" s="179"/>
      <c r="BD17" s="179"/>
      <c r="BE17" s="179"/>
      <c r="BF17" s="179"/>
      <c r="BG17" s="179"/>
      <c r="BH17" s="179"/>
      <c r="BI17" s="179"/>
      <c r="BJ17" s="179"/>
      <c r="BK17" s="179"/>
      <c r="BL17" s="179"/>
      <c r="BM17" s="179"/>
      <c r="BN17" s="179"/>
      <c r="BO17" s="183"/>
      <c r="BP17" s="185" t="s">
        <v>279</v>
      </c>
      <c r="BQ17" s="185"/>
      <c r="BR17" s="194"/>
      <c r="BS17" s="194"/>
      <c r="BT17" s="194"/>
      <c r="BU17" s="194"/>
      <c r="BV17" s="194"/>
      <c r="BW17" s="194"/>
      <c r="BX17" s="194"/>
      <c r="BY17" s="194"/>
      <c r="BZ17" s="194"/>
      <c r="CA17" s="194"/>
      <c r="CB17" s="194"/>
      <c r="CC17" s="194"/>
      <c r="CD17" s="194"/>
      <c r="CE17" s="194"/>
      <c r="CF17" s="275"/>
      <c r="CG17" s="194"/>
      <c r="CH17" s="194"/>
      <c r="CI17" s="194"/>
      <c r="CJ17" s="194"/>
      <c r="CK17" s="194"/>
      <c r="CL17" s="195"/>
      <c r="CM17" s="195"/>
      <c r="CN17" s="195"/>
      <c r="CO17" s="195"/>
      <c r="CP17" s="195"/>
      <c r="CQ17" s="220"/>
      <c r="CR17" s="183"/>
      <c r="CS17" s="192" t="s">
        <v>280</v>
      </c>
      <c r="CT17" s="192"/>
      <c r="CU17" s="191"/>
      <c r="CV17" s="191"/>
      <c r="CW17" s="191"/>
      <c r="CX17" s="191"/>
      <c r="CY17" s="191"/>
      <c r="CZ17" s="191"/>
      <c r="DA17" s="191"/>
      <c r="DB17" s="191"/>
      <c r="DC17" s="191"/>
      <c r="DD17" s="191"/>
      <c r="DE17" s="191"/>
      <c r="DF17" s="191"/>
      <c r="DG17" s="191"/>
      <c r="DH17" s="191"/>
      <c r="DI17" s="191"/>
      <c r="DJ17" s="191"/>
      <c r="DK17" s="191"/>
      <c r="DL17" s="191"/>
      <c r="DM17" s="191"/>
      <c r="DN17" s="191"/>
      <c r="DO17" s="191"/>
      <c r="DP17" s="191"/>
      <c r="DQ17" s="191"/>
      <c r="DR17" s="191"/>
      <c r="DS17" s="191"/>
      <c r="DT17" s="191"/>
      <c r="DU17" s="191"/>
      <c r="DV17" s="191"/>
      <c r="DW17" s="191"/>
      <c r="DX17" s="191"/>
      <c r="DY17" s="191"/>
      <c r="DZ17" s="191"/>
      <c r="EA17" s="221"/>
      <c r="EB17" s="191"/>
      <c r="EC17" s="83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</row>
    <row r="18" spans="1:146" s="3" customFormat="1">
      <c r="A18" s="388" t="s">
        <v>75</v>
      </c>
      <c r="B18" s="389"/>
      <c r="C18" s="390"/>
      <c r="D18" s="383">
        <v>6</v>
      </c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174"/>
      <c r="AC18" s="174"/>
      <c r="AD18" s="174"/>
      <c r="AE18" s="174"/>
      <c r="AF18" s="174"/>
      <c r="AG18" s="174"/>
      <c r="AH18" s="174"/>
      <c r="AI18" s="174"/>
      <c r="AJ18" s="174"/>
      <c r="AK18" s="174"/>
      <c r="AL18" s="197"/>
      <c r="AM18" s="179">
        <v>3</v>
      </c>
      <c r="AN18" s="179"/>
      <c r="AO18" s="179"/>
      <c r="AP18" s="179"/>
      <c r="AQ18" s="179"/>
      <c r="AR18" s="179"/>
      <c r="AS18" s="179"/>
      <c r="AT18" s="179"/>
      <c r="AU18" s="179"/>
      <c r="AV18" s="179"/>
      <c r="AW18" s="179"/>
      <c r="AX18" s="179"/>
      <c r="AY18" s="179"/>
      <c r="AZ18" s="179"/>
      <c r="BA18" s="179"/>
      <c r="BB18" s="179"/>
      <c r="BC18" s="179"/>
      <c r="BD18" s="179"/>
      <c r="BE18" s="179"/>
      <c r="BF18" s="179"/>
      <c r="BG18" s="179"/>
      <c r="BH18" s="179"/>
      <c r="BI18" s="179"/>
      <c r="BJ18" s="179"/>
      <c r="BK18" s="179"/>
      <c r="BL18" s="179"/>
      <c r="BM18" s="179"/>
      <c r="BN18" s="179"/>
      <c r="BO18" s="183"/>
      <c r="BP18" s="194">
        <v>3</v>
      </c>
      <c r="BQ18" s="194"/>
      <c r="BR18" s="194"/>
      <c r="BS18" s="194"/>
      <c r="BT18" s="194"/>
      <c r="BU18" s="194"/>
      <c r="BV18" s="194"/>
      <c r="BW18" s="194"/>
      <c r="BX18" s="194"/>
      <c r="BY18" s="194"/>
      <c r="BZ18" s="194"/>
      <c r="CA18" s="194"/>
      <c r="CB18" s="194"/>
      <c r="CC18" s="194"/>
      <c r="CD18" s="194"/>
      <c r="CE18" s="194"/>
      <c r="CF18" s="194"/>
      <c r="CG18" s="194"/>
      <c r="CH18" s="194"/>
      <c r="CI18" s="194"/>
      <c r="CJ18" s="194"/>
      <c r="CK18" s="194"/>
      <c r="CL18" s="195"/>
      <c r="CM18" s="195"/>
      <c r="CN18" s="195"/>
      <c r="CO18" s="195"/>
      <c r="CP18" s="195"/>
      <c r="CQ18" s="220"/>
      <c r="CR18" s="183"/>
      <c r="CS18" s="191">
        <v>3</v>
      </c>
      <c r="CT18" s="191"/>
      <c r="CU18" s="191"/>
      <c r="CV18" s="191"/>
      <c r="CW18" s="191"/>
      <c r="CX18" s="191"/>
      <c r="CY18" s="191"/>
      <c r="CZ18" s="191"/>
      <c r="DA18" s="191"/>
      <c r="DB18" s="191"/>
      <c r="DC18" s="191"/>
      <c r="DD18" s="191"/>
      <c r="DE18" s="191"/>
      <c r="DF18" s="191"/>
      <c r="DG18" s="191"/>
      <c r="DH18" s="191"/>
      <c r="DI18" s="191"/>
      <c r="DJ18" s="191"/>
      <c r="DK18" s="191"/>
      <c r="DL18" s="191"/>
      <c r="DM18" s="191"/>
      <c r="DN18" s="191"/>
      <c r="DO18" s="191"/>
      <c r="DP18" s="191"/>
      <c r="DQ18" s="191"/>
      <c r="DR18" s="191"/>
      <c r="DS18" s="191"/>
      <c r="DT18" s="191"/>
      <c r="DU18" s="191"/>
      <c r="DV18" s="191"/>
      <c r="DW18" s="191"/>
      <c r="DX18" s="191"/>
      <c r="DY18" s="191"/>
      <c r="DZ18" s="191"/>
      <c r="EA18" s="191"/>
      <c r="EB18" s="191"/>
      <c r="EC18" s="83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</row>
    <row r="19" spans="1:146" s="3" customFormat="1">
      <c r="A19" s="388" t="s">
        <v>76</v>
      </c>
      <c r="B19" s="389"/>
      <c r="C19" s="390"/>
      <c r="D19" s="383">
        <v>2</v>
      </c>
      <c r="E19" s="85"/>
      <c r="F19" s="85">
        <f>D19+1</f>
        <v>3</v>
      </c>
      <c r="G19" s="85"/>
      <c r="H19" s="85">
        <f>F19+1</f>
        <v>4</v>
      </c>
      <c r="I19" s="85"/>
      <c r="J19" s="85">
        <f>H19+1</f>
        <v>5</v>
      </c>
      <c r="K19" s="85"/>
      <c r="L19" s="85">
        <f>J19+1</f>
        <v>6</v>
      </c>
      <c r="M19" s="85"/>
      <c r="N19" s="85">
        <f>L19+1</f>
        <v>7</v>
      </c>
      <c r="O19" s="85"/>
      <c r="P19" s="85">
        <f>N19+1</f>
        <v>8</v>
      </c>
      <c r="Q19" s="85"/>
      <c r="R19" s="85">
        <f>P19+1</f>
        <v>9</v>
      </c>
      <c r="S19" s="85"/>
      <c r="T19" s="85">
        <f>R19+1</f>
        <v>10</v>
      </c>
      <c r="U19" s="85"/>
      <c r="V19" s="85">
        <f>T19+1</f>
        <v>11</v>
      </c>
      <c r="W19" s="85"/>
      <c r="X19" s="85">
        <f>V19+1</f>
        <v>12</v>
      </c>
      <c r="Y19" s="85"/>
      <c r="Z19" s="85">
        <f>X19+1</f>
        <v>13</v>
      </c>
      <c r="AA19" s="85"/>
      <c r="AB19" s="85">
        <f>Z19+1</f>
        <v>14</v>
      </c>
      <c r="AC19" s="85"/>
      <c r="AD19" s="85">
        <f>AB19+1</f>
        <v>15</v>
      </c>
      <c r="AE19" s="85"/>
      <c r="AF19" s="85">
        <f>AD19+1</f>
        <v>16</v>
      </c>
      <c r="AG19" s="85"/>
      <c r="AH19" s="85">
        <f>AF19+1</f>
        <v>17</v>
      </c>
      <c r="AI19" s="85"/>
      <c r="AJ19" s="85">
        <f>AH19+1</f>
        <v>18</v>
      </c>
      <c r="AK19" s="85"/>
      <c r="AL19" s="198"/>
      <c r="AM19" s="179">
        <v>2</v>
      </c>
      <c r="AN19" s="179"/>
      <c r="AO19" s="179">
        <f>AM19+1</f>
        <v>3</v>
      </c>
      <c r="AP19" s="179"/>
      <c r="AQ19" s="179">
        <f>AO19+1</f>
        <v>4</v>
      </c>
      <c r="AR19" s="179"/>
      <c r="AS19" s="179">
        <f>AQ19+1</f>
        <v>5</v>
      </c>
      <c r="AT19" s="179"/>
      <c r="AU19" s="179">
        <f>AS19+1</f>
        <v>6</v>
      </c>
      <c r="AV19" s="179"/>
      <c r="AW19" s="179">
        <f>AU19+1</f>
        <v>7</v>
      </c>
      <c r="AX19" s="179"/>
      <c r="AY19" s="179">
        <f>AW19+1</f>
        <v>8</v>
      </c>
      <c r="AZ19" s="179"/>
      <c r="BA19" s="179">
        <f>AY19+1</f>
        <v>9</v>
      </c>
      <c r="BB19" s="179"/>
      <c r="BC19" s="179">
        <f>BA19+1</f>
        <v>10</v>
      </c>
      <c r="BD19" s="179"/>
      <c r="BE19" s="179">
        <f>BC19+1</f>
        <v>11</v>
      </c>
      <c r="BF19" s="179"/>
      <c r="BG19" s="179">
        <f>BE19+1</f>
        <v>12</v>
      </c>
      <c r="BH19" s="179"/>
      <c r="BI19" s="179">
        <f>BG19+1</f>
        <v>13</v>
      </c>
      <c r="BJ19" s="179"/>
      <c r="BK19" s="179">
        <f>BI19+1</f>
        <v>14</v>
      </c>
      <c r="BL19" s="179"/>
      <c r="BM19" s="179">
        <f>BK19+1</f>
        <v>15</v>
      </c>
      <c r="BN19" s="179"/>
      <c r="BO19" s="183"/>
      <c r="BP19" s="194">
        <v>2</v>
      </c>
      <c r="BQ19" s="194"/>
      <c r="BR19" s="194">
        <f>BP19+1</f>
        <v>3</v>
      </c>
      <c r="BS19" s="194"/>
      <c r="BT19" s="194">
        <f>BR19+1</f>
        <v>4</v>
      </c>
      <c r="BU19" s="194"/>
      <c r="BV19" s="194">
        <f>BT19+1</f>
        <v>5</v>
      </c>
      <c r="BW19" s="194"/>
      <c r="BX19" s="194">
        <f>BV19+1</f>
        <v>6</v>
      </c>
      <c r="BY19" s="194"/>
      <c r="BZ19" s="194">
        <f>BX19+1</f>
        <v>7</v>
      </c>
      <c r="CA19" s="194"/>
      <c r="CB19" s="194">
        <f>BZ19+1</f>
        <v>8</v>
      </c>
      <c r="CC19" s="194"/>
      <c r="CD19" s="194">
        <f>CB19+1</f>
        <v>9</v>
      </c>
      <c r="CE19" s="194"/>
      <c r="CF19" s="194">
        <f>CD19+1</f>
        <v>10</v>
      </c>
      <c r="CG19" s="194"/>
      <c r="CH19" s="194">
        <f>CF19+1</f>
        <v>11</v>
      </c>
      <c r="CI19" s="194"/>
      <c r="CJ19" s="194">
        <f>CH19+1</f>
        <v>12</v>
      </c>
      <c r="CK19" s="194"/>
      <c r="CL19" s="194">
        <f>CJ19+1</f>
        <v>13</v>
      </c>
      <c r="CM19" s="194"/>
      <c r="CN19" s="194">
        <f>CL19+1</f>
        <v>14</v>
      </c>
      <c r="CO19" s="194"/>
      <c r="CP19" s="194">
        <f>CN19+1</f>
        <v>15</v>
      </c>
      <c r="CQ19" s="84"/>
      <c r="CR19" s="183"/>
      <c r="CS19" s="191">
        <v>2</v>
      </c>
      <c r="CT19" s="191"/>
      <c r="CU19" s="191">
        <f>CS19+1</f>
        <v>3</v>
      </c>
      <c r="CV19" s="191"/>
      <c r="CW19" s="191">
        <f>CU19+1</f>
        <v>4</v>
      </c>
      <c r="CX19" s="191"/>
      <c r="CY19" s="191">
        <f>CW19+1</f>
        <v>5</v>
      </c>
      <c r="CZ19" s="191"/>
      <c r="DA19" s="191">
        <f>CY19+1</f>
        <v>6</v>
      </c>
      <c r="DB19" s="191"/>
      <c r="DC19" s="191">
        <f>DA19+1</f>
        <v>7</v>
      </c>
      <c r="DD19" s="191"/>
      <c r="DE19" s="191">
        <f>DC19+1</f>
        <v>8</v>
      </c>
      <c r="DF19" s="191"/>
      <c r="DG19" s="191">
        <f>DE19+1</f>
        <v>9</v>
      </c>
      <c r="DH19" s="191"/>
      <c r="DI19" s="191">
        <f>DG19+1</f>
        <v>10</v>
      </c>
      <c r="DJ19" s="191"/>
      <c r="DK19" s="191">
        <f>DI19+1</f>
        <v>11</v>
      </c>
      <c r="DL19" s="191"/>
      <c r="DM19" s="191">
        <f>DK19+1</f>
        <v>12</v>
      </c>
      <c r="DN19" s="191"/>
      <c r="DO19" s="191">
        <f>DM19+1</f>
        <v>13</v>
      </c>
      <c r="DP19" s="191"/>
      <c r="DQ19" s="191">
        <f>DO19+1</f>
        <v>14</v>
      </c>
      <c r="DR19" s="191"/>
      <c r="DS19" s="191">
        <f>DQ19+1</f>
        <v>15</v>
      </c>
      <c r="DT19" s="191"/>
      <c r="DU19" s="191">
        <f>DS19+1</f>
        <v>16</v>
      </c>
      <c r="DV19" s="191"/>
      <c r="DW19" s="191">
        <f>DU19+1</f>
        <v>17</v>
      </c>
      <c r="DX19" s="191"/>
      <c r="DY19" s="191">
        <f>DW19+1</f>
        <v>18</v>
      </c>
      <c r="DZ19" s="191"/>
      <c r="EA19" s="191">
        <f>DY19+1</f>
        <v>19</v>
      </c>
      <c r="EB19" s="191"/>
      <c r="EC19" s="83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</row>
    <row r="20" spans="1:146" ht="21.75" customHeight="1" thickBot="1">
      <c r="A20" s="391" t="s">
        <v>429</v>
      </c>
      <c r="B20" s="289" t="s">
        <v>428</v>
      </c>
      <c r="C20" s="365" t="s">
        <v>368</v>
      </c>
      <c r="D20" s="384" t="str">
        <f>$A$16&amp;D17&amp;"!R"&amp;D18&amp;"C1:R"&amp;D18+60&amp;"C20"</f>
        <v>[sicurezzaConsuntivoFinale2010.xls]sicurezzaLogica!R6C1:R66C20</v>
      </c>
      <c r="E20" s="75"/>
      <c r="F20" s="75"/>
      <c r="G20" s="75"/>
      <c r="H20" s="700" t="s">
        <v>99</v>
      </c>
      <c r="I20" s="701"/>
      <c r="J20" s="701"/>
      <c r="K20" s="701"/>
      <c r="L20" s="701"/>
      <c r="M20" s="701"/>
      <c r="N20" s="701"/>
      <c r="O20" s="701"/>
      <c r="P20" s="701"/>
      <c r="Q20" s="702"/>
      <c r="R20" s="700" t="s">
        <v>98</v>
      </c>
      <c r="S20" s="709"/>
      <c r="T20" s="701"/>
      <c r="U20" s="701"/>
      <c r="V20" s="701"/>
      <c r="W20" s="701"/>
      <c r="X20" s="701"/>
      <c r="Y20" s="702"/>
      <c r="Z20" s="75"/>
      <c r="AA20" s="75"/>
      <c r="AB20" s="75"/>
      <c r="AC20" s="75"/>
      <c r="AD20" s="75"/>
      <c r="AE20" s="75"/>
      <c r="AF20" s="700" t="s">
        <v>97</v>
      </c>
      <c r="AG20" s="701"/>
      <c r="AH20" s="709"/>
      <c r="AI20" s="710"/>
      <c r="AJ20" s="75"/>
      <c r="AK20" s="75"/>
      <c r="AL20" s="199"/>
      <c r="AM20" s="341" t="str">
        <f>$A$16&amp;AM17&amp;"!R"&amp;AM18&amp;"C1:R"&amp;AM18+60&amp;"C20"</f>
        <v>[sicurezzaConsuntivoFinale2010.xls]sicurezzaInfrastruttura!R3C1:R63C20</v>
      </c>
      <c r="AN20" s="76"/>
      <c r="AO20" s="76"/>
      <c r="AP20" s="76"/>
      <c r="AQ20" s="76"/>
      <c r="AR20" s="76"/>
      <c r="AS20" s="705" t="s">
        <v>96</v>
      </c>
      <c r="AT20" s="701"/>
      <c r="AU20" s="706"/>
      <c r="AV20" s="706"/>
      <c r="AW20" s="706"/>
      <c r="AX20" s="707"/>
      <c r="AY20" s="705" t="s">
        <v>95</v>
      </c>
      <c r="AZ20" s="701"/>
      <c r="BA20" s="706"/>
      <c r="BB20" s="707"/>
      <c r="BC20" s="705" t="s">
        <v>94</v>
      </c>
      <c r="BD20" s="701"/>
      <c r="BE20" s="706"/>
      <c r="BF20" s="707"/>
      <c r="BG20" s="705" t="s">
        <v>93</v>
      </c>
      <c r="BH20" s="701"/>
      <c r="BI20" s="706"/>
      <c r="BJ20" s="707"/>
      <c r="BK20" s="76"/>
      <c r="BL20" s="76"/>
      <c r="BM20" s="76"/>
      <c r="BN20" s="76"/>
      <c r="BO20" s="184"/>
      <c r="BP20" s="342" t="str">
        <f>$A$16&amp;BP17&amp;"!R"&amp;BP18&amp;"C1:R"&amp;BP18+60&amp;"C20"</f>
        <v>[sicurezzaConsuntivoFinale2010.xls]sicurezzaServizi!R3C1:R63C20</v>
      </c>
      <c r="BQ20" s="77"/>
      <c r="BR20" s="77"/>
      <c r="BS20" s="77"/>
      <c r="BT20" s="77"/>
      <c r="BU20" s="77"/>
      <c r="BV20" s="77"/>
      <c r="BW20" s="77"/>
      <c r="BX20" s="77"/>
      <c r="BY20" s="77"/>
      <c r="BZ20" s="77"/>
      <c r="CA20" s="77"/>
      <c r="CB20" s="77"/>
      <c r="CC20" s="77"/>
      <c r="CD20" s="77"/>
      <c r="CE20" s="77"/>
      <c r="CF20" s="708" t="s">
        <v>92</v>
      </c>
      <c r="CG20" s="701"/>
      <c r="CH20" s="701"/>
      <c r="CI20" s="701"/>
      <c r="CJ20" s="701"/>
      <c r="CK20" s="701"/>
      <c r="CL20" s="701"/>
      <c r="CM20" s="701"/>
      <c r="CN20" s="701"/>
      <c r="CO20" s="701"/>
      <c r="CP20" s="701"/>
      <c r="CQ20" s="702"/>
      <c r="CR20" s="184"/>
      <c r="CS20" s="343" t="str">
        <f>$A$16&amp;CS17&amp;"!R"&amp;CS18&amp;"C1:R"&amp;CS18+60&amp;"C20"</f>
        <v>[sicurezzaConsuntivoFinale2010.xls]sicurezzaOrganizzazione!R3C1:R63C20</v>
      </c>
      <c r="CT20" s="78"/>
      <c r="CU20" s="78"/>
      <c r="CV20" s="78"/>
      <c r="CW20" s="78"/>
      <c r="CX20" s="78"/>
      <c r="CY20" s="78"/>
      <c r="CZ20" s="78"/>
      <c r="DA20" s="78"/>
      <c r="DB20" s="78"/>
      <c r="DC20" s="78"/>
      <c r="DD20" s="78"/>
      <c r="DE20" s="78"/>
      <c r="DF20" s="78"/>
      <c r="DG20" s="78"/>
      <c r="DH20" s="78"/>
      <c r="DI20" s="78"/>
      <c r="DJ20" s="78"/>
      <c r="DK20" s="703" t="s">
        <v>91</v>
      </c>
      <c r="DL20" s="701"/>
      <c r="DM20" s="701"/>
      <c r="DN20" s="701"/>
      <c r="DO20" s="701"/>
      <c r="DP20" s="702"/>
      <c r="DQ20" s="703" t="s">
        <v>90</v>
      </c>
      <c r="DR20" s="701"/>
      <c r="DS20" s="704"/>
      <c r="DT20" s="704"/>
      <c r="DU20" s="704"/>
      <c r="DV20" s="702"/>
      <c r="DW20" s="78"/>
      <c r="DX20" s="78"/>
      <c r="DY20" s="703" t="s">
        <v>89</v>
      </c>
      <c r="DZ20" s="701"/>
      <c r="EA20" s="701"/>
      <c r="EB20" s="702"/>
      <c r="EC20" s="88" t="s">
        <v>391</v>
      </c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</row>
    <row r="21" spans="1:146" ht="13.5" customHeight="1" thickTop="1">
      <c r="A21" s="363" t="str">
        <f t="shared" ref="A21:A66" ca="1" si="0">INDIRECT(ADDRESS($D$18+ROW()-21,1,1,FALSE,$A$16 &amp; $D$17), FALSE)</f>
        <v>Avvocatura Generale dello Stato</v>
      </c>
      <c r="B21" s="50">
        <f ca="1">VLOOKUP( TRIM(A21), Classificazione!$A$5:$B$71, 2, FALSE)</f>
        <v>57</v>
      </c>
      <c r="C21" s="364">
        <f ca="1">VLOOKUP(TRIM(A21), Classificazione!$A$5:$L$71, 12, FALSE)</f>
        <v>1274</v>
      </c>
      <c r="D21" s="4" t="str">
        <f ca="1">IFERROR(VLOOKUP($A21,INDIRECT($D$20, FALSE), D$19, FALSE), "--")</f>
        <v>Completamente centralizzato</v>
      </c>
      <c r="E21" s="140">
        <f ca="1">LOOKUP(D21,D$1:D$7,E$1:E$7)</f>
        <v>6</v>
      </c>
      <c r="F21" s="4" t="str">
        <f ca="1">IFERROR(VLOOKUP($A21,INDIRECT($D$20, FALSE), F$19, FALSE), "--")</f>
        <v>SI</v>
      </c>
      <c r="G21" s="140">
        <f t="shared" ref="G21:G27" ca="1" si="1">LOOKUP(F21,F$1:F$7,G$1:G$7)</f>
        <v>10</v>
      </c>
      <c r="H21" s="4" t="str">
        <f ca="1">IFERROR(VLOOKUP($A21,INDIRECT($D$20, FALSE), H$19, FALSE), "--")</f>
        <v>NO</v>
      </c>
      <c r="I21" s="140">
        <f ca="1">LOOKUP(H21,H$1:H$7,I$1:I$7)</f>
        <v>0</v>
      </c>
      <c r="J21" s="4" t="b">
        <f ca="1">IFERROR(VLOOKUP($A21,INDIRECT($D$20, FALSE), J$19, FALSE), "--")</f>
        <v>0</v>
      </c>
      <c r="K21" s="140">
        <f ca="1">LOOKUP(J21,J$1:J$7,K$1:K$7)</f>
        <v>0</v>
      </c>
      <c r="L21" s="4" t="b">
        <f ca="1">IFERROR(VLOOKUP($A21,INDIRECT($D$20, FALSE), L$19, FALSE), "--")</f>
        <v>0</v>
      </c>
      <c r="M21" s="140">
        <f t="shared" ref="M21:M66" ca="1" si="2">LOOKUP(L21,L$1:L$7,M$1:M$7)</f>
        <v>0</v>
      </c>
      <c r="N21" s="4" t="b">
        <f ca="1">IFERROR(VLOOKUP($A21,INDIRECT($D$20, FALSE), N$19, FALSE), "--")</f>
        <v>0</v>
      </c>
      <c r="O21" s="140">
        <f t="shared" ref="O21:O66" ca="1" si="3">LOOKUP(N21,N$1:N$7,O$1:O$7)</f>
        <v>0</v>
      </c>
      <c r="P21" s="4" t="b">
        <f ca="1">IFERROR(VLOOKUP($A21,INDIRECT($D$20, FALSE), P$19, FALSE), "--")</f>
        <v>0</v>
      </c>
      <c r="Q21" s="140">
        <f t="shared" ref="Q21:Q52" ca="1" si="4">LOOKUP(P21,P$1:P$7,Q$1:Q$7)</f>
        <v>0</v>
      </c>
      <c r="R21" s="4" t="str">
        <f ca="1">IFERROR(VLOOKUP($A21,INDIRECT($D$20, FALSE), R$19, FALSE), "--")</f>
        <v>UserId/Password</v>
      </c>
      <c r="S21" s="140">
        <f t="shared" ref="S21:S52" ca="1" si="5">LOOKUP(R21,R$1:R$7,S$1:S$7)</f>
        <v>2</v>
      </c>
      <c r="T21" s="4" t="str">
        <f ca="1">IFERROR(VLOOKUP($A21,INDIRECT($D$20, FALSE), T$19, FALSE), "--")</f>
        <v>SI</v>
      </c>
      <c r="U21" s="140">
        <f t="shared" ref="U21:U52" ca="1" si="6">LOOKUP(T21,T$1:T$7,U$1:U$7)</f>
        <v>2</v>
      </c>
      <c r="V21" s="4" t="str">
        <f ca="1">IFERROR(VLOOKUP($A21,INDIRECT($D$20, FALSE), V$19, FALSE), "--")</f>
        <v>NO</v>
      </c>
      <c r="W21" s="140">
        <f t="shared" ref="W21:W52" ca="1" si="7">LOOKUP(V21,V$1:V$7,W$1:W$7)</f>
        <v>0</v>
      </c>
      <c r="X21" s="4" t="str">
        <f ca="1">IFERROR(VLOOKUP($A21,INDIRECT($D$20, FALSE), X$19, FALSE), "--")</f>
        <v>SI</v>
      </c>
      <c r="Y21" s="140">
        <f t="shared" ref="Y21:Y52" ca="1" si="8">LOOKUP(X21,X$1:X$7,Y$1:Y$7)</f>
        <v>4</v>
      </c>
      <c r="Z21" s="4" t="str">
        <f ca="1">IFERROR(VLOOKUP($A21,INDIRECT($D$20, FALSE), Z$19, FALSE), "--")</f>
        <v>Ogni sei mesi</v>
      </c>
      <c r="AA21" s="140">
        <f t="shared" ref="AA21:AA36" ca="1" si="9">LOOKUP(Z21,Z$1:Z$7,AA$1:AA$7)</f>
        <v>4</v>
      </c>
      <c r="AB21" s="4" t="str">
        <f ca="1">IFERROR(VLOOKUP($A21,INDIRECT($D$20, FALSE), AB$19, FALSE), "--")</f>
        <v>SI</v>
      </c>
      <c r="AC21" s="140">
        <f t="shared" ref="AC21:AC52" ca="1" si="10">LOOKUP(AB21,AB$1:AB$7,AC$1:AC$7)</f>
        <v>10</v>
      </c>
      <c r="AD21" s="4" t="str">
        <f ca="1">IFERROR(VLOOKUP($A21,INDIRECT($D$20, FALSE), AD$19, FALSE), "--")</f>
        <v>Non esistono postazioni mobili o impiego di supporti dati rimuovibili</v>
      </c>
      <c r="AE21" s="140">
        <f t="shared" ref="AE21:AE52" ca="1" si="11">LOOKUP(AD21,AD$1:AD$7,AE$1:AE$7)</f>
        <v>6</v>
      </c>
      <c r="AF21" s="4" t="str">
        <f ca="1">IFERROR(VLOOKUP($A21,INDIRECT($D$20, FALSE), AF$19, FALSE), "--")</f>
        <v>SI</v>
      </c>
      <c r="AG21" s="140">
        <f t="shared" ref="AG21:AG52" ca="1" si="12">LOOKUP(AF21,AF$1:AF$7,AG$1:AG$7)</f>
        <v>6</v>
      </c>
      <c r="AH21" s="4" t="str">
        <f ca="1">IFERROR(VLOOKUP($A21,INDIRECT($D$20, FALSE), AH$19, FALSE), "--")</f>
        <v>SI</v>
      </c>
      <c r="AI21" s="140">
        <f t="shared" ref="AI21:AI52" ca="1" si="13">LOOKUP(AH21,AH$1:AH$7,AI$1:AI$7)</f>
        <v>4</v>
      </c>
      <c r="AJ21" s="4" t="str">
        <f ca="1">IFERROR(VLOOKUP($A21,INDIRECT($D$20, FALSE), AJ$19, FALSE), "--")</f>
        <v>NO</v>
      </c>
      <c r="AK21" s="140">
        <f t="shared" ref="AK21:AK52" ca="1" si="14">LOOKUP(AJ21,AJ$1:AJ$7,AK$1:AK$7)</f>
        <v>0</v>
      </c>
      <c r="AL21" s="203" t="str">
        <f t="shared" ref="AL21:AL66" ca="1" si="15">IF(IFERROR(VLOOKUP($A21,INDIRECT($AM$20, FALSE), 1, FALSE), "--") = "--", "no", "ok")</f>
        <v>ok</v>
      </c>
      <c r="AM21" s="4" t="str">
        <f ca="1">IFERROR(VLOOKUP($A21,INDIRECT($AM$20, FALSE), AM$19, FALSE), "--")</f>
        <v>NO</v>
      </c>
      <c r="AN21" s="140">
        <f t="shared" ref="AN21:AN66" ca="1" si="16">LOOKUP(AM21,AM$1:AM$7,AN$1:AN$7)</f>
        <v>0</v>
      </c>
      <c r="AO21" s="4" t="str">
        <f ca="1">IFERROR(VLOOKUP($A21,INDIRECT($AM$20, FALSE), AO$19, FALSE), "--")</f>
        <v>SI</v>
      </c>
      <c r="AP21" s="140">
        <f t="shared" ref="AP21:AP66" ca="1" si="17">LOOKUP(AO21,AO$1:AO$7,AP$1:AP$7)</f>
        <v>10</v>
      </c>
      <c r="AQ21" s="4" t="str">
        <f ca="1">IFERROR(VLOOKUP($A21,INDIRECT($AM$20, FALSE), AQ$19, FALSE), "--")</f>
        <v>NO</v>
      </c>
      <c r="AR21" s="140">
        <f t="shared" ref="AR21:AR66" ca="1" si="18">LOOKUP(AQ21,AQ$1:AQ$7,AR$1:AR$7)</f>
        <v>0</v>
      </c>
      <c r="AS21" s="4" t="b">
        <f ca="1">IFERROR(VLOOKUP($A21,INDIRECT($AM$20, FALSE), AS$19, FALSE), "--")</f>
        <v>1</v>
      </c>
      <c r="AT21" s="140">
        <f t="shared" ref="AT21:AT66" ca="1" si="19">LOOKUP(AS21,AS$1:AS$7,AT$1:AT$7)</f>
        <v>5</v>
      </c>
      <c r="AU21" s="4" t="b">
        <f ca="1">IFERROR(VLOOKUP($A21,INDIRECT($AM$20, FALSE), AU$19, FALSE), "--")</f>
        <v>0</v>
      </c>
      <c r="AV21" s="140">
        <f t="shared" ref="AV21:AV66" ca="1" si="20">LOOKUP(AU21,AU$1:AU$7,AV$1:AV$7)</f>
        <v>0</v>
      </c>
      <c r="AW21" s="4" t="b">
        <f ca="1">IFERROR(VLOOKUP($A21,INDIRECT($AM$20, FALSE), AW$19, FALSE), "--")</f>
        <v>0</v>
      </c>
      <c r="AX21" s="140">
        <f t="shared" ref="AX21:AX66" ca="1" si="21">LOOKUP(AW21,AW$1:AW$7,AX$1:AX$7)</f>
        <v>0</v>
      </c>
      <c r="AY21" s="4" t="str">
        <f ca="1">IFERROR(VLOOKUP($A21,INDIRECT($AM$20, FALSE), AY$19, FALSE), "--")</f>
        <v>SI</v>
      </c>
      <c r="AZ21" s="140">
        <f t="shared" ref="AZ21:AZ66" ca="1" si="22">LOOKUP(AY21,AY$1:AY$7,AZ$1:AZ$7)</f>
        <v>0</v>
      </c>
      <c r="BA21" s="4" t="str">
        <f ca="1">IFERROR(VLOOKUP($A21,INDIRECT($AM$20, FALSE), BA$19, FALSE), "--")</f>
        <v>Nessuno</v>
      </c>
      <c r="BB21" s="140">
        <f t="shared" ref="BB21:BB66" ca="1" si="23">LOOKUP(BA21,BA$1:BA$7,BB$1:BB$7)</f>
        <v>0</v>
      </c>
      <c r="BC21" s="4" t="str">
        <f ca="1">IFERROR(VLOOKUP($A21,INDIRECT($AM$20, FALSE), BC$19, FALSE), "--")</f>
        <v>--</v>
      </c>
      <c r="BD21" s="140">
        <f t="shared" ref="BD21:BD66" ca="1" si="24">LOOKUP(BC21,BC$1:BC$7,BD$1:BD$7)</f>
        <v>0</v>
      </c>
      <c r="BE21" s="4" t="str">
        <f ca="1">IFERROR(VLOOKUP($A21,INDIRECT($AM$20, FALSE), BE$19, FALSE), "--")</f>
        <v>--</v>
      </c>
      <c r="BF21" s="140">
        <f t="shared" ref="BF21:BF66" ca="1" si="25">LOOKUP(BE21,BE$1:BE$7,BF$1:BF$7)</f>
        <v>0</v>
      </c>
      <c r="BG21" s="4" t="str">
        <f ca="1">IFERROR(VLOOKUP($A21,INDIRECT($AM$20, FALSE), BG$19, FALSE), "--")</f>
        <v>SI</v>
      </c>
      <c r="BH21" s="140">
        <f t="shared" ref="BH21:BH66" ca="1" si="26">LOOKUP(BG21,BG$1:BG$7,BH$1:BH$7)</f>
        <v>6</v>
      </c>
      <c r="BI21" s="4" t="str">
        <f ca="1">IFERROR(VLOOKUP($A21,INDIRECT($AM$20, FALSE), BI$19, FALSE), "--")</f>
        <v>NO</v>
      </c>
      <c r="BJ21" s="140">
        <f t="shared" ref="BJ21:BJ66" ca="1" si="27">LOOKUP(BI21,BI$1:BI$7,BJ$1:BJ$7)</f>
        <v>0</v>
      </c>
      <c r="BK21" s="4" t="str">
        <f ca="1">IFERROR(VLOOKUP($A21,INDIRECT($AM$20, FALSE), BK$19, FALSE), "--")</f>
        <v>NO</v>
      </c>
      <c r="BL21" s="140">
        <f t="shared" ref="BL21:BL66" ca="1" si="28">LOOKUP(BK21,BK$1:BK$7,BL$1:BL$7)</f>
        <v>0</v>
      </c>
      <c r="BM21" s="4" t="str">
        <f ca="1">IFERROR(VLOOKUP($A21,INDIRECT($AM$20, FALSE), BM$19, FALSE), "--")</f>
        <v>Sì, centralizzato</v>
      </c>
      <c r="BN21" s="140">
        <f t="shared" ref="BN21:BN66" ca="1" si="29">LOOKUP(BM21,BM$1:BM$7,BN$1:BN$7)</f>
        <v>10</v>
      </c>
      <c r="BO21" s="203" t="str">
        <f ca="1">IF(IFERROR(VLOOKUP($A21,INDIRECT($BP$20, FALSE), 1, FALSE), "--") = "--", "no", "ok")</f>
        <v>ok</v>
      </c>
      <c r="BP21" s="4" t="str">
        <f ca="1">IFERROR(VLOOKUP($A21,INDIRECT($BP$20, FALSE), BP$19, FALSE), "--")</f>
        <v>NO</v>
      </c>
      <c r="BQ21" s="140">
        <f t="shared" ref="BQ21:BQ66" ca="1" si="30">LOOKUP(BP21,BP$1:BP$7,BQ$1:BQ$7)</f>
        <v>0</v>
      </c>
      <c r="BR21" s="4" t="str">
        <f ca="1">IFERROR(VLOOKUP($A21,INDIRECT($BP$20, FALSE), BR$19, FALSE), "--")</f>
        <v>No</v>
      </c>
      <c r="BS21" s="140">
        <f t="shared" ref="BS21:BS66" ca="1" si="31">LOOKUP(BR21,BR$1:BR$7,BS$1:BS$7)</f>
        <v>0</v>
      </c>
      <c r="BT21" s="4" t="str">
        <f ca="1">IFERROR(VLOOKUP($A21,INDIRECT($BP$20, FALSE), BT$19, FALSE), "--")</f>
        <v>No</v>
      </c>
      <c r="BU21" s="140">
        <f t="shared" ref="BU21:BU66" ca="1" si="32">LOOKUP(BT21,BT$1:BT$7,BU$1:BU$7)</f>
        <v>0</v>
      </c>
      <c r="BV21" s="4" t="str">
        <f ca="1">IFERROR(VLOOKUP($A21,INDIRECT($BP$20, FALSE), BV$19, FALSE), "--")</f>
        <v>NO</v>
      </c>
      <c r="BW21" s="140">
        <f t="shared" ref="BW21:BW66" ca="1" si="33">LOOKUP(BV21,BV$1:BV$7,BW$1:BW$7)</f>
        <v>0</v>
      </c>
      <c r="BX21" s="4" t="str">
        <f ca="1">IFERROR(VLOOKUP($A21,INDIRECT($BP$20, FALSE), BX$19, FALSE), "--")</f>
        <v>SI</v>
      </c>
      <c r="BY21" s="140">
        <f t="shared" ref="BY21:BY66" ca="1" si="34">LOOKUP(BX21,BX$1:BX$7,BY$1:BY$7)</f>
        <v>10</v>
      </c>
      <c r="BZ21" s="4" t="str">
        <f ca="1">IFERROR(VLOOKUP($A21,INDIRECT($BP$20, FALSE), BZ$19, FALSE), "--")</f>
        <v>SI</v>
      </c>
      <c r="CA21" s="140">
        <f t="shared" ref="CA21:CA66" ca="1" si="35">LOOKUP(BZ21,BZ$1:BZ$7,CA$1:CA$7)</f>
        <v>10</v>
      </c>
      <c r="CB21" s="4" t="str">
        <f ca="1">IFERROR(VLOOKUP($A21,INDIRECT($BP$20, FALSE), CB$19, FALSE), "--")</f>
        <v>SI</v>
      </c>
      <c r="CC21" s="140">
        <f t="shared" ref="CC21:CC66" ca="1" si="36">LOOKUP(CB21,CB$1:CB$7,CC$1:CC$7)</f>
        <v>10</v>
      </c>
      <c r="CD21" s="4" t="str">
        <f ca="1">IFERROR(VLOOKUP($A21,INDIRECT($BP$20, FALSE), CD$19, FALSE), "--")</f>
        <v>SI</v>
      </c>
      <c r="CE21" s="140">
        <f t="shared" ref="CE21:CE66" ca="1" si="37">LOOKUP(CD21,CD$1:CD$7,CE$1:CE$7)</f>
        <v>10</v>
      </c>
      <c r="CF21" s="4" t="str">
        <f ca="1">IFERROR(VLOOKUP($A21,INDIRECT($BP$20, FALSE), CF$19, FALSE), "--")</f>
        <v>NO</v>
      </c>
      <c r="CG21" s="140">
        <f t="shared" ref="CG21:CG66" ca="1" si="38">LOOKUP(CF21,CF$1:CF$7,CG$1:CG$7)</f>
        <v>10</v>
      </c>
      <c r="CH21" s="4" t="str">
        <f ca="1">IFERROR(VLOOKUP($A21,INDIRECT($BP$20, FALSE), CH$19, FALSE), "--")</f>
        <v>Rilevate &lt; 10</v>
      </c>
      <c r="CI21" s="140">
        <f t="shared" ref="CI21:CI66" ca="1" si="39">LOOKUP(CH21,CH$1:CH$7,CI$1:CI$7)</f>
        <v>2</v>
      </c>
      <c r="CJ21" s="4" t="b">
        <f ca="1">IFERROR(VLOOKUP($A21,INDIRECT($BP$20, FALSE), CJ$19, FALSE), "--")</f>
        <v>0</v>
      </c>
      <c r="CK21" s="140">
        <f t="shared" ref="CK21:CK66" ca="1" si="40">LOOKUP(CJ21,CJ$1:CJ$7,CK$1:CK$7)</f>
        <v>0</v>
      </c>
      <c r="CL21" s="4" t="b">
        <f ca="1">IFERROR(VLOOKUP($A21,INDIRECT($BP$20, FALSE), CL$19, FALSE), "--")</f>
        <v>0</v>
      </c>
      <c r="CM21" s="140">
        <f t="shared" ref="CM21:CM66" ca="1" si="41">LOOKUP(CL21,CL$1:CL$7,CM$1:CM$7)</f>
        <v>0</v>
      </c>
      <c r="CN21" s="4" t="b">
        <f ca="1">IFERROR(VLOOKUP($A21,INDIRECT($BP$20, FALSE), CN$19, FALSE), "--")</f>
        <v>0</v>
      </c>
      <c r="CO21" s="140">
        <f t="shared" ref="CO21:CO66" ca="1" si="42">LOOKUP(CN21,CN$1:CN$7,CO$1:CO$7)</f>
        <v>0</v>
      </c>
      <c r="CP21" s="4" t="b">
        <f ca="1">IFERROR(VLOOKUP($A21,INDIRECT($BP$20, FALSE), CP$19, FALSE), "--")</f>
        <v>0</v>
      </c>
      <c r="CQ21" s="140">
        <f t="shared" ref="CQ21:CQ66" ca="1" si="43">LOOKUP(CP21,CP$1:CP$7,CQ$1:CQ$7)</f>
        <v>0</v>
      </c>
      <c r="CR21" s="203" t="str">
        <f ca="1">IF(IFERROR(VLOOKUP($A21,INDIRECT($CS$20, FALSE), 1, FALSE), "--") = "--", "no", "ok")</f>
        <v>ok</v>
      </c>
      <c r="CS21" s="4" t="str">
        <f ca="1">IFERROR(VLOOKUP($A21,INDIRECT($CS$20, FALSE), CS$19, FALSE), "--")</f>
        <v>SI</v>
      </c>
      <c r="CT21" s="140">
        <f t="shared" ref="CT21:CT66" ca="1" si="44">LOOKUP(CS21,CS$1:CS$7,CT$1:CT$7)</f>
        <v>10</v>
      </c>
      <c r="CU21" s="4" t="str">
        <f ca="1">IFERROR(VLOOKUP($A21,INDIRECT($CS$20, FALSE), CU$19, FALSE), "--")</f>
        <v>SI</v>
      </c>
      <c r="CV21" s="140">
        <f t="shared" ref="CV21:CV66" ca="1" si="45">LOOKUP(CU21,CU$1:CU$7,CV$1:CV$7)</f>
        <v>10</v>
      </c>
      <c r="CW21" s="4" t="str">
        <f ca="1">IFERROR(VLOOKUP($A21,INDIRECT($CS$20, FALSE), CW$19, FALSE), "--")</f>
        <v>Sì, alcuni</v>
      </c>
      <c r="CX21" s="140">
        <f t="shared" ref="CX21:CX66" ca="1" si="46">LOOKUP(CW21,CW$1:CW$7,CX$1:CX$7)</f>
        <v>6</v>
      </c>
      <c r="CY21" s="4" t="str">
        <f ca="1">IFERROR(VLOOKUP($A21,INDIRECT($CS$20, FALSE), CY$19, FALSE), "--")</f>
        <v>NO</v>
      </c>
      <c r="CZ21" s="140">
        <f t="shared" ref="CZ21:CZ66" ca="1" si="47">LOOKUP(CY21,CY$1:CY$7,CZ$1:CZ$7)</f>
        <v>0</v>
      </c>
      <c r="DA21" s="4" t="str">
        <f ca="1">IFERROR(VLOOKUP($A21,INDIRECT($CS$20, FALSE), DA$19, FALSE), "--")</f>
        <v>SI</v>
      </c>
      <c r="DB21" s="140">
        <f t="shared" ref="DB21:DB66" ca="1" si="48">LOOKUP(DA21,DA$1:DA$7,DB$1:DB$7)</f>
        <v>10</v>
      </c>
      <c r="DC21" s="4" t="str">
        <f ca="1">IFERROR(VLOOKUP($A21,INDIRECT($CS$20, FALSE), DC$19, FALSE), "--")</f>
        <v>SI</v>
      </c>
      <c r="DD21" s="140">
        <f t="shared" ref="DD21:DD66" ca="1" si="49">LOOKUP(DC21,DC$1:DC$7,DD$1:DD$7)</f>
        <v>10</v>
      </c>
      <c r="DE21" s="4" t="str">
        <f ca="1">IFERROR(VLOOKUP($A21,INDIRECT($CS$20, FALSE), DE$19, FALSE), "--")</f>
        <v>SI</v>
      </c>
      <c r="DF21" s="140">
        <f t="shared" ref="DF21:DF66" ca="1" si="50">LOOKUP(DE21,DE$1:DE$7,DF$1:DF$7)</f>
        <v>10</v>
      </c>
      <c r="DG21" s="4" t="str">
        <f ca="1">IFERROR(VLOOKUP($A21,INDIRECT($CS$20, FALSE), DG$19, FALSE), "--")</f>
        <v>NO</v>
      </c>
      <c r="DH21" s="140">
        <f t="shared" ref="DH21:DH66" ca="1" si="51">LOOKUP(DG21,DG$1:DG$7,DH$1:DH$7)</f>
        <v>0</v>
      </c>
      <c r="DI21" s="4" t="str">
        <f ca="1">IFERROR(VLOOKUP($A21,INDIRECT($CS$20, FALSE), DI$19, FALSE), "--")</f>
        <v>Sì</v>
      </c>
      <c r="DJ21" s="140">
        <f t="shared" ref="DJ21:DJ66" ca="1" si="52">LOOKUP(DI21,DI$1:DI$7,DJ$1:DJ$7)</f>
        <v>4</v>
      </c>
      <c r="DK21" s="4" t="str">
        <f ca="1">IFERROR(VLOOKUP($A21,INDIRECT($CS$20, FALSE), DK$19, FALSE), "--")</f>
        <v>Solo personale interno</v>
      </c>
      <c r="DL21" s="140">
        <f t="shared" ref="DL21:DL66" ca="1" si="53">LOOKUP(DK21,DK$1:DK$7,DL$1:DL$7)</f>
        <v>10</v>
      </c>
      <c r="DM21" s="4" t="str">
        <f ca="1">IFERROR(VLOOKUP($A21,INDIRECT($CS$20, FALSE), DM$19, FALSE), "--")</f>
        <v>Non previsto audit</v>
      </c>
      <c r="DN21" s="140">
        <f t="shared" ref="DN21:DN66" ca="1" si="54">LOOKUP(DM21,DM$1:DM$7,DN$1:DN$7)</f>
        <v>0</v>
      </c>
      <c r="DO21" s="4" t="str">
        <f ca="1">IFERROR(VLOOKUP($A21,INDIRECT($CS$20, FALSE), DO$19, FALSE), "--")</f>
        <v>--</v>
      </c>
      <c r="DP21" s="140">
        <f t="shared" ref="DP21:DP66" ca="1" si="55">LOOKUP(DO21,DO$1:DO$7,DP$1:DP$7)</f>
        <v>0</v>
      </c>
      <c r="DQ21" s="4" t="str">
        <f ca="1">IFERROR(VLOOKUP($A21,INDIRECT($CS$20, FALSE), DQ$19, FALSE), "--")</f>
        <v>NO</v>
      </c>
      <c r="DR21" s="140">
        <f t="shared" ref="DR21:DR66" ca="1" si="56">LOOKUP(DQ21,DQ$1:DQ$7,DR$1:DR$7)</f>
        <v>0</v>
      </c>
      <c r="DS21" s="80" t="str">
        <f ca="1">IFERROR(VLOOKUP($A21,INDIRECT($CS$20, FALSE), DS$19, FALSE), "--")</f>
        <v>--</v>
      </c>
      <c r="DT21" s="140">
        <f t="shared" ref="DT21:DT66" ca="1" si="57">LOOKUP(DS21,DS$1:DS$7,DT$1:DT$7)</f>
        <v>0</v>
      </c>
      <c r="DU21" s="4" t="str">
        <f ca="1">IFERROR(VLOOKUP($A21,INDIRECT($CS$20, FALSE), DU$19, FALSE), "--")</f>
        <v>Sì, con copertura analisi rischi parziale</v>
      </c>
      <c r="DV21" s="140">
        <f ca="1">LOOKUP(DU21,DU$1:DU$7,DV$1:DV$7)</f>
        <v>8</v>
      </c>
      <c r="DW21" s="4" t="str">
        <f ca="1">IFERROR(VLOOKUP($A21,INDIRECT($CS$20, FALSE), DW$19, FALSE), "--")</f>
        <v>SI</v>
      </c>
      <c r="DX21" s="140">
        <f t="shared" ref="DX21:DX66" ca="1" si="58">LOOKUP(DW21,DW$1:DW$7,DX$1:DX$7)</f>
        <v>10</v>
      </c>
      <c r="DY21" s="4" t="str">
        <f ca="1">IFERROR(VLOOKUP($A21,INDIRECT($CS$20, FALSE), DY$19, FALSE), "--")</f>
        <v>NO</v>
      </c>
      <c r="DZ21" s="140">
        <f t="shared" ref="DZ21:DZ66" ca="1" si="59">LOOKUP(DY21,DY$1:DY$7,DZ$1:DZ$7)</f>
        <v>0</v>
      </c>
      <c r="EA21" s="80" t="str">
        <f ca="1">IFERROR(VLOOKUP($A21,INDIRECT($CS$20, FALSE), EA$19, FALSE), "--")</f>
        <v>Inferiore al 10 %</v>
      </c>
      <c r="EB21" s="140">
        <f t="shared" ref="EB21:EB66" ca="1" si="60">LOOKUP(EA21,EA$1:EA$7,EB$1:EB$7)</f>
        <v>2</v>
      </c>
      <c r="EC21" s="4">
        <f t="shared" ref="EC21:EC52" ca="1" si="61">SUMIF(D21:EB21, "&gt; 0")</f>
        <v>227</v>
      </c>
      <c r="EF21" s="1"/>
      <c r="EH21" s="1"/>
      <c r="EJ21" s="1"/>
      <c r="EL21" s="1"/>
      <c r="EN21" s="1"/>
      <c r="EP21" s="1"/>
    </row>
    <row r="22" spans="1:146">
      <c r="A22" s="363" t="str">
        <f t="shared" ca="1" si="0"/>
        <v xml:space="preserve">Consiglio di Stato                                                                    </v>
      </c>
      <c r="B22" s="50">
        <f ca="1">VLOOKUP( TRIM(A22), Classificazione!$A$5:$B$71, 2, FALSE)</f>
        <v>101</v>
      </c>
      <c r="C22" s="364">
        <f ca="1">VLOOKUP(TRIM(A22), Classificazione!$A$5:$L$71, 12, FALSE)</f>
        <v>839</v>
      </c>
      <c r="D22" s="4" t="str">
        <f t="shared" ref="D22:L66" ca="1" si="62">IFERROR(VLOOKUP($A22,INDIRECT($D$20, FALSE), D$19, FALSE), "--")</f>
        <v>Completamente decentralizzato</v>
      </c>
      <c r="E22" s="140">
        <f ca="1">LOOKUP(D22,D$1:D$7,E$1:E$7)</f>
        <v>10</v>
      </c>
      <c r="F22" s="4" t="str">
        <f t="shared" ca="1" si="62"/>
        <v>SI</v>
      </c>
      <c r="G22" s="140">
        <f t="shared" ca="1" si="1"/>
        <v>10</v>
      </c>
      <c r="H22" s="4" t="str">
        <f t="shared" ca="1" si="62"/>
        <v>SI</v>
      </c>
      <c r="I22" s="140">
        <f t="shared" ref="I22:I66" ca="1" si="63">LOOKUP(H22,H$1:H$7,I$1:I$7)</f>
        <v>10</v>
      </c>
      <c r="J22" s="4" t="b">
        <f t="shared" ca="1" si="62"/>
        <v>0</v>
      </c>
      <c r="K22" s="140">
        <f t="shared" ref="K22:K66" ca="1" si="64">LOOKUP(J22,J$1:J$7,K$1:K$7)</f>
        <v>0</v>
      </c>
      <c r="L22" s="4" t="b">
        <f t="shared" ca="1" si="62"/>
        <v>1</v>
      </c>
      <c r="M22" s="140">
        <f t="shared" ca="1" si="2"/>
        <v>5</v>
      </c>
      <c r="N22" s="4" t="b">
        <f t="shared" ref="N22:N66" ca="1" si="65">IFERROR(VLOOKUP($A22,INDIRECT($D$20, FALSE), N$19, FALSE), "--")</f>
        <v>1</v>
      </c>
      <c r="O22" s="140">
        <f t="shared" ca="1" si="3"/>
        <v>3</v>
      </c>
      <c r="P22" s="4" t="b">
        <f t="shared" ref="P22:P66" ca="1" si="66">IFERROR(VLOOKUP($A22,INDIRECT($D$20, FALSE), P$19, FALSE), "--")</f>
        <v>0</v>
      </c>
      <c r="Q22" s="140">
        <f t="shared" ca="1" si="4"/>
        <v>0</v>
      </c>
      <c r="R22" s="4" t="str">
        <f t="shared" ref="R22:R66" ca="1" si="67">IFERROR(VLOOKUP($A22,INDIRECT($D$20, FALSE), R$19, FALSE), "--")</f>
        <v>UserId/Password</v>
      </c>
      <c r="S22" s="140">
        <f t="shared" ca="1" si="5"/>
        <v>2</v>
      </c>
      <c r="T22" s="4" t="str">
        <f t="shared" ref="T22:T66" ca="1" si="68">IFERROR(VLOOKUP($A22,INDIRECT($D$20, FALSE), T$19, FALSE), "--")</f>
        <v>SI</v>
      </c>
      <c r="U22" s="140">
        <f t="shared" ca="1" si="6"/>
        <v>2</v>
      </c>
      <c r="V22" s="4" t="str">
        <f t="shared" ref="V22:V66" ca="1" si="69">IFERROR(VLOOKUP($A22,INDIRECT($D$20, FALSE), V$19, FALSE), "--")</f>
        <v>SI</v>
      </c>
      <c r="W22" s="140">
        <f t="shared" ca="1" si="7"/>
        <v>2</v>
      </c>
      <c r="X22" s="4" t="str">
        <f t="shared" ref="X22:X66" ca="1" si="70">IFERROR(VLOOKUP($A22,INDIRECT($D$20, FALSE), X$19, FALSE), "--")</f>
        <v>SI</v>
      </c>
      <c r="Y22" s="140">
        <f t="shared" ca="1" si="8"/>
        <v>4</v>
      </c>
      <c r="Z22" s="4" t="str">
        <f t="shared" ref="Z22:Z66" ca="1" si="71">IFERROR(VLOOKUP($A22,INDIRECT($D$20, FALSE), Z$19, FALSE), "--")</f>
        <v>Ogni mese</v>
      </c>
      <c r="AA22" s="140">
        <f t="shared" ca="1" si="9"/>
        <v>6</v>
      </c>
      <c r="AB22" s="4" t="str">
        <f t="shared" ref="AB22:AB66" ca="1" si="72">IFERROR(VLOOKUP($A22,INDIRECT($D$20, FALSE), AB$19, FALSE), "--")</f>
        <v>SI</v>
      </c>
      <c r="AC22" s="140">
        <f t="shared" ca="1" si="10"/>
        <v>10</v>
      </c>
      <c r="AD22" s="4" t="str">
        <f t="shared" ref="AD22:AD66" ca="1" si="73">IFERROR(VLOOKUP($A22,INDIRECT($D$20, FALSE), AD$19, FALSE), "--")</f>
        <v>Esistono postazioni mobili o supporti dati rimuovibili con sistemi di prevenzione degli accessi</v>
      </c>
      <c r="AE22" s="140">
        <f t="shared" ca="1" si="11"/>
        <v>10</v>
      </c>
      <c r="AF22" s="4" t="str">
        <f t="shared" ref="AF22:AF66" ca="1" si="74">IFERROR(VLOOKUP($A22,INDIRECT($D$20, FALSE), AF$19, FALSE), "--")</f>
        <v>SI</v>
      </c>
      <c r="AG22" s="140">
        <f t="shared" ca="1" si="12"/>
        <v>6</v>
      </c>
      <c r="AH22" s="4" t="str">
        <f t="shared" ref="AH22:AH66" ca="1" si="75">IFERROR(VLOOKUP($A22,INDIRECT($D$20, FALSE), AH$19, FALSE), "--")</f>
        <v>SI</v>
      </c>
      <c r="AI22" s="140">
        <f t="shared" ca="1" si="13"/>
        <v>4</v>
      </c>
      <c r="AJ22" s="4" t="str">
        <f t="shared" ref="AJ22:AJ66" ca="1" si="76">IFERROR(VLOOKUP($A22,INDIRECT($D$20, FALSE), AJ$19, FALSE), "--")</f>
        <v>SI</v>
      </c>
      <c r="AK22" s="140">
        <f t="shared" ca="1" si="14"/>
        <v>10</v>
      </c>
      <c r="AL22" s="203" t="str">
        <f t="shared" ca="1" si="15"/>
        <v>ok</v>
      </c>
      <c r="AM22" s="4" t="str">
        <f t="shared" ref="AM22:AU66" ca="1" si="77">IFERROR(VLOOKUP($A22,INDIRECT($AM$20, FALSE), AM$19, FALSE), "--")</f>
        <v>SI</v>
      </c>
      <c r="AN22" s="140">
        <f t="shared" ca="1" si="16"/>
        <v>10</v>
      </c>
      <c r="AO22" s="4" t="str">
        <f t="shared" ca="1" si="77"/>
        <v>SI</v>
      </c>
      <c r="AP22" s="140">
        <f t="shared" ca="1" si="17"/>
        <v>10</v>
      </c>
      <c r="AQ22" s="4" t="str">
        <f t="shared" ca="1" si="77"/>
        <v>SI</v>
      </c>
      <c r="AR22" s="140">
        <f t="shared" ca="1" si="18"/>
        <v>10</v>
      </c>
      <c r="AS22" s="4" t="b">
        <f t="shared" ca="1" si="77"/>
        <v>1</v>
      </c>
      <c r="AT22" s="140">
        <f t="shared" ca="1" si="19"/>
        <v>5</v>
      </c>
      <c r="AU22" s="4" t="b">
        <f t="shared" ca="1" si="77"/>
        <v>0</v>
      </c>
      <c r="AV22" s="140">
        <f t="shared" ca="1" si="20"/>
        <v>0</v>
      </c>
      <c r="AW22" s="4" t="b">
        <f t="shared" ref="AW22:AW66" ca="1" si="78">IFERROR(VLOOKUP($A22,INDIRECT($AM$20, FALSE), AW$19, FALSE), "--")</f>
        <v>0</v>
      </c>
      <c r="AX22" s="140">
        <f t="shared" ca="1" si="21"/>
        <v>0</v>
      </c>
      <c r="AY22" s="4" t="str">
        <f t="shared" ref="AY22:AY66" ca="1" si="79">IFERROR(VLOOKUP($A22,INDIRECT($AM$20, FALSE), AY$19, FALSE), "--")</f>
        <v>SI</v>
      </c>
      <c r="AZ22" s="140">
        <f t="shared" ca="1" si="22"/>
        <v>0</v>
      </c>
      <c r="BA22" s="4" t="str">
        <f t="shared" ref="BA22:BA66" ca="1" si="80">IFERROR(VLOOKUP($A22,INDIRECT($AM$20, FALSE), BA$19, FALSE), "--")</f>
        <v>Nessuno</v>
      </c>
      <c r="BB22" s="140">
        <f t="shared" ca="1" si="23"/>
        <v>0</v>
      </c>
      <c r="BC22" s="4" t="str">
        <f t="shared" ref="BC22:BC66" ca="1" si="81">IFERROR(VLOOKUP($A22,INDIRECT($AM$20, FALSE), BC$19, FALSE), "--")</f>
        <v>SI</v>
      </c>
      <c r="BD22" s="140">
        <f t="shared" ca="1" si="24"/>
        <v>0</v>
      </c>
      <c r="BE22" s="4" t="str">
        <f t="shared" ref="BE22:BE66" ca="1" si="82">IFERROR(VLOOKUP($A22,INDIRECT($AM$20, FALSE), BE$19, FALSE), "--")</f>
        <v>Accesso remoto mediante  VPN</v>
      </c>
      <c r="BF22" s="140">
        <f t="shared" ca="1" si="25"/>
        <v>10</v>
      </c>
      <c r="BG22" s="4" t="str">
        <f t="shared" ref="BG22:BG66" ca="1" si="83">IFERROR(VLOOKUP($A22,INDIRECT($AM$20, FALSE), BG$19, FALSE), "--")</f>
        <v>SI</v>
      </c>
      <c r="BH22" s="140">
        <f t="shared" ca="1" si="26"/>
        <v>6</v>
      </c>
      <c r="BI22" s="4" t="str">
        <f t="shared" ref="BI22:BI66" ca="1" si="84">IFERROR(VLOOKUP($A22,INDIRECT($AM$20, FALSE), BI$19, FALSE), "--")</f>
        <v>SI</v>
      </c>
      <c r="BJ22" s="140">
        <f t="shared" ca="1" si="27"/>
        <v>4</v>
      </c>
      <c r="BK22" s="4" t="str">
        <f t="shared" ref="BK22:BK66" ca="1" si="85">IFERROR(VLOOKUP($A22,INDIRECT($AM$20, FALSE), BK$19, FALSE), "--")</f>
        <v>NO</v>
      </c>
      <c r="BL22" s="140">
        <f t="shared" ca="1" si="28"/>
        <v>0</v>
      </c>
      <c r="BM22" s="4" t="str">
        <f t="shared" ref="BM22:BM66" ca="1" si="86">IFERROR(VLOOKUP($A22,INDIRECT($AM$20, FALSE), BM$19, FALSE), "--")</f>
        <v>Sì, centralizzato</v>
      </c>
      <c r="BN22" s="140">
        <f t="shared" ca="1" si="29"/>
        <v>10</v>
      </c>
      <c r="BO22" s="203" t="str">
        <f t="shared" ref="BO22:BO66" ca="1" si="87">IF(IFERROR(VLOOKUP($A22,INDIRECT($BP$20, FALSE), 1, FALSE), "--") = "--", "no", "ok")</f>
        <v>ok</v>
      </c>
      <c r="BP22" s="4" t="str">
        <f t="shared" ref="BP22:BX66" ca="1" si="88">IFERROR(VLOOKUP($A22,INDIRECT($BP$20, FALSE), BP$19, FALSE), "--")</f>
        <v>NO</v>
      </c>
      <c r="BQ22" s="140">
        <f t="shared" ca="1" si="30"/>
        <v>0</v>
      </c>
      <c r="BR22" s="4" t="str">
        <f t="shared" ca="1" si="88"/>
        <v>Sì, solo per le applicazioni più importanti</v>
      </c>
      <c r="BS22" s="140">
        <f t="shared" ca="1" si="31"/>
        <v>6</v>
      </c>
      <c r="BT22" s="4" t="str">
        <f t="shared" ca="1" si="88"/>
        <v>Sì, solo per le applicazioni più importanti</v>
      </c>
      <c r="BU22" s="140">
        <f t="shared" ca="1" si="32"/>
        <v>6</v>
      </c>
      <c r="BV22" s="4" t="str">
        <f t="shared" ca="1" si="88"/>
        <v>SI</v>
      </c>
      <c r="BW22" s="140">
        <f t="shared" ca="1" si="33"/>
        <v>10</v>
      </c>
      <c r="BX22" s="4" t="str">
        <f t="shared" ca="1" si="88"/>
        <v>--</v>
      </c>
      <c r="BY22" s="140">
        <f t="shared" ca="1" si="34"/>
        <v>0</v>
      </c>
      <c r="BZ22" s="4" t="str">
        <f t="shared" ref="BZ22:BZ66" ca="1" si="89">IFERROR(VLOOKUP($A22,INDIRECT($BP$20, FALSE), BZ$19, FALSE), "--")</f>
        <v>--</v>
      </c>
      <c r="CA22" s="140">
        <f t="shared" ca="1" si="35"/>
        <v>0</v>
      </c>
      <c r="CB22" s="4" t="str">
        <f t="shared" ref="CB22:CB66" ca="1" si="90">IFERROR(VLOOKUP($A22,INDIRECT($BP$20, FALSE), CB$19, FALSE), "--")</f>
        <v>NO</v>
      </c>
      <c r="CC22" s="140">
        <f t="shared" ca="1" si="36"/>
        <v>0</v>
      </c>
      <c r="CD22" s="4" t="str">
        <f t="shared" ref="CD22:CD66" ca="1" si="91">IFERROR(VLOOKUP($A22,INDIRECT($BP$20, FALSE), CD$19, FALSE), "--")</f>
        <v>SI</v>
      </c>
      <c r="CE22" s="140">
        <f t="shared" ca="1" si="37"/>
        <v>10</v>
      </c>
      <c r="CF22" s="4" t="str">
        <f t="shared" ref="CF22:CF66" ca="1" si="92">IFERROR(VLOOKUP($A22,INDIRECT($BP$20, FALSE), CF$19, FALSE), "--")</f>
        <v>La procedura è ben documentata</v>
      </c>
      <c r="CG22" s="140">
        <f t="shared" ca="1" si="38"/>
        <v>0</v>
      </c>
      <c r="CH22" s="4" t="str">
        <f t="shared" ref="CH22:CH66" ca="1" si="93">IFERROR(VLOOKUP($A22,INDIRECT($BP$20, FALSE), CH$19, FALSE), "--")</f>
        <v>Rilevate &lt; 10</v>
      </c>
      <c r="CI22" s="140">
        <f t="shared" ca="1" si="39"/>
        <v>2</v>
      </c>
      <c r="CJ22" s="4" t="b">
        <f t="shared" ref="CJ22:CJ66" ca="1" si="94">IFERROR(VLOOKUP($A22,INDIRECT($BP$20, FALSE), CJ$19, FALSE), "--")</f>
        <v>0</v>
      </c>
      <c r="CK22" s="140">
        <f t="shared" ca="1" si="40"/>
        <v>0</v>
      </c>
      <c r="CL22" s="4" t="b">
        <f t="shared" ref="CL22:CL66" ca="1" si="95">IFERROR(VLOOKUP($A22,INDIRECT($BP$20, FALSE), CL$19, FALSE), "--")</f>
        <v>0</v>
      </c>
      <c r="CM22" s="140">
        <f t="shared" ca="1" si="41"/>
        <v>0</v>
      </c>
      <c r="CN22" s="4" t="b">
        <f t="shared" ref="CN22:CN66" ca="1" si="96">IFERROR(VLOOKUP($A22,INDIRECT($BP$20, FALSE), CN$19, FALSE), "--")</f>
        <v>0</v>
      </c>
      <c r="CO22" s="140">
        <f t="shared" ca="1" si="42"/>
        <v>0</v>
      </c>
      <c r="CP22" s="4" t="b">
        <f t="shared" ref="CP22:CP66" ca="1" si="97">IFERROR(VLOOKUP($A22,INDIRECT($BP$20, FALSE), CP$19, FALSE), "--")</f>
        <v>1</v>
      </c>
      <c r="CQ22" s="140">
        <f t="shared" ca="1" si="43"/>
        <v>1</v>
      </c>
      <c r="CR22" s="203" t="str">
        <f t="shared" ref="CR22:CR66" ca="1" si="98">IF(IFERROR(VLOOKUP($A22,INDIRECT($CS$20, FALSE), 1, FALSE), "--") = "--", "no", "ok")</f>
        <v>ok</v>
      </c>
      <c r="CS22" s="4" t="str">
        <f t="shared" ref="CS22:DA66" ca="1" si="99">IFERROR(VLOOKUP($A22,INDIRECT($CS$20, FALSE), CS$19, FALSE), "--")</f>
        <v>SI</v>
      </c>
      <c r="CT22" s="140">
        <f t="shared" ca="1" si="44"/>
        <v>10</v>
      </c>
      <c r="CU22" s="4" t="str">
        <f t="shared" ca="1" si="99"/>
        <v>SI</v>
      </c>
      <c r="CV22" s="140">
        <f t="shared" ca="1" si="45"/>
        <v>10</v>
      </c>
      <c r="CW22" s="4" t="str">
        <f t="shared" ca="1" si="99"/>
        <v>Sì, alcuni</v>
      </c>
      <c r="CX22" s="140">
        <f t="shared" ca="1" si="46"/>
        <v>6</v>
      </c>
      <c r="CY22" s="4" t="str">
        <f t="shared" ca="1" si="99"/>
        <v>SI</v>
      </c>
      <c r="CZ22" s="140">
        <f t="shared" ca="1" si="47"/>
        <v>10</v>
      </c>
      <c r="DA22" s="4" t="str">
        <f t="shared" ca="1" si="99"/>
        <v>SI</v>
      </c>
      <c r="DB22" s="140">
        <f t="shared" ca="1" si="48"/>
        <v>10</v>
      </c>
      <c r="DC22" s="4" t="str">
        <f t="shared" ref="DC22:DC66" ca="1" si="100">IFERROR(VLOOKUP($A22,INDIRECT($CS$20, FALSE), DC$19, FALSE), "--")</f>
        <v>SI</v>
      </c>
      <c r="DD22" s="140">
        <f t="shared" ca="1" si="49"/>
        <v>10</v>
      </c>
      <c r="DE22" s="4" t="str">
        <f t="shared" ref="DE22:DE66" ca="1" si="101">IFERROR(VLOOKUP($A22,INDIRECT($CS$20, FALSE), DE$19, FALSE), "--")</f>
        <v>SI</v>
      </c>
      <c r="DF22" s="140">
        <f t="shared" ca="1" si="50"/>
        <v>10</v>
      </c>
      <c r="DG22" s="4" t="str">
        <f t="shared" ref="DG22:DG66" ca="1" si="102">IFERROR(VLOOKUP($A22,INDIRECT($CS$20, FALSE), DG$19, FALSE), "--")</f>
        <v>SI</v>
      </c>
      <c r="DH22" s="140">
        <f t="shared" ca="1" si="51"/>
        <v>6</v>
      </c>
      <c r="DI22" s="4" t="str">
        <f t="shared" ref="DI22:DI66" ca="1" si="103">IFERROR(VLOOKUP($A22,INDIRECT($CS$20, FALSE), DI$19, FALSE), "--")</f>
        <v>Sì</v>
      </c>
      <c r="DJ22" s="140">
        <f t="shared" ca="1" si="52"/>
        <v>4</v>
      </c>
      <c r="DK22" s="4" t="str">
        <f t="shared" ref="DK22:DK66" ca="1" si="104">IFERROR(VLOOKUP($A22,INDIRECT($CS$20, FALSE), DK$19, FALSE), "--")</f>
        <v>Solo personale interno</v>
      </c>
      <c r="DL22" s="140">
        <f t="shared" ca="1" si="53"/>
        <v>10</v>
      </c>
      <c r="DM22" s="4" t="str">
        <f t="shared" ref="DM22:DM66" ca="1" si="105">IFERROR(VLOOKUP($A22,INDIRECT($CS$20, FALSE), DM$19, FALSE), "--")</f>
        <v>Non previsto audit</v>
      </c>
      <c r="DN22" s="140">
        <f t="shared" ca="1" si="54"/>
        <v>0</v>
      </c>
      <c r="DO22" s="4" t="str">
        <f t="shared" ref="DO22:DO66" ca="1" si="106">IFERROR(VLOOKUP($A22,INDIRECT($CS$20, FALSE), DO$19, FALSE), "--")</f>
        <v>--</v>
      </c>
      <c r="DP22" s="140">
        <f t="shared" ca="1" si="55"/>
        <v>0</v>
      </c>
      <c r="DQ22" s="4" t="str">
        <f t="shared" ref="DQ22:DQ66" ca="1" si="107">IFERROR(VLOOKUP($A22,INDIRECT($CS$20, FALSE), DQ$19, FALSE), "--")</f>
        <v>SI</v>
      </c>
      <c r="DR22" s="140">
        <f t="shared" ca="1" si="56"/>
        <v>4</v>
      </c>
      <c r="DS22" s="80" t="str">
        <f t="shared" ref="DS22:DS66" ca="1" si="108">IFERROR(VLOOKUP($A22,INDIRECT($CS$20, FALSE), DS$19, FALSE), "--")</f>
        <v>Compresa tra 5 % e 10%</v>
      </c>
      <c r="DT22" s="140">
        <f t="shared" ca="1" si="57"/>
        <v>4</v>
      </c>
      <c r="DU22" s="4" t="str">
        <f t="shared" ref="DU22:DU66" ca="1" si="109">IFERROR(VLOOKUP($A22,INDIRECT($CS$20, FALSE), DU$19, FALSE), "--")</f>
        <v>Sì, con copertura analisi rischi minima</v>
      </c>
      <c r="DV22" s="140">
        <f ca="1">LOOKUP(DU22,DU$1:DU$7,DV$1:DV$7)</f>
        <v>6</v>
      </c>
      <c r="DW22" s="4" t="str">
        <f t="shared" ref="DW22:DW66" ca="1" si="110">IFERROR(VLOOKUP($A22,INDIRECT($CS$20, FALSE), DW$19, FALSE), "--")</f>
        <v>SI</v>
      </c>
      <c r="DX22" s="140">
        <f t="shared" ca="1" si="58"/>
        <v>10</v>
      </c>
      <c r="DY22" s="4" t="str">
        <f t="shared" ref="DY22:DY66" ca="1" si="111">IFERROR(VLOOKUP($A22,INDIRECT($CS$20, FALSE), DY$19, FALSE), "--")</f>
        <v>SI</v>
      </c>
      <c r="DZ22" s="140">
        <f t="shared" ca="1" si="59"/>
        <v>4</v>
      </c>
      <c r="EA22" s="80" t="str">
        <f t="shared" ref="EA22:EA66" ca="1" si="112">IFERROR(VLOOKUP($A22,INDIRECT($CS$20, FALSE), EA$19, FALSE), "--")</f>
        <v>Compresa tra il 10 % e il 30 %</v>
      </c>
      <c r="EB22" s="140">
        <f t="shared" ca="1" si="60"/>
        <v>4</v>
      </c>
      <c r="EC22" s="4">
        <f t="shared" ca="1" si="61"/>
        <v>312</v>
      </c>
      <c r="EF22" s="1"/>
      <c r="EH22" s="1"/>
      <c r="EJ22" s="1"/>
      <c r="EL22" s="1"/>
      <c r="EN22" s="1"/>
      <c r="EP22" s="1"/>
    </row>
    <row r="23" spans="1:146">
      <c r="A23" s="363" t="str">
        <f t="shared" ca="1" si="0"/>
        <v xml:space="preserve">Corte dei conti                                                                                     </v>
      </c>
      <c r="B23" s="50">
        <f ca="1">VLOOKUP( TRIM(A23), Classificazione!$A$5:$B$71, 2, FALSE)</f>
        <v>33</v>
      </c>
      <c r="C23" s="364">
        <f ca="1">VLOOKUP(TRIM(A23), Classificazione!$A$5:$L$71, 12, FALSE)</f>
        <v>3155</v>
      </c>
      <c r="D23" s="4" t="str">
        <f t="shared" ca="1" si="62"/>
        <v>Completamente centralizzato</v>
      </c>
      <c r="E23" s="140">
        <f t="shared" ref="E23:E66" ca="1" si="113">LOOKUP(D23,D$1:D$7,E$1:E$7)</f>
        <v>6</v>
      </c>
      <c r="F23" s="4" t="str">
        <f t="shared" ca="1" si="62"/>
        <v>SI</v>
      </c>
      <c r="G23" s="140">
        <f t="shared" ca="1" si="1"/>
        <v>10</v>
      </c>
      <c r="H23" s="4" t="str">
        <f t="shared" ca="1" si="62"/>
        <v>SI</v>
      </c>
      <c r="I23" s="140">
        <f t="shared" ca="1" si="63"/>
        <v>10</v>
      </c>
      <c r="J23" s="4" t="b">
        <f t="shared" ca="1" si="62"/>
        <v>0</v>
      </c>
      <c r="K23" s="140">
        <f t="shared" ca="1" si="64"/>
        <v>0</v>
      </c>
      <c r="L23" s="4" t="b">
        <f t="shared" ca="1" si="62"/>
        <v>1</v>
      </c>
      <c r="M23" s="140">
        <f t="shared" ca="1" si="2"/>
        <v>5</v>
      </c>
      <c r="N23" s="4" t="b">
        <f t="shared" ca="1" si="65"/>
        <v>0</v>
      </c>
      <c r="O23" s="140">
        <f t="shared" ca="1" si="3"/>
        <v>0</v>
      </c>
      <c r="P23" s="4" t="b">
        <f t="shared" ca="1" si="66"/>
        <v>0</v>
      </c>
      <c r="Q23" s="140">
        <f t="shared" ca="1" si="4"/>
        <v>0</v>
      </c>
      <c r="R23" s="4" t="str">
        <f t="shared" ca="1" si="67"/>
        <v>UserId/Password</v>
      </c>
      <c r="S23" s="140">
        <f t="shared" ca="1" si="5"/>
        <v>2</v>
      </c>
      <c r="T23" s="4" t="str">
        <f t="shared" ca="1" si="68"/>
        <v>SI</v>
      </c>
      <c r="U23" s="140">
        <f t="shared" ca="1" si="6"/>
        <v>2</v>
      </c>
      <c r="V23" s="4" t="str">
        <f t="shared" ca="1" si="69"/>
        <v>SI</v>
      </c>
      <c r="W23" s="140">
        <f t="shared" ca="1" si="7"/>
        <v>2</v>
      </c>
      <c r="X23" s="4" t="str">
        <f t="shared" ca="1" si="70"/>
        <v>SI</v>
      </c>
      <c r="Y23" s="140">
        <f t="shared" ca="1" si="8"/>
        <v>4</v>
      </c>
      <c r="Z23" s="4" t="str">
        <f t="shared" ca="1" si="71"/>
        <v>Ogni settimana</v>
      </c>
      <c r="AA23" s="140">
        <f t="shared" ca="1" si="9"/>
        <v>8</v>
      </c>
      <c r="AB23" s="4" t="str">
        <f t="shared" ca="1" si="72"/>
        <v>SI</v>
      </c>
      <c r="AC23" s="140">
        <f t="shared" ca="1" si="10"/>
        <v>10</v>
      </c>
      <c r="AD23" s="4" t="str">
        <f t="shared" ca="1" si="73"/>
        <v>Non esistono postazioni mobili o impiego di supporti dati rimuovibili</v>
      </c>
      <c r="AE23" s="140">
        <f t="shared" ca="1" si="11"/>
        <v>6</v>
      </c>
      <c r="AF23" s="4" t="str">
        <f t="shared" ca="1" si="74"/>
        <v>SI</v>
      </c>
      <c r="AG23" s="140">
        <f t="shared" ca="1" si="12"/>
        <v>6</v>
      </c>
      <c r="AH23" s="4" t="str">
        <f t="shared" ca="1" si="75"/>
        <v>SI</v>
      </c>
      <c r="AI23" s="140">
        <f t="shared" ca="1" si="13"/>
        <v>4</v>
      </c>
      <c r="AJ23" s="4" t="str">
        <f t="shared" ca="1" si="76"/>
        <v>SI</v>
      </c>
      <c r="AK23" s="140">
        <f t="shared" ca="1" si="14"/>
        <v>10</v>
      </c>
      <c r="AL23" s="203" t="str">
        <f t="shared" ca="1" si="15"/>
        <v>ok</v>
      </c>
      <c r="AM23" s="4" t="str">
        <f t="shared" ca="1" si="77"/>
        <v>SI</v>
      </c>
      <c r="AN23" s="140">
        <f t="shared" ca="1" si="16"/>
        <v>10</v>
      </c>
      <c r="AO23" s="4" t="str">
        <f t="shared" ca="1" si="77"/>
        <v>SI</v>
      </c>
      <c r="AP23" s="140">
        <f t="shared" ca="1" si="17"/>
        <v>10</v>
      </c>
      <c r="AQ23" s="4" t="str">
        <f t="shared" ca="1" si="77"/>
        <v>SI</v>
      </c>
      <c r="AR23" s="140">
        <f t="shared" ca="1" si="18"/>
        <v>10</v>
      </c>
      <c r="AS23" s="4" t="b">
        <f t="shared" ca="1" si="77"/>
        <v>1</v>
      </c>
      <c r="AT23" s="140">
        <f t="shared" ca="1" si="19"/>
        <v>5</v>
      </c>
      <c r="AU23" s="4" t="b">
        <f t="shared" ca="1" si="77"/>
        <v>0</v>
      </c>
      <c r="AV23" s="140">
        <f t="shared" ca="1" si="20"/>
        <v>0</v>
      </c>
      <c r="AW23" s="4" t="b">
        <f t="shared" ca="1" si="78"/>
        <v>0</v>
      </c>
      <c r="AX23" s="140">
        <f t="shared" ca="1" si="21"/>
        <v>0</v>
      </c>
      <c r="AY23" s="4" t="str">
        <f t="shared" ca="1" si="79"/>
        <v>SI</v>
      </c>
      <c r="AZ23" s="140">
        <f t="shared" ca="1" si="22"/>
        <v>0</v>
      </c>
      <c r="BA23" s="4" t="str">
        <f t="shared" ca="1" si="80"/>
        <v>WPA</v>
      </c>
      <c r="BB23" s="140">
        <f t="shared" ca="1" si="23"/>
        <v>10</v>
      </c>
      <c r="BC23" s="4" t="str">
        <f t="shared" ca="1" si="81"/>
        <v>SI</v>
      </c>
      <c r="BD23" s="140">
        <f t="shared" ca="1" si="24"/>
        <v>0</v>
      </c>
      <c r="BE23" s="4" t="str">
        <f t="shared" ca="1" si="82"/>
        <v>Accesso remoto mediante  VPN</v>
      </c>
      <c r="BF23" s="140">
        <f t="shared" ca="1" si="25"/>
        <v>10</v>
      </c>
      <c r="BG23" s="4" t="str">
        <f t="shared" ca="1" si="83"/>
        <v>SI</v>
      </c>
      <c r="BH23" s="140">
        <f t="shared" ca="1" si="26"/>
        <v>6</v>
      </c>
      <c r="BI23" s="4" t="str">
        <f t="shared" ca="1" si="84"/>
        <v>SI</v>
      </c>
      <c r="BJ23" s="140">
        <f t="shared" ca="1" si="27"/>
        <v>4</v>
      </c>
      <c r="BK23" s="4" t="str">
        <f t="shared" ca="1" si="85"/>
        <v>SI</v>
      </c>
      <c r="BL23" s="140">
        <f t="shared" ca="1" si="28"/>
        <v>10</v>
      </c>
      <c r="BM23" s="4" t="str">
        <f t="shared" ca="1" si="86"/>
        <v>Sì, centralizzato</v>
      </c>
      <c r="BN23" s="140">
        <f t="shared" ca="1" si="29"/>
        <v>10</v>
      </c>
      <c r="BO23" s="203" t="str">
        <f t="shared" ca="1" si="87"/>
        <v>ok</v>
      </c>
      <c r="BP23" s="4" t="str">
        <f t="shared" ca="1" si="88"/>
        <v>NO</v>
      </c>
      <c r="BQ23" s="140">
        <f t="shared" ca="1" si="30"/>
        <v>0</v>
      </c>
      <c r="BR23" s="4" t="str">
        <f t="shared" ca="1" si="88"/>
        <v>Sì, solo per le applicazioni più importanti</v>
      </c>
      <c r="BS23" s="140">
        <f t="shared" ca="1" si="31"/>
        <v>6</v>
      </c>
      <c r="BT23" s="4" t="str">
        <f t="shared" ca="1" si="88"/>
        <v>No</v>
      </c>
      <c r="BU23" s="140">
        <f t="shared" ca="1" si="32"/>
        <v>0</v>
      </c>
      <c r="BV23" s="4" t="str">
        <f t="shared" ca="1" si="88"/>
        <v>SI</v>
      </c>
      <c r="BW23" s="140">
        <f t="shared" ca="1" si="33"/>
        <v>10</v>
      </c>
      <c r="BX23" s="4" t="str">
        <f t="shared" ca="1" si="88"/>
        <v>SI</v>
      </c>
      <c r="BY23" s="140">
        <f t="shared" ca="1" si="34"/>
        <v>10</v>
      </c>
      <c r="BZ23" s="4" t="str">
        <f t="shared" ca="1" si="89"/>
        <v>SI</v>
      </c>
      <c r="CA23" s="140">
        <f t="shared" ca="1" si="35"/>
        <v>10</v>
      </c>
      <c r="CB23" s="4" t="str">
        <f t="shared" ca="1" si="90"/>
        <v>SI</v>
      </c>
      <c r="CC23" s="140">
        <f t="shared" ca="1" si="36"/>
        <v>10</v>
      </c>
      <c r="CD23" s="4" t="str">
        <f t="shared" ca="1" si="91"/>
        <v>SI</v>
      </c>
      <c r="CE23" s="140">
        <f t="shared" ca="1" si="37"/>
        <v>10</v>
      </c>
      <c r="CF23" s="4" t="str">
        <f t="shared" ca="1" si="92"/>
        <v>NO</v>
      </c>
      <c r="CG23" s="140">
        <f t="shared" ca="1" si="38"/>
        <v>10</v>
      </c>
      <c r="CH23" s="4" t="str">
        <f t="shared" ca="1" si="93"/>
        <v>Rilevate &lt; 10</v>
      </c>
      <c r="CI23" s="140">
        <f t="shared" ca="1" si="39"/>
        <v>2</v>
      </c>
      <c r="CJ23" s="4" t="b">
        <f t="shared" ca="1" si="94"/>
        <v>0</v>
      </c>
      <c r="CK23" s="140">
        <f t="shared" ca="1" si="40"/>
        <v>0</v>
      </c>
      <c r="CL23" s="4" t="b">
        <f t="shared" ca="1" si="95"/>
        <v>0</v>
      </c>
      <c r="CM23" s="140">
        <f t="shared" ca="1" si="41"/>
        <v>0</v>
      </c>
      <c r="CN23" s="4" t="b">
        <f t="shared" ca="1" si="96"/>
        <v>0</v>
      </c>
      <c r="CO23" s="140">
        <f t="shared" ca="1" si="42"/>
        <v>0</v>
      </c>
      <c r="CP23" s="4" t="b">
        <f t="shared" ca="1" si="97"/>
        <v>0</v>
      </c>
      <c r="CQ23" s="140">
        <f t="shared" ca="1" si="43"/>
        <v>0</v>
      </c>
      <c r="CR23" s="203" t="str">
        <f t="shared" ca="1" si="98"/>
        <v>ok</v>
      </c>
      <c r="CS23" s="4" t="str">
        <f t="shared" ca="1" si="99"/>
        <v>SI</v>
      </c>
      <c r="CT23" s="140">
        <f t="shared" ca="1" si="44"/>
        <v>10</v>
      </c>
      <c r="CU23" s="4" t="str">
        <f t="shared" ca="1" si="99"/>
        <v>SI</v>
      </c>
      <c r="CV23" s="140">
        <f t="shared" ca="1" si="45"/>
        <v>10</v>
      </c>
      <c r="CW23" s="4" t="str">
        <f t="shared" ca="1" si="99"/>
        <v>No</v>
      </c>
      <c r="CX23" s="140">
        <f t="shared" ca="1" si="46"/>
        <v>0</v>
      </c>
      <c r="CY23" s="4" t="str">
        <f t="shared" ca="1" si="99"/>
        <v>SI</v>
      </c>
      <c r="CZ23" s="140">
        <f t="shared" ca="1" si="47"/>
        <v>10</v>
      </c>
      <c r="DA23" s="4" t="str">
        <f t="shared" ca="1" si="99"/>
        <v>SI</v>
      </c>
      <c r="DB23" s="140">
        <f t="shared" ca="1" si="48"/>
        <v>10</v>
      </c>
      <c r="DC23" s="4" t="str">
        <f t="shared" ca="1" si="100"/>
        <v>NO</v>
      </c>
      <c r="DD23" s="140">
        <f t="shared" ca="1" si="49"/>
        <v>0</v>
      </c>
      <c r="DE23" s="4" t="str">
        <f t="shared" ca="1" si="101"/>
        <v>SI</v>
      </c>
      <c r="DF23" s="140">
        <f t="shared" ca="1" si="50"/>
        <v>10</v>
      </c>
      <c r="DG23" s="4" t="str">
        <f t="shared" ca="1" si="102"/>
        <v>SI</v>
      </c>
      <c r="DH23" s="140">
        <f t="shared" ca="1" si="51"/>
        <v>6</v>
      </c>
      <c r="DI23" s="4" t="str">
        <f t="shared" ca="1" si="103"/>
        <v>Sì</v>
      </c>
      <c r="DJ23" s="140">
        <f t="shared" ca="1" si="52"/>
        <v>4</v>
      </c>
      <c r="DK23" s="4" t="str">
        <f t="shared" ca="1" si="104"/>
        <v>Solo personale interno</v>
      </c>
      <c r="DL23" s="140">
        <f t="shared" ca="1" si="53"/>
        <v>10</v>
      </c>
      <c r="DM23" s="4" t="str">
        <f t="shared" ca="1" si="105"/>
        <v>Non previsto audit</v>
      </c>
      <c r="DN23" s="140">
        <f t="shared" ca="1" si="54"/>
        <v>0</v>
      </c>
      <c r="DO23" s="4" t="str">
        <f t="shared" ca="1" si="106"/>
        <v>--</v>
      </c>
      <c r="DP23" s="140">
        <f t="shared" ca="1" si="55"/>
        <v>0</v>
      </c>
      <c r="DQ23" s="4" t="str">
        <f t="shared" ca="1" si="107"/>
        <v>SI</v>
      </c>
      <c r="DR23" s="140">
        <f t="shared" ca="1" si="56"/>
        <v>4</v>
      </c>
      <c r="DS23" s="80" t="str">
        <f t="shared" ca="1" si="108"/>
        <v>Inferiore al 5 %</v>
      </c>
      <c r="DT23" s="140">
        <f t="shared" ca="1" si="57"/>
        <v>2</v>
      </c>
      <c r="DU23" s="4" t="str">
        <f t="shared" ca="1" si="109"/>
        <v>Sì, con copertura analisi rischi totale</v>
      </c>
      <c r="DV23" s="140">
        <f ca="1">LOOKUP(DU23,DU$1:DU$7,DV$1:DV$7)</f>
        <v>10</v>
      </c>
      <c r="DW23" s="4" t="str">
        <f t="shared" ca="1" si="110"/>
        <v>SI</v>
      </c>
      <c r="DX23" s="140">
        <f t="shared" ca="1" si="58"/>
        <v>10</v>
      </c>
      <c r="DY23" s="4" t="str">
        <f t="shared" ca="1" si="111"/>
        <v>SI</v>
      </c>
      <c r="DZ23" s="140">
        <f t="shared" ca="1" si="59"/>
        <v>4</v>
      </c>
      <c r="EA23" s="80" t="str">
        <f t="shared" ca="1" si="112"/>
        <v>Inferiore al 10 %</v>
      </c>
      <c r="EB23" s="140">
        <f t="shared" ca="1" si="60"/>
        <v>2</v>
      </c>
      <c r="EC23" s="4">
        <f t="shared" ca="1" si="61"/>
        <v>340</v>
      </c>
      <c r="EF23" s="1"/>
      <c r="EH23" s="1"/>
      <c r="EJ23" s="1"/>
      <c r="EL23" s="1"/>
      <c r="EN23" s="1"/>
      <c r="EP23" s="1"/>
    </row>
    <row r="24" spans="1:146">
      <c r="A24" s="363" t="str">
        <f t="shared" ca="1" si="0"/>
        <v xml:space="preserve">Presidenza del Consiglio dei ministri                     </v>
      </c>
      <c r="B24" s="50">
        <f ca="1">VLOOKUP( TRIM(A24), Classificazione!$A$5:$B$71, 2, FALSE)</f>
        <v>22</v>
      </c>
      <c r="C24" s="364">
        <f ca="1">VLOOKUP(TRIM(A24), Classificazione!$A$5:$L$71, 12, FALSE)</f>
        <v>2246</v>
      </c>
      <c r="D24" s="4" t="str">
        <f t="shared" ca="1" si="62"/>
        <v>Completamente centralizzato</v>
      </c>
      <c r="E24" s="140">
        <f t="shared" ca="1" si="113"/>
        <v>6</v>
      </c>
      <c r="F24" s="4" t="str">
        <f t="shared" ca="1" si="62"/>
        <v>SI</v>
      </c>
      <c r="G24" s="140">
        <f t="shared" ca="1" si="1"/>
        <v>10</v>
      </c>
      <c r="H24" s="4" t="str">
        <f t="shared" ca="1" si="62"/>
        <v>SI</v>
      </c>
      <c r="I24" s="140">
        <f t="shared" ca="1" si="63"/>
        <v>10</v>
      </c>
      <c r="J24" s="4" t="b">
        <f t="shared" ca="1" si="62"/>
        <v>0</v>
      </c>
      <c r="K24" s="140">
        <f t="shared" ca="1" si="64"/>
        <v>0</v>
      </c>
      <c r="L24" s="4" t="b">
        <f t="shared" ca="1" si="62"/>
        <v>1</v>
      </c>
      <c r="M24" s="140">
        <f t="shared" ca="1" si="2"/>
        <v>5</v>
      </c>
      <c r="N24" s="4" t="b">
        <f t="shared" ca="1" si="65"/>
        <v>0</v>
      </c>
      <c r="O24" s="140">
        <f t="shared" ca="1" si="3"/>
        <v>0</v>
      </c>
      <c r="P24" s="4" t="b">
        <f t="shared" ca="1" si="66"/>
        <v>0</v>
      </c>
      <c r="Q24" s="140">
        <f t="shared" ca="1" si="4"/>
        <v>0</v>
      </c>
      <c r="R24" s="4" t="str">
        <f t="shared" ca="1" si="67"/>
        <v>Token di autenticazione</v>
      </c>
      <c r="S24" s="140">
        <f t="shared" ca="1" si="5"/>
        <v>6</v>
      </c>
      <c r="T24" s="4" t="str">
        <f t="shared" ca="1" si="68"/>
        <v>--</v>
      </c>
      <c r="U24" s="140">
        <f t="shared" ca="1" si="6"/>
        <v>0</v>
      </c>
      <c r="V24" s="4" t="str">
        <f t="shared" ca="1" si="69"/>
        <v>--</v>
      </c>
      <c r="W24" s="140">
        <f t="shared" ca="1" si="7"/>
        <v>0</v>
      </c>
      <c r="X24" s="4" t="str">
        <f t="shared" ca="1" si="70"/>
        <v>--</v>
      </c>
      <c r="Y24" s="140">
        <f t="shared" ca="1" si="8"/>
        <v>0</v>
      </c>
      <c r="Z24" s="4" t="str">
        <f t="shared" ca="1" si="71"/>
        <v>Automaticamente</v>
      </c>
      <c r="AA24" s="140">
        <f t="shared" ca="1" si="9"/>
        <v>10</v>
      </c>
      <c r="AB24" s="4" t="str">
        <f t="shared" ca="1" si="72"/>
        <v>SI</v>
      </c>
      <c r="AC24" s="140">
        <f t="shared" ca="1" si="10"/>
        <v>10</v>
      </c>
      <c r="AD24" s="4" t="str">
        <f t="shared" ca="1" si="73"/>
        <v>Esistono postazioni mobili o supporti dati rimuovibili senza sistemi di prevenzione degli accessi</v>
      </c>
      <c r="AE24" s="140">
        <f t="shared" ca="1" si="11"/>
        <v>0</v>
      </c>
      <c r="AF24" s="4" t="str">
        <f t="shared" ca="1" si="74"/>
        <v>SI</v>
      </c>
      <c r="AG24" s="140">
        <f t="shared" ca="1" si="12"/>
        <v>6</v>
      </c>
      <c r="AH24" s="4" t="str">
        <f t="shared" ca="1" si="75"/>
        <v>SI</v>
      </c>
      <c r="AI24" s="140">
        <f t="shared" ca="1" si="13"/>
        <v>4</v>
      </c>
      <c r="AJ24" s="4" t="str">
        <f t="shared" ca="1" si="76"/>
        <v>SI</v>
      </c>
      <c r="AK24" s="140">
        <f t="shared" ca="1" si="14"/>
        <v>10</v>
      </c>
      <c r="AL24" s="203" t="str">
        <f t="shared" ca="1" si="15"/>
        <v>ok</v>
      </c>
      <c r="AM24" s="4" t="str">
        <f t="shared" ca="1" si="77"/>
        <v>SI</v>
      </c>
      <c r="AN24" s="140">
        <f t="shared" ca="1" si="16"/>
        <v>10</v>
      </c>
      <c r="AO24" s="4" t="str">
        <f t="shared" ca="1" si="77"/>
        <v>SI</v>
      </c>
      <c r="AP24" s="140">
        <f t="shared" ca="1" si="17"/>
        <v>10</v>
      </c>
      <c r="AQ24" s="4" t="str">
        <f t="shared" ca="1" si="77"/>
        <v>SI</v>
      </c>
      <c r="AR24" s="140">
        <f t="shared" ca="1" si="18"/>
        <v>10</v>
      </c>
      <c r="AS24" s="4" t="b">
        <f t="shared" ca="1" si="77"/>
        <v>1</v>
      </c>
      <c r="AT24" s="140">
        <f t="shared" ca="1" si="19"/>
        <v>5</v>
      </c>
      <c r="AU24" s="4" t="b">
        <f t="shared" ca="1" si="77"/>
        <v>1</v>
      </c>
      <c r="AV24" s="140">
        <f t="shared" ca="1" si="20"/>
        <v>5</v>
      </c>
      <c r="AW24" s="4" t="b">
        <f t="shared" ca="1" si="78"/>
        <v>0</v>
      </c>
      <c r="AX24" s="140">
        <f t="shared" ca="1" si="21"/>
        <v>0</v>
      </c>
      <c r="AY24" s="4" t="str">
        <f t="shared" ca="1" si="79"/>
        <v>--</v>
      </c>
      <c r="AZ24" s="140">
        <f t="shared" ca="1" si="22"/>
        <v>0</v>
      </c>
      <c r="BA24" s="4" t="str">
        <f t="shared" ca="1" si="80"/>
        <v>Nessuno</v>
      </c>
      <c r="BB24" s="140">
        <f t="shared" ca="1" si="23"/>
        <v>0</v>
      </c>
      <c r="BC24" s="4" t="str">
        <f t="shared" ca="1" si="81"/>
        <v>SI</v>
      </c>
      <c r="BD24" s="140">
        <f t="shared" ca="1" si="24"/>
        <v>0</v>
      </c>
      <c r="BE24" s="4" t="str">
        <f t="shared" ca="1" si="82"/>
        <v>Accesso remoto mediante  VPN</v>
      </c>
      <c r="BF24" s="140">
        <f t="shared" ca="1" si="25"/>
        <v>10</v>
      </c>
      <c r="BG24" s="4" t="str">
        <f t="shared" ca="1" si="83"/>
        <v>SI</v>
      </c>
      <c r="BH24" s="140">
        <f t="shared" ca="1" si="26"/>
        <v>6</v>
      </c>
      <c r="BI24" s="4" t="str">
        <f t="shared" ca="1" si="84"/>
        <v>SI</v>
      </c>
      <c r="BJ24" s="140">
        <f t="shared" ca="1" si="27"/>
        <v>4</v>
      </c>
      <c r="BK24" s="4" t="str">
        <f t="shared" ca="1" si="85"/>
        <v>SI</v>
      </c>
      <c r="BL24" s="140">
        <f t="shared" ca="1" si="28"/>
        <v>10</v>
      </c>
      <c r="BM24" s="4" t="str">
        <f t="shared" ca="1" si="86"/>
        <v>Sì, centralizzato</v>
      </c>
      <c r="BN24" s="140">
        <f t="shared" ca="1" si="29"/>
        <v>10</v>
      </c>
      <c r="BO24" s="203" t="str">
        <f t="shared" ca="1" si="87"/>
        <v>ok</v>
      </c>
      <c r="BP24" s="4" t="str">
        <f t="shared" ca="1" si="88"/>
        <v>NO</v>
      </c>
      <c r="BQ24" s="140">
        <f t="shared" ca="1" si="30"/>
        <v>0</v>
      </c>
      <c r="BR24" s="4" t="str">
        <f t="shared" ca="1" si="88"/>
        <v>--</v>
      </c>
      <c r="BS24" s="140">
        <f t="shared" ca="1" si="31"/>
        <v>0</v>
      </c>
      <c r="BT24" s="4" t="str">
        <f t="shared" ca="1" si="88"/>
        <v>--</v>
      </c>
      <c r="BU24" s="140">
        <f t="shared" ca="1" si="32"/>
        <v>0</v>
      </c>
      <c r="BV24" s="4" t="str">
        <f t="shared" ca="1" si="88"/>
        <v>--</v>
      </c>
      <c r="BW24" s="140">
        <f t="shared" ca="1" si="33"/>
        <v>0</v>
      </c>
      <c r="BX24" s="4" t="str">
        <f t="shared" ca="1" si="88"/>
        <v>SI</v>
      </c>
      <c r="BY24" s="140">
        <f t="shared" ca="1" si="34"/>
        <v>10</v>
      </c>
      <c r="BZ24" s="4" t="str">
        <f t="shared" ca="1" si="89"/>
        <v>SI</v>
      </c>
      <c r="CA24" s="140">
        <f t="shared" ca="1" si="35"/>
        <v>10</v>
      </c>
      <c r="CB24" s="4" t="str">
        <f t="shared" ca="1" si="90"/>
        <v>SI</v>
      </c>
      <c r="CC24" s="140">
        <f t="shared" ca="1" si="36"/>
        <v>10</v>
      </c>
      <c r="CD24" s="4" t="str">
        <f t="shared" ca="1" si="91"/>
        <v>SI</v>
      </c>
      <c r="CE24" s="140">
        <f t="shared" ca="1" si="37"/>
        <v>10</v>
      </c>
      <c r="CF24" s="4" t="str">
        <f t="shared" ca="1" si="92"/>
        <v>La procedura è ben documentata</v>
      </c>
      <c r="CG24" s="140">
        <f t="shared" ca="1" si="38"/>
        <v>0</v>
      </c>
      <c r="CH24" s="4" t="str">
        <f t="shared" ca="1" si="93"/>
        <v>Rilevate &lt; 10</v>
      </c>
      <c r="CI24" s="140">
        <f t="shared" ca="1" si="39"/>
        <v>2</v>
      </c>
      <c r="CJ24" s="4" t="b">
        <f t="shared" ca="1" si="94"/>
        <v>0</v>
      </c>
      <c r="CK24" s="140">
        <f t="shared" ca="1" si="40"/>
        <v>0</v>
      </c>
      <c r="CL24" s="4" t="b">
        <f t="shared" ca="1" si="95"/>
        <v>0</v>
      </c>
      <c r="CM24" s="140">
        <f t="shared" ca="1" si="41"/>
        <v>0</v>
      </c>
      <c r="CN24" s="4" t="b">
        <f t="shared" ca="1" si="96"/>
        <v>0</v>
      </c>
      <c r="CO24" s="140">
        <f t="shared" ca="1" si="42"/>
        <v>0</v>
      </c>
      <c r="CP24" s="4" t="b">
        <f t="shared" ca="1" si="97"/>
        <v>1</v>
      </c>
      <c r="CQ24" s="140">
        <f t="shared" ca="1" si="43"/>
        <v>1</v>
      </c>
      <c r="CR24" s="203" t="str">
        <f t="shared" ca="1" si="98"/>
        <v>ok</v>
      </c>
      <c r="CS24" s="4" t="str">
        <f t="shared" ca="1" si="99"/>
        <v>SI</v>
      </c>
      <c r="CT24" s="140">
        <f t="shared" ca="1" si="44"/>
        <v>10</v>
      </c>
      <c r="CU24" s="4" t="str">
        <f t="shared" ca="1" si="99"/>
        <v>SI</v>
      </c>
      <c r="CV24" s="140">
        <f t="shared" ca="1" si="45"/>
        <v>10</v>
      </c>
      <c r="CW24" s="4" t="str">
        <f t="shared" ca="1" si="99"/>
        <v>--</v>
      </c>
      <c r="CX24" s="140">
        <f t="shared" ca="1" si="46"/>
        <v>0</v>
      </c>
      <c r="CY24" s="4" t="str">
        <f t="shared" ca="1" si="99"/>
        <v>SI</v>
      </c>
      <c r="CZ24" s="140">
        <f t="shared" ca="1" si="47"/>
        <v>10</v>
      </c>
      <c r="DA24" s="4" t="str">
        <f t="shared" ca="1" si="99"/>
        <v>SI</v>
      </c>
      <c r="DB24" s="140">
        <f t="shared" ca="1" si="48"/>
        <v>10</v>
      </c>
      <c r="DC24" s="4" t="str">
        <f t="shared" ca="1" si="100"/>
        <v>--</v>
      </c>
      <c r="DD24" s="140">
        <f t="shared" ca="1" si="49"/>
        <v>0</v>
      </c>
      <c r="DE24" s="4" t="str">
        <f t="shared" ca="1" si="101"/>
        <v>SI</v>
      </c>
      <c r="DF24" s="140">
        <f t="shared" ca="1" si="50"/>
        <v>10</v>
      </c>
      <c r="DG24" s="4" t="str">
        <f t="shared" ca="1" si="102"/>
        <v>SI</v>
      </c>
      <c r="DH24" s="140">
        <f t="shared" ca="1" si="51"/>
        <v>6</v>
      </c>
      <c r="DI24" s="4" t="str">
        <f t="shared" ca="1" si="103"/>
        <v>Sì</v>
      </c>
      <c r="DJ24" s="140">
        <f t="shared" ca="1" si="52"/>
        <v>4</v>
      </c>
      <c r="DK24" s="4" t="str">
        <f t="shared" ca="1" si="104"/>
        <v>Solo personale interno</v>
      </c>
      <c r="DL24" s="140">
        <f t="shared" ca="1" si="53"/>
        <v>10</v>
      </c>
      <c r="DM24" s="4" t="str">
        <f t="shared" ca="1" si="105"/>
        <v>Non previsto audit</v>
      </c>
      <c r="DN24" s="140">
        <f t="shared" ca="1" si="54"/>
        <v>0</v>
      </c>
      <c r="DO24" s="4" t="str">
        <f t="shared" ca="1" si="106"/>
        <v>--</v>
      </c>
      <c r="DP24" s="140">
        <f t="shared" ca="1" si="55"/>
        <v>0</v>
      </c>
      <c r="DQ24" s="4" t="str">
        <f t="shared" ca="1" si="107"/>
        <v>NO</v>
      </c>
      <c r="DR24" s="140">
        <f t="shared" ca="1" si="56"/>
        <v>0</v>
      </c>
      <c r="DS24" s="80" t="str">
        <f t="shared" ca="1" si="108"/>
        <v>--</v>
      </c>
      <c r="DT24" s="140">
        <f t="shared" ca="1" si="57"/>
        <v>0</v>
      </c>
      <c r="DU24" s="4" t="str">
        <f t="shared" ca="1" si="109"/>
        <v>No</v>
      </c>
      <c r="DV24" s="140">
        <f ca="1">LOOKUP(DU24,DU$1:DU$7,DV$1:DV$7)</f>
        <v>0</v>
      </c>
      <c r="DW24" s="4" t="str">
        <f t="shared" ca="1" si="110"/>
        <v>NO</v>
      </c>
      <c r="DX24" s="140">
        <f t="shared" ca="1" si="58"/>
        <v>0</v>
      </c>
      <c r="DY24" s="4" t="str">
        <f t="shared" ca="1" si="111"/>
        <v>NO</v>
      </c>
      <c r="DZ24" s="140">
        <f t="shared" ca="1" si="59"/>
        <v>0</v>
      </c>
      <c r="EA24" s="80" t="str">
        <f t="shared" ca="1" si="112"/>
        <v>Inferiore al 10 %</v>
      </c>
      <c r="EB24" s="140">
        <f t="shared" ca="1" si="60"/>
        <v>2</v>
      </c>
      <c r="EC24" s="4">
        <f t="shared" ca="1" si="61"/>
        <v>272</v>
      </c>
      <c r="EF24" s="1"/>
      <c r="EH24" s="1"/>
      <c r="EJ24" s="1"/>
      <c r="EL24" s="1"/>
      <c r="EN24" s="1"/>
      <c r="EP24" s="1"/>
    </row>
    <row r="25" spans="1:146">
      <c r="A25" s="363" t="str">
        <f t="shared" ca="1" si="0"/>
        <v xml:space="preserve">Ministero degli affari esteri                                           </v>
      </c>
      <c r="B25" s="50">
        <f ca="1">VLOOKUP( TRIM(A25), Classificazione!$A$5:$B$71, 2, FALSE)</f>
        <v>8</v>
      </c>
      <c r="C25" s="364">
        <f ca="1">VLOOKUP(TRIM(A25), Classificazione!$A$5:$L$71, 12, FALSE)</f>
        <v>8678</v>
      </c>
      <c r="D25" s="4" t="str">
        <f t="shared" ca="1" si="62"/>
        <v>Completamente centralizzato</v>
      </c>
      <c r="E25" s="140">
        <f t="shared" ca="1" si="113"/>
        <v>6</v>
      </c>
      <c r="F25" s="4" t="str">
        <f t="shared" ca="1" si="62"/>
        <v>SI</v>
      </c>
      <c r="G25" s="140">
        <f t="shared" ca="1" si="1"/>
        <v>10</v>
      </c>
      <c r="H25" s="4" t="str">
        <f t="shared" ca="1" si="62"/>
        <v>SI</v>
      </c>
      <c r="I25" s="140">
        <f t="shared" ca="1" si="63"/>
        <v>10</v>
      </c>
      <c r="J25" s="4" t="b">
        <f t="shared" ca="1" si="62"/>
        <v>0</v>
      </c>
      <c r="K25" s="140">
        <f t="shared" ca="1" si="64"/>
        <v>0</v>
      </c>
      <c r="L25" s="4" t="b">
        <f t="shared" ca="1" si="62"/>
        <v>1</v>
      </c>
      <c r="M25" s="140">
        <f t="shared" ca="1" si="2"/>
        <v>5</v>
      </c>
      <c r="N25" s="4" t="b">
        <f t="shared" ca="1" si="65"/>
        <v>1</v>
      </c>
      <c r="O25" s="140">
        <f t="shared" ca="1" si="3"/>
        <v>3</v>
      </c>
      <c r="P25" s="4" t="b">
        <f t="shared" ca="1" si="66"/>
        <v>1</v>
      </c>
      <c r="Q25" s="140">
        <f t="shared" ca="1" si="4"/>
        <v>3</v>
      </c>
      <c r="R25" s="4" t="str">
        <f t="shared" ca="1" si="67"/>
        <v>UserId/Password</v>
      </c>
      <c r="S25" s="140">
        <f t="shared" ca="1" si="5"/>
        <v>2</v>
      </c>
      <c r="T25" s="4" t="str">
        <f t="shared" ca="1" si="68"/>
        <v>SI</v>
      </c>
      <c r="U25" s="140">
        <f t="shared" ca="1" si="6"/>
        <v>2</v>
      </c>
      <c r="V25" s="4" t="str">
        <f t="shared" ca="1" si="69"/>
        <v>SI</v>
      </c>
      <c r="W25" s="140">
        <f t="shared" ca="1" si="7"/>
        <v>2</v>
      </c>
      <c r="X25" s="4" t="str">
        <f t="shared" ca="1" si="70"/>
        <v>SI</v>
      </c>
      <c r="Y25" s="140">
        <f t="shared" ca="1" si="8"/>
        <v>4</v>
      </c>
      <c r="Z25" s="4" t="str">
        <f t="shared" ca="1" si="71"/>
        <v>Automaticamente</v>
      </c>
      <c r="AA25" s="140">
        <f t="shared" ca="1" si="9"/>
        <v>10</v>
      </c>
      <c r="AB25" s="4" t="str">
        <f t="shared" ca="1" si="72"/>
        <v>SI</v>
      </c>
      <c r="AC25" s="140">
        <f t="shared" ca="1" si="10"/>
        <v>10</v>
      </c>
      <c r="AD25" s="4" t="str">
        <f t="shared" ca="1" si="73"/>
        <v>Non esistono postazioni mobili o impiego di supporti dati rimuovibili</v>
      </c>
      <c r="AE25" s="140">
        <f t="shared" ca="1" si="11"/>
        <v>6</v>
      </c>
      <c r="AF25" s="4" t="str">
        <f t="shared" ca="1" si="74"/>
        <v>SI</v>
      </c>
      <c r="AG25" s="140">
        <f t="shared" ca="1" si="12"/>
        <v>6</v>
      </c>
      <c r="AH25" s="4" t="str">
        <f t="shared" ca="1" si="75"/>
        <v>SI</v>
      </c>
      <c r="AI25" s="140">
        <f t="shared" ca="1" si="13"/>
        <v>4</v>
      </c>
      <c r="AJ25" s="4" t="str">
        <f t="shared" ca="1" si="76"/>
        <v>SI</v>
      </c>
      <c r="AK25" s="140">
        <f t="shared" ca="1" si="14"/>
        <v>10</v>
      </c>
      <c r="AL25" s="203" t="str">
        <f t="shared" ca="1" si="15"/>
        <v>ok</v>
      </c>
      <c r="AM25" s="4" t="str">
        <f t="shared" ca="1" si="77"/>
        <v>SI</v>
      </c>
      <c r="AN25" s="140">
        <f t="shared" ca="1" si="16"/>
        <v>10</v>
      </c>
      <c r="AO25" s="4" t="str">
        <f t="shared" ca="1" si="77"/>
        <v>SI</v>
      </c>
      <c r="AP25" s="140">
        <f t="shared" ca="1" si="17"/>
        <v>10</v>
      </c>
      <c r="AQ25" s="4" t="str">
        <f t="shared" ca="1" si="77"/>
        <v>SI</v>
      </c>
      <c r="AR25" s="140">
        <f t="shared" ca="1" si="18"/>
        <v>10</v>
      </c>
      <c r="AS25" s="4" t="b">
        <f t="shared" ca="1" si="77"/>
        <v>1</v>
      </c>
      <c r="AT25" s="140">
        <f t="shared" ca="1" si="19"/>
        <v>5</v>
      </c>
      <c r="AU25" s="4" t="b">
        <f t="shared" ca="1" si="77"/>
        <v>1</v>
      </c>
      <c r="AV25" s="140">
        <f t="shared" ca="1" si="20"/>
        <v>5</v>
      </c>
      <c r="AW25" s="4" t="b">
        <f t="shared" ca="1" si="78"/>
        <v>0</v>
      </c>
      <c r="AX25" s="140">
        <f t="shared" ca="1" si="21"/>
        <v>0</v>
      </c>
      <c r="AY25" s="4" t="str">
        <f t="shared" ca="1" si="79"/>
        <v>SI</v>
      </c>
      <c r="AZ25" s="140">
        <f t="shared" ca="1" si="22"/>
        <v>0</v>
      </c>
      <c r="BA25" s="4" t="str">
        <f t="shared" ca="1" si="80"/>
        <v>Nessuno</v>
      </c>
      <c r="BB25" s="140">
        <f t="shared" ca="1" si="23"/>
        <v>0</v>
      </c>
      <c r="BC25" s="4" t="str">
        <f t="shared" ca="1" si="81"/>
        <v>NO</v>
      </c>
      <c r="BD25" s="140">
        <f t="shared" ca="1" si="24"/>
        <v>6</v>
      </c>
      <c r="BE25" s="4" t="str">
        <f t="shared" ca="1" si="82"/>
        <v>--</v>
      </c>
      <c r="BF25" s="140">
        <f t="shared" ca="1" si="25"/>
        <v>0</v>
      </c>
      <c r="BG25" s="4" t="str">
        <f t="shared" ca="1" si="83"/>
        <v>SI</v>
      </c>
      <c r="BH25" s="140">
        <f t="shared" ca="1" si="26"/>
        <v>6</v>
      </c>
      <c r="BI25" s="4" t="str">
        <f t="shared" ca="1" si="84"/>
        <v>SI</v>
      </c>
      <c r="BJ25" s="140">
        <f t="shared" ca="1" si="27"/>
        <v>4</v>
      </c>
      <c r="BK25" s="4" t="str">
        <f t="shared" ca="1" si="85"/>
        <v>SI</v>
      </c>
      <c r="BL25" s="140">
        <f t="shared" ca="1" si="28"/>
        <v>10</v>
      </c>
      <c r="BM25" s="4" t="str">
        <f t="shared" ca="1" si="86"/>
        <v>Sì, centralizzato</v>
      </c>
      <c r="BN25" s="140">
        <f t="shared" ca="1" si="29"/>
        <v>10</v>
      </c>
      <c r="BO25" s="203" t="str">
        <f t="shared" ca="1" si="87"/>
        <v>ok</v>
      </c>
      <c r="BP25" s="4" t="str">
        <f t="shared" ca="1" si="88"/>
        <v>NO</v>
      </c>
      <c r="BQ25" s="140">
        <f t="shared" ca="1" si="30"/>
        <v>0</v>
      </c>
      <c r="BR25" s="4" t="str">
        <f t="shared" ca="1" si="88"/>
        <v>No</v>
      </c>
      <c r="BS25" s="140">
        <f t="shared" ca="1" si="31"/>
        <v>0</v>
      </c>
      <c r="BT25" s="4" t="str">
        <f t="shared" ca="1" si="88"/>
        <v>No</v>
      </c>
      <c r="BU25" s="140">
        <f t="shared" ca="1" si="32"/>
        <v>0</v>
      </c>
      <c r="BV25" s="4" t="str">
        <f t="shared" ca="1" si="88"/>
        <v>NO</v>
      </c>
      <c r="BW25" s="140">
        <f t="shared" ca="1" si="33"/>
        <v>0</v>
      </c>
      <c r="BX25" s="4" t="str">
        <f t="shared" ca="1" si="88"/>
        <v>SI</v>
      </c>
      <c r="BY25" s="140">
        <f t="shared" ca="1" si="34"/>
        <v>10</v>
      </c>
      <c r="BZ25" s="4" t="str">
        <f t="shared" ca="1" si="89"/>
        <v>SI</v>
      </c>
      <c r="CA25" s="140">
        <f t="shared" ca="1" si="35"/>
        <v>10</v>
      </c>
      <c r="CB25" s="4" t="str">
        <f t="shared" ca="1" si="90"/>
        <v>SI</v>
      </c>
      <c r="CC25" s="140">
        <f t="shared" ca="1" si="36"/>
        <v>10</v>
      </c>
      <c r="CD25" s="4" t="str">
        <f t="shared" ca="1" si="91"/>
        <v>SI</v>
      </c>
      <c r="CE25" s="140">
        <f t="shared" ca="1" si="37"/>
        <v>10</v>
      </c>
      <c r="CF25" s="4" t="str">
        <f t="shared" ca="1" si="92"/>
        <v>La procedura è ben documentata</v>
      </c>
      <c r="CG25" s="140">
        <f t="shared" ca="1" si="38"/>
        <v>0</v>
      </c>
      <c r="CH25" s="4" t="str">
        <f t="shared" ca="1" si="93"/>
        <v>Rilevate &lt; 10</v>
      </c>
      <c r="CI25" s="140">
        <f t="shared" ca="1" si="39"/>
        <v>2</v>
      </c>
      <c r="CJ25" s="4" t="b">
        <f t="shared" ca="1" si="94"/>
        <v>0</v>
      </c>
      <c r="CK25" s="140">
        <f t="shared" ca="1" si="40"/>
        <v>0</v>
      </c>
      <c r="CL25" s="4" t="b">
        <f t="shared" ca="1" si="95"/>
        <v>0</v>
      </c>
      <c r="CM25" s="140">
        <f t="shared" ca="1" si="41"/>
        <v>0</v>
      </c>
      <c r="CN25" s="4" t="b">
        <f t="shared" ca="1" si="96"/>
        <v>0</v>
      </c>
      <c r="CO25" s="140">
        <f t="shared" ca="1" si="42"/>
        <v>0</v>
      </c>
      <c r="CP25" s="4" t="b">
        <f t="shared" ca="1" si="97"/>
        <v>1</v>
      </c>
      <c r="CQ25" s="140">
        <f t="shared" ca="1" si="43"/>
        <v>1</v>
      </c>
      <c r="CR25" s="203" t="str">
        <f t="shared" ca="1" si="98"/>
        <v>ok</v>
      </c>
      <c r="CS25" s="4" t="str">
        <f t="shared" ca="1" si="99"/>
        <v>NO</v>
      </c>
      <c r="CT25" s="140">
        <f t="shared" ca="1" si="44"/>
        <v>0</v>
      </c>
      <c r="CU25" s="4" t="str">
        <f t="shared" ca="1" si="99"/>
        <v>NO</v>
      </c>
      <c r="CV25" s="140">
        <f t="shared" ca="1" si="45"/>
        <v>0</v>
      </c>
      <c r="CW25" s="4" t="str">
        <f t="shared" ca="1" si="99"/>
        <v>No</v>
      </c>
      <c r="CX25" s="140">
        <f t="shared" ca="1" si="46"/>
        <v>0</v>
      </c>
      <c r="CY25" s="4" t="str">
        <f t="shared" ca="1" si="99"/>
        <v>SI</v>
      </c>
      <c r="CZ25" s="140">
        <f t="shared" ca="1" si="47"/>
        <v>10</v>
      </c>
      <c r="DA25" s="4" t="str">
        <f t="shared" ca="1" si="99"/>
        <v>NO</v>
      </c>
      <c r="DB25" s="140">
        <f t="shared" ca="1" si="48"/>
        <v>0</v>
      </c>
      <c r="DC25" s="4" t="str">
        <f t="shared" ca="1" si="100"/>
        <v>NO</v>
      </c>
      <c r="DD25" s="140">
        <f t="shared" ca="1" si="49"/>
        <v>0</v>
      </c>
      <c r="DE25" s="4" t="str">
        <f t="shared" ca="1" si="101"/>
        <v>SI</v>
      </c>
      <c r="DF25" s="140">
        <f t="shared" ca="1" si="50"/>
        <v>10</v>
      </c>
      <c r="DG25" s="4" t="str">
        <f t="shared" ca="1" si="102"/>
        <v>NO</v>
      </c>
      <c r="DH25" s="140">
        <f t="shared" ca="1" si="51"/>
        <v>0</v>
      </c>
      <c r="DI25" s="4" t="str">
        <f t="shared" ca="1" si="103"/>
        <v>Sì</v>
      </c>
      <c r="DJ25" s="140">
        <f t="shared" ca="1" si="52"/>
        <v>4</v>
      </c>
      <c r="DK25" s="4" t="str">
        <f t="shared" ca="1" si="104"/>
        <v>Solo personale interno</v>
      </c>
      <c r="DL25" s="140">
        <f t="shared" ca="1" si="53"/>
        <v>10</v>
      </c>
      <c r="DM25" s="4" t="str">
        <f t="shared" ca="1" si="105"/>
        <v>Non previsto audit</v>
      </c>
      <c r="DN25" s="140">
        <f t="shared" ca="1" si="54"/>
        <v>0</v>
      </c>
      <c r="DO25" s="4" t="str">
        <f t="shared" ca="1" si="106"/>
        <v>--</v>
      </c>
      <c r="DP25" s="140">
        <f t="shared" ca="1" si="55"/>
        <v>0</v>
      </c>
      <c r="DQ25" s="4" t="str">
        <f t="shared" ca="1" si="107"/>
        <v>SI</v>
      </c>
      <c r="DR25" s="140">
        <f t="shared" ca="1" si="56"/>
        <v>4</v>
      </c>
      <c r="DS25" s="80" t="str">
        <f t="shared" ca="1" si="108"/>
        <v>Inferiore al 5 %</v>
      </c>
      <c r="DT25" s="140">
        <f t="shared" ca="1" si="57"/>
        <v>2</v>
      </c>
      <c r="DU25" s="4" t="str">
        <f t="shared" ca="1" si="109"/>
        <v>Sì, con copertura analisi rischi parziale</v>
      </c>
      <c r="DV25" s="140">
        <f ca="1">LOOKUP(DU25,DU$1:DU$7,DV$1:DV$7)</f>
        <v>8</v>
      </c>
      <c r="DW25" s="4" t="str">
        <f t="shared" ca="1" si="110"/>
        <v>SI</v>
      </c>
      <c r="DX25" s="140">
        <f t="shared" ca="1" si="58"/>
        <v>10</v>
      </c>
      <c r="DY25" s="4" t="str">
        <f t="shared" ca="1" si="111"/>
        <v>NO</v>
      </c>
      <c r="DZ25" s="140">
        <f t="shared" ca="1" si="59"/>
        <v>0</v>
      </c>
      <c r="EA25" s="80" t="str">
        <f t="shared" ca="1" si="112"/>
        <v>Inferiore al 10 %</v>
      </c>
      <c r="EB25" s="140">
        <f t="shared" ca="1" si="60"/>
        <v>2</v>
      </c>
      <c r="EC25" s="4">
        <f t="shared" ca="1" si="61"/>
        <v>272</v>
      </c>
      <c r="EF25" s="1"/>
      <c r="EH25" s="1"/>
      <c r="EJ25" s="1"/>
      <c r="EL25" s="1"/>
      <c r="EN25" s="1"/>
      <c r="EP25" s="1"/>
    </row>
    <row r="26" spans="1:146">
      <c r="A26" s="363" t="str">
        <f t="shared" ca="1" si="0"/>
        <v>Ministero dell'ambiente e della tutela del territorio e del mare</v>
      </c>
      <c r="B26" s="50">
        <f ca="1">VLOOKUP( TRIM(A26), Classificazione!$A$5:$B$71, 2, FALSE)</f>
        <v>102</v>
      </c>
      <c r="C26" s="364">
        <f ca="1">VLOOKUP(TRIM(A26), Classificazione!$A$5:$L$71, 12, FALSE)</f>
        <v>708</v>
      </c>
      <c r="D26" s="4" t="str">
        <f t="shared" ca="1" si="62"/>
        <v>Completamente centralizzato</v>
      </c>
      <c r="E26" s="140">
        <f t="shared" ca="1" si="113"/>
        <v>6</v>
      </c>
      <c r="F26" s="4" t="str">
        <f t="shared" ca="1" si="62"/>
        <v>SI</v>
      </c>
      <c r="G26" s="140">
        <f t="shared" ca="1" si="1"/>
        <v>10</v>
      </c>
      <c r="H26" s="4" t="str">
        <f t="shared" ca="1" si="62"/>
        <v>SI</v>
      </c>
      <c r="I26" s="140">
        <f t="shared" ca="1" si="63"/>
        <v>10</v>
      </c>
      <c r="J26" s="4" t="b">
        <f t="shared" ca="1" si="62"/>
        <v>0</v>
      </c>
      <c r="K26" s="140">
        <f t="shared" ca="1" si="64"/>
        <v>0</v>
      </c>
      <c r="L26" s="4" t="b">
        <f t="shared" ca="1" si="62"/>
        <v>1</v>
      </c>
      <c r="M26" s="140">
        <f t="shared" ca="1" si="2"/>
        <v>5</v>
      </c>
      <c r="N26" s="4" t="b">
        <f t="shared" ca="1" si="65"/>
        <v>0</v>
      </c>
      <c r="O26" s="140">
        <f t="shared" ca="1" si="3"/>
        <v>0</v>
      </c>
      <c r="P26" s="4" t="b">
        <f t="shared" ca="1" si="66"/>
        <v>0</v>
      </c>
      <c r="Q26" s="140">
        <f t="shared" ca="1" si="4"/>
        <v>0</v>
      </c>
      <c r="R26" s="4" t="str">
        <f t="shared" ca="1" si="67"/>
        <v>UserId/Password</v>
      </c>
      <c r="S26" s="140">
        <f t="shared" ca="1" si="5"/>
        <v>2</v>
      </c>
      <c r="T26" s="4" t="str">
        <f t="shared" ca="1" si="68"/>
        <v>SI</v>
      </c>
      <c r="U26" s="140">
        <f t="shared" ca="1" si="6"/>
        <v>2</v>
      </c>
      <c r="V26" s="4" t="str">
        <f t="shared" ca="1" si="69"/>
        <v>SI</v>
      </c>
      <c r="W26" s="140">
        <f t="shared" ca="1" si="7"/>
        <v>2</v>
      </c>
      <c r="X26" s="4" t="str">
        <f t="shared" ca="1" si="70"/>
        <v>SI</v>
      </c>
      <c r="Y26" s="140">
        <f t="shared" ca="1" si="8"/>
        <v>4</v>
      </c>
      <c r="Z26" s="4" t="str">
        <f t="shared" ca="1" si="71"/>
        <v>Automaticamente</v>
      </c>
      <c r="AA26" s="140">
        <f t="shared" ca="1" si="9"/>
        <v>10</v>
      </c>
      <c r="AB26" s="4" t="str">
        <f t="shared" ca="1" si="72"/>
        <v>SI</v>
      </c>
      <c r="AC26" s="140">
        <f t="shared" ca="1" si="10"/>
        <v>10</v>
      </c>
      <c r="AD26" s="4" t="str">
        <f t="shared" ca="1" si="73"/>
        <v>Esistono postazioni mobili o supporti dati rimuovibili senza sistemi di prevenzione degli accessi</v>
      </c>
      <c r="AE26" s="140">
        <f t="shared" ca="1" si="11"/>
        <v>0</v>
      </c>
      <c r="AF26" s="4" t="str">
        <f t="shared" ca="1" si="74"/>
        <v>SI</v>
      </c>
      <c r="AG26" s="140">
        <f t="shared" ca="1" si="12"/>
        <v>6</v>
      </c>
      <c r="AH26" s="4" t="str">
        <f t="shared" ca="1" si="75"/>
        <v>NO</v>
      </c>
      <c r="AI26" s="140">
        <f t="shared" ca="1" si="13"/>
        <v>0</v>
      </c>
      <c r="AJ26" s="4" t="str">
        <f t="shared" ca="1" si="76"/>
        <v>NO</v>
      </c>
      <c r="AK26" s="140">
        <f t="shared" ca="1" si="14"/>
        <v>0</v>
      </c>
      <c r="AL26" s="203" t="str">
        <f t="shared" ca="1" si="15"/>
        <v>ok</v>
      </c>
      <c r="AM26" s="4" t="str">
        <f t="shared" ca="1" si="77"/>
        <v>SI</v>
      </c>
      <c r="AN26" s="140">
        <f t="shared" ca="1" si="16"/>
        <v>10</v>
      </c>
      <c r="AO26" s="4" t="str">
        <f t="shared" ca="1" si="77"/>
        <v>NO</v>
      </c>
      <c r="AP26" s="140">
        <f t="shared" ca="1" si="17"/>
        <v>0</v>
      </c>
      <c r="AQ26" s="4" t="str">
        <f t="shared" ca="1" si="77"/>
        <v>--</v>
      </c>
      <c r="AR26" s="140">
        <f t="shared" ca="1" si="18"/>
        <v>0</v>
      </c>
      <c r="AS26" s="4" t="b">
        <f t="shared" ca="1" si="77"/>
        <v>1</v>
      </c>
      <c r="AT26" s="140">
        <f t="shared" ca="1" si="19"/>
        <v>5</v>
      </c>
      <c r="AU26" s="4" t="b">
        <f t="shared" ca="1" si="77"/>
        <v>1</v>
      </c>
      <c r="AV26" s="140">
        <f t="shared" ca="1" si="20"/>
        <v>5</v>
      </c>
      <c r="AW26" s="4" t="b">
        <f t="shared" ca="1" si="78"/>
        <v>0</v>
      </c>
      <c r="AX26" s="140">
        <f t="shared" ca="1" si="21"/>
        <v>0</v>
      </c>
      <c r="AY26" s="4" t="str">
        <f t="shared" ca="1" si="79"/>
        <v>NO</v>
      </c>
      <c r="AZ26" s="140">
        <f t="shared" ca="1" si="22"/>
        <v>6</v>
      </c>
      <c r="BA26" s="4" t="str">
        <f t="shared" ca="1" si="80"/>
        <v>Nessuno</v>
      </c>
      <c r="BB26" s="140">
        <f t="shared" ca="1" si="23"/>
        <v>0</v>
      </c>
      <c r="BC26" s="4" t="str">
        <f t="shared" ca="1" si="81"/>
        <v>SI</v>
      </c>
      <c r="BD26" s="140">
        <f t="shared" ca="1" si="24"/>
        <v>0</v>
      </c>
      <c r="BE26" s="4" t="str">
        <f t="shared" ca="1" si="82"/>
        <v>Accesso remoto mediante  VPN</v>
      </c>
      <c r="BF26" s="140">
        <f t="shared" ca="1" si="25"/>
        <v>10</v>
      </c>
      <c r="BG26" s="4" t="str">
        <f t="shared" ca="1" si="83"/>
        <v>SI</v>
      </c>
      <c r="BH26" s="140">
        <f t="shared" ca="1" si="26"/>
        <v>6</v>
      </c>
      <c r="BI26" s="4" t="str">
        <f t="shared" ca="1" si="84"/>
        <v>SI</v>
      </c>
      <c r="BJ26" s="140">
        <f t="shared" ca="1" si="27"/>
        <v>4</v>
      </c>
      <c r="BK26" s="4" t="str">
        <f t="shared" ca="1" si="85"/>
        <v>SI</v>
      </c>
      <c r="BL26" s="140">
        <f t="shared" ca="1" si="28"/>
        <v>10</v>
      </c>
      <c r="BM26" s="4" t="str">
        <f t="shared" ca="1" si="86"/>
        <v>Sì, centralizzato</v>
      </c>
      <c r="BN26" s="140">
        <f t="shared" ca="1" si="29"/>
        <v>10</v>
      </c>
      <c r="BO26" s="203" t="str">
        <f t="shared" ca="1" si="87"/>
        <v>ok</v>
      </c>
      <c r="BP26" s="4" t="str">
        <f t="shared" ca="1" si="88"/>
        <v>NO</v>
      </c>
      <c r="BQ26" s="140">
        <f t="shared" ca="1" si="30"/>
        <v>0</v>
      </c>
      <c r="BR26" s="4" t="str">
        <f t="shared" ca="1" si="88"/>
        <v>No</v>
      </c>
      <c r="BS26" s="140">
        <f t="shared" ca="1" si="31"/>
        <v>0</v>
      </c>
      <c r="BT26" s="4" t="str">
        <f t="shared" ca="1" si="88"/>
        <v>No</v>
      </c>
      <c r="BU26" s="140">
        <f t="shared" ca="1" si="32"/>
        <v>0</v>
      </c>
      <c r="BV26" s="4" t="str">
        <f t="shared" ca="1" si="88"/>
        <v>SI</v>
      </c>
      <c r="BW26" s="140">
        <f t="shared" ca="1" si="33"/>
        <v>10</v>
      </c>
      <c r="BX26" s="4" t="str">
        <f t="shared" ca="1" si="88"/>
        <v>SI</v>
      </c>
      <c r="BY26" s="140">
        <f t="shared" ca="1" si="34"/>
        <v>10</v>
      </c>
      <c r="BZ26" s="4" t="str">
        <f t="shared" ca="1" si="89"/>
        <v>SI</v>
      </c>
      <c r="CA26" s="140">
        <f t="shared" ca="1" si="35"/>
        <v>10</v>
      </c>
      <c r="CB26" s="4" t="str">
        <f t="shared" ca="1" si="90"/>
        <v>SI</v>
      </c>
      <c r="CC26" s="140">
        <f t="shared" ca="1" si="36"/>
        <v>10</v>
      </c>
      <c r="CD26" s="4" t="str">
        <f t="shared" ca="1" si="91"/>
        <v>SI</v>
      </c>
      <c r="CE26" s="140">
        <f t="shared" ca="1" si="37"/>
        <v>10</v>
      </c>
      <c r="CF26" s="4" t="str">
        <f t="shared" ca="1" si="92"/>
        <v>NO</v>
      </c>
      <c r="CG26" s="140">
        <f t="shared" ca="1" si="38"/>
        <v>10</v>
      </c>
      <c r="CH26" s="4" t="str">
        <f t="shared" ca="1" si="93"/>
        <v>Rilevate &lt; 10</v>
      </c>
      <c r="CI26" s="140">
        <f t="shared" ca="1" si="39"/>
        <v>2</v>
      </c>
      <c r="CJ26" s="4" t="b">
        <f t="shared" ca="1" si="94"/>
        <v>0</v>
      </c>
      <c r="CK26" s="140">
        <f t="shared" ca="1" si="40"/>
        <v>0</v>
      </c>
      <c r="CL26" s="4" t="b">
        <f t="shared" ca="1" si="95"/>
        <v>0</v>
      </c>
      <c r="CM26" s="140">
        <f t="shared" ca="1" si="41"/>
        <v>0</v>
      </c>
      <c r="CN26" s="4" t="b">
        <f t="shared" ca="1" si="96"/>
        <v>0</v>
      </c>
      <c r="CO26" s="140">
        <f t="shared" ca="1" si="42"/>
        <v>0</v>
      </c>
      <c r="CP26" s="4" t="b">
        <f t="shared" ca="1" si="97"/>
        <v>0</v>
      </c>
      <c r="CQ26" s="140">
        <f t="shared" ca="1" si="43"/>
        <v>0</v>
      </c>
      <c r="CR26" s="203" t="str">
        <f t="shared" ca="1" si="98"/>
        <v>ok</v>
      </c>
      <c r="CS26" s="4" t="str">
        <f t="shared" ca="1" si="99"/>
        <v>NO</v>
      </c>
      <c r="CT26" s="140">
        <f t="shared" ca="1" si="44"/>
        <v>0</v>
      </c>
      <c r="CU26" s="4" t="str">
        <f t="shared" ca="1" si="99"/>
        <v>SI</v>
      </c>
      <c r="CV26" s="140">
        <f t="shared" ca="1" si="45"/>
        <v>10</v>
      </c>
      <c r="CW26" s="4" t="str">
        <f t="shared" ca="1" si="99"/>
        <v>No</v>
      </c>
      <c r="CX26" s="140">
        <f t="shared" ca="1" si="46"/>
        <v>0</v>
      </c>
      <c r="CY26" s="4" t="str">
        <f t="shared" ca="1" si="99"/>
        <v>NO</v>
      </c>
      <c r="CZ26" s="140">
        <f t="shared" ca="1" si="47"/>
        <v>0</v>
      </c>
      <c r="DA26" s="4" t="str">
        <f t="shared" ca="1" si="99"/>
        <v>SI</v>
      </c>
      <c r="DB26" s="140">
        <f t="shared" ca="1" si="48"/>
        <v>10</v>
      </c>
      <c r="DC26" s="4" t="str">
        <f t="shared" ca="1" si="100"/>
        <v>SI</v>
      </c>
      <c r="DD26" s="140">
        <f t="shared" ca="1" si="49"/>
        <v>10</v>
      </c>
      <c r="DE26" s="4" t="str">
        <f t="shared" ca="1" si="101"/>
        <v>SI</v>
      </c>
      <c r="DF26" s="140">
        <f t="shared" ca="1" si="50"/>
        <v>10</v>
      </c>
      <c r="DG26" s="4" t="str">
        <f t="shared" ca="1" si="102"/>
        <v>SI</v>
      </c>
      <c r="DH26" s="140">
        <f t="shared" ca="1" si="51"/>
        <v>6</v>
      </c>
      <c r="DI26" s="4" t="str">
        <f t="shared" ca="1" si="103"/>
        <v>No</v>
      </c>
      <c r="DJ26" s="140">
        <f t="shared" ca="1" si="52"/>
        <v>0</v>
      </c>
      <c r="DK26" s="4" t="str">
        <f t="shared" ca="1" si="104"/>
        <v>Personale misto</v>
      </c>
      <c r="DL26" s="140">
        <f t="shared" ca="1" si="53"/>
        <v>6</v>
      </c>
      <c r="DM26" s="4" t="str">
        <f t="shared" ca="1" si="105"/>
        <v>Non previsto audit</v>
      </c>
      <c r="DN26" s="140">
        <f t="shared" ca="1" si="54"/>
        <v>0</v>
      </c>
      <c r="DO26" s="4" t="str">
        <f t="shared" ca="1" si="106"/>
        <v>--</v>
      </c>
      <c r="DP26" s="140">
        <f t="shared" ca="1" si="55"/>
        <v>0</v>
      </c>
      <c r="DQ26" s="4" t="str">
        <f t="shared" ca="1" si="107"/>
        <v>NO</v>
      </c>
      <c r="DR26" s="140">
        <f t="shared" ca="1" si="56"/>
        <v>0</v>
      </c>
      <c r="DS26" s="80" t="str">
        <f t="shared" ca="1" si="108"/>
        <v>--</v>
      </c>
      <c r="DT26" s="140">
        <f t="shared" ca="1" si="57"/>
        <v>0</v>
      </c>
      <c r="DU26" s="4" t="str">
        <f t="shared" ca="1" si="109"/>
        <v>No</v>
      </c>
      <c r="DV26" s="140">
        <f t="shared" ref="DV26:DV66" ca="1" si="114">LOOKUP(DU26,DU$1:DU$7,DV$1:DV$7)</f>
        <v>0</v>
      </c>
      <c r="DW26" s="4" t="str">
        <f t="shared" ca="1" si="110"/>
        <v>SI</v>
      </c>
      <c r="DX26" s="140">
        <f t="shared" ca="1" si="58"/>
        <v>10</v>
      </c>
      <c r="DY26" s="4" t="str">
        <f t="shared" ca="1" si="111"/>
        <v>SI</v>
      </c>
      <c r="DZ26" s="140">
        <f t="shared" ca="1" si="59"/>
        <v>4</v>
      </c>
      <c r="EA26" s="80" t="str">
        <f t="shared" ca="1" si="112"/>
        <v>Compresa tra il 30 % e il 50 %</v>
      </c>
      <c r="EB26" s="140">
        <f t="shared" ca="1" si="60"/>
        <v>6</v>
      </c>
      <c r="EC26" s="4">
        <f t="shared" ca="1" si="61"/>
        <v>267</v>
      </c>
      <c r="EF26" s="1"/>
      <c r="EH26" s="1"/>
      <c r="EJ26" s="1"/>
      <c r="EL26" s="1"/>
      <c r="EN26" s="1"/>
      <c r="EP26" s="1"/>
    </row>
    <row r="27" spans="1:146">
      <c r="A27" s="363" t="str">
        <f t="shared" ca="1" si="0"/>
        <v>Ministero dello sviluppo economico</v>
      </c>
      <c r="B27" s="50">
        <f ca="1">VLOOKUP( TRIM(A27), Classificazione!$A$5:$B$71, 2, FALSE)</f>
        <v>103</v>
      </c>
      <c r="C27" s="364">
        <f ca="1">VLOOKUP(TRIM(A27), Classificazione!$A$5:$L$71, 12, FALSE)</f>
        <v>3314</v>
      </c>
      <c r="D27" s="4" t="str">
        <f t="shared" ca="1" si="62"/>
        <v>Completamente centralizzato</v>
      </c>
      <c r="E27" s="140">
        <f t="shared" ca="1" si="113"/>
        <v>6</v>
      </c>
      <c r="F27" s="4" t="str">
        <f t="shared" ca="1" si="62"/>
        <v>SI</v>
      </c>
      <c r="G27" s="140">
        <f t="shared" ca="1" si="1"/>
        <v>10</v>
      </c>
      <c r="H27" s="4" t="str">
        <f t="shared" ca="1" si="62"/>
        <v>SI</v>
      </c>
      <c r="I27" s="140">
        <f t="shared" ca="1" si="63"/>
        <v>10</v>
      </c>
      <c r="J27" s="4" t="b">
        <f t="shared" ca="1" si="62"/>
        <v>1</v>
      </c>
      <c r="K27" s="140">
        <f t="shared" ca="1" si="64"/>
        <v>5</v>
      </c>
      <c r="L27" s="4" t="b">
        <f t="shared" ca="1" si="62"/>
        <v>1</v>
      </c>
      <c r="M27" s="140">
        <f t="shared" ca="1" si="2"/>
        <v>5</v>
      </c>
      <c r="N27" s="4" t="b">
        <f t="shared" ca="1" si="65"/>
        <v>1</v>
      </c>
      <c r="O27" s="140">
        <f t="shared" ca="1" si="3"/>
        <v>3</v>
      </c>
      <c r="P27" s="4" t="b">
        <f t="shared" ca="1" si="66"/>
        <v>0</v>
      </c>
      <c r="Q27" s="140">
        <f t="shared" ca="1" si="4"/>
        <v>0</v>
      </c>
      <c r="R27" s="4" t="str">
        <f t="shared" ca="1" si="67"/>
        <v>UserId/Password</v>
      </c>
      <c r="S27" s="140">
        <f t="shared" ca="1" si="5"/>
        <v>2</v>
      </c>
      <c r="T27" s="4" t="str">
        <f t="shared" ca="1" si="68"/>
        <v>SI</v>
      </c>
      <c r="U27" s="140">
        <f t="shared" ca="1" si="6"/>
        <v>2</v>
      </c>
      <c r="V27" s="4" t="str">
        <f t="shared" ca="1" si="69"/>
        <v>NO</v>
      </c>
      <c r="W27" s="140">
        <f t="shared" ca="1" si="7"/>
        <v>0</v>
      </c>
      <c r="X27" s="4" t="str">
        <f t="shared" ca="1" si="70"/>
        <v>NO</v>
      </c>
      <c r="Y27" s="140">
        <f t="shared" ca="1" si="8"/>
        <v>0</v>
      </c>
      <c r="Z27" s="4" t="str">
        <f t="shared" ca="1" si="71"/>
        <v>Automaticamente</v>
      </c>
      <c r="AA27" s="140">
        <f t="shared" ca="1" si="9"/>
        <v>10</v>
      </c>
      <c r="AB27" s="4" t="str">
        <f t="shared" ca="1" si="72"/>
        <v>SI</v>
      </c>
      <c r="AC27" s="140">
        <f t="shared" ca="1" si="10"/>
        <v>10</v>
      </c>
      <c r="AD27" s="4" t="str">
        <f t="shared" ca="1" si="73"/>
        <v>Esistono postazioni mobili o supporti dati rimuovibili senza sistemi di prevenzione degli accessi</v>
      </c>
      <c r="AE27" s="140">
        <f t="shared" ca="1" si="11"/>
        <v>0</v>
      </c>
      <c r="AF27" s="4" t="str">
        <f t="shared" ca="1" si="74"/>
        <v>SI</v>
      </c>
      <c r="AG27" s="140">
        <f t="shared" ca="1" si="12"/>
        <v>6</v>
      </c>
      <c r="AH27" s="4" t="str">
        <f t="shared" ca="1" si="75"/>
        <v>SI</v>
      </c>
      <c r="AI27" s="140">
        <f t="shared" ca="1" si="13"/>
        <v>4</v>
      </c>
      <c r="AJ27" s="4" t="str">
        <f t="shared" ca="1" si="76"/>
        <v>SI</v>
      </c>
      <c r="AK27" s="140">
        <f t="shared" ca="1" si="14"/>
        <v>10</v>
      </c>
      <c r="AL27" s="203" t="str">
        <f t="shared" ca="1" si="15"/>
        <v>ok</v>
      </c>
      <c r="AM27" s="4" t="str">
        <f t="shared" ca="1" si="77"/>
        <v>SI</v>
      </c>
      <c r="AN27" s="140">
        <f t="shared" ca="1" si="16"/>
        <v>10</v>
      </c>
      <c r="AO27" s="4" t="str">
        <f t="shared" ca="1" si="77"/>
        <v>SI</v>
      </c>
      <c r="AP27" s="140">
        <f t="shared" ca="1" si="17"/>
        <v>10</v>
      </c>
      <c r="AQ27" s="4" t="str">
        <f t="shared" ca="1" si="77"/>
        <v>--</v>
      </c>
      <c r="AR27" s="140">
        <f t="shared" ca="1" si="18"/>
        <v>0</v>
      </c>
      <c r="AS27" s="4" t="b">
        <f t="shared" ca="1" si="77"/>
        <v>1</v>
      </c>
      <c r="AT27" s="140">
        <f t="shared" ca="1" si="19"/>
        <v>5</v>
      </c>
      <c r="AU27" s="4" t="b">
        <f t="shared" ca="1" si="77"/>
        <v>1</v>
      </c>
      <c r="AV27" s="140">
        <f t="shared" ca="1" si="20"/>
        <v>5</v>
      </c>
      <c r="AW27" s="4" t="b">
        <f t="shared" ca="1" si="78"/>
        <v>0</v>
      </c>
      <c r="AX27" s="140">
        <f t="shared" ca="1" si="21"/>
        <v>0</v>
      </c>
      <c r="AY27" s="4" t="str">
        <f t="shared" ca="1" si="79"/>
        <v>--</v>
      </c>
      <c r="AZ27" s="140">
        <f t="shared" ca="1" si="22"/>
        <v>0</v>
      </c>
      <c r="BA27" s="4" t="str">
        <f t="shared" ca="1" si="80"/>
        <v>Nessuno</v>
      </c>
      <c r="BB27" s="140">
        <f t="shared" ca="1" si="23"/>
        <v>0</v>
      </c>
      <c r="BC27" s="4" t="str">
        <f t="shared" ca="1" si="81"/>
        <v>SI</v>
      </c>
      <c r="BD27" s="140">
        <f t="shared" ca="1" si="24"/>
        <v>0</v>
      </c>
      <c r="BE27" s="4" t="str">
        <f t="shared" ca="1" si="82"/>
        <v>Accesso remoto mediante  VPN</v>
      </c>
      <c r="BF27" s="140">
        <f t="shared" ca="1" si="25"/>
        <v>10</v>
      </c>
      <c r="BG27" s="4" t="str">
        <f t="shared" ca="1" si="83"/>
        <v>SI</v>
      </c>
      <c r="BH27" s="140">
        <f t="shared" ca="1" si="26"/>
        <v>6</v>
      </c>
      <c r="BI27" s="4" t="str">
        <f t="shared" ca="1" si="84"/>
        <v>SI</v>
      </c>
      <c r="BJ27" s="140">
        <f t="shared" ca="1" si="27"/>
        <v>4</v>
      </c>
      <c r="BK27" s="4" t="str">
        <f t="shared" ca="1" si="85"/>
        <v>SI</v>
      </c>
      <c r="BL27" s="140">
        <f t="shared" ca="1" si="28"/>
        <v>10</v>
      </c>
      <c r="BM27" s="4" t="str">
        <f t="shared" ca="1" si="86"/>
        <v>Sì, centralizzato</v>
      </c>
      <c r="BN27" s="140">
        <f t="shared" ca="1" si="29"/>
        <v>10</v>
      </c>
      <c r="BO27" s="203" t="str">
        <f t="shared" ca="1" si="87"/>
        <v>ok</v>
      </c>
      <c r="BP27" s="4" t="str">
        <f t="shared" ca="1" si="88"/>
        <v>NO</v>
      </c>
      <c r="BQ27" s="140">
        <f t="shared" ca="1" si="30"/>
        <v>0</v>
      </c>
      <c r="BR27" s="4" t="str">
        <f t="shared" ca="1" si="88"/>
        <v>Sì, senza specificazione della copertura</v>
      </c>
      <c r="BS27" s="140">
        <f t="shared" ca="1" si="31"/>
        <v>10</v>
      </c>
      <c r="BT27" s="4" t="str">
        <f t="shared" ca="1" si="88"/>
        <v>No</v>
      </c>
      <c r="BU27" s="140">
        <f t="shared" ca="1" si="32"/>
        <v>0</v>
      </c>
      <c r="BV27" s="4" t="str">
        <f t="shared" ca="1" si="88"/>
        <v>NO</v>
      </c>
      <c r="BW27" s="140">
        <f t="shared" ca="1" si="33"/>
        <v>0</v>
      </c>
      <c r="BX27" s="4" t="str">
        <f t="shared" ca="1" si="88"/>
        <v>SI</v>
      </c>
      <c r="BY27" s="140">
        <f t="shared" ca="1" si="34"/>
        <v>10</v>
      </c>
      <c r="BZ27" s="4" t="str">
        <f t="shared" ca="1" si="89"/>
        <v>SI</v>
      </c>
      <c r="CA27" s="140">
        <f t="shared" ca="1" si="35"/>
        <v>10</v>
      </c>
      <c r="CB27" s="4" t="str">
        <f t="shared" ca="1" si="90"/>
        <v>SI</v>
      </c>
      <c r="CC27" s="140">
        <f t="shared" ca="1" si="36"/>
        <v>10</v>
      </c>
      <c r="CD27" s="4" t="str">
        <f t="shared" ca="1" si="91"/>
        <v>SI</v>
      </c>
      <c r="CE27" s="140">
        <f t="shared" ca="1" si="37"/>
        <v>10</v>
      </c>
      <c r="CF27" s="4" t="str">
        <f t="shared" ca="1" si="92"/>
        <v>La procedura è ben documentata</v>
      </c>
      <c r="CG27" s="140">
        <f t="shared" ca="1" si="38"/>
        <v>0</v>
      </c>
      <c r="CH27" s="4" t="str">
        <f t="shared" ca="1" si="93"/>
        <v>Rilevate &lt; 10</v>
      </c>
      <c r="CI27" s="140">
        <f t="shared" ca="1" si="39"/>
        <v>2</v>
      </c>
      <c r="CJ27" s="4" t="b">
        <f t="shared" ca="1" si="94"/>
        <v>0</v>
      </c>
      <c r="CK27" s="140">
        <f t="shared" ca="1" si="40"/>
        <v>0</v>
      </c>
      <c r="CL27" s="4" t="b">
        <f t="shared" ca="1" si="95"/>
        <v>0</v>
      </c>
      <c r="CM27" s="140">
        <f t="shared" ca="1" si="41"/>
        <v>0</v>
      </c>
      <c r="CN27" s="4" t="b">
        <f t="shared" ca="1" si="96"/>
        <v>0</v>
      </c>
      <c r="CO27" s="140">
        <f t="shared" ca="1" si="42"/>
        <v>0</v>
      </c>
      <c r="CP27" s="4" t="b">
        <f t="shared" ca="1" si="97"/>
        <v>1</v>
      </c>
      <c r="CQ27" s="140">
        <f t="shared" ca="1" si="43"/>
        <v>1</v>
      </c>
      <c r="CR27" s="203" t="str">
        <f t="shared" ca="1" si="98"/>
        <v>ok</v>
      </c>
      <c r="CS27" s="4" t="str">
        <f t="shared" ca="1" si="99"/>
        <v>NO</v>
      </c>
      <c r="CT27" s="140">
        <f t="shared" ca="1" si="44"/>
        <v>0</v>
      </c>
      <c r="CU27" s="4" t="str">
        <f t="shared" ca="1" si="99"/>
        <v>NO</v>
      </c>
      <c r="CV27" s="140">
        <f t="shared" ca="1" si="45"/>
        <v>0</v>
      </c>
      <c r="CW27" s="4" t="str">
        <f t="shared" ca="1" si="99"/>
        <v>No</v>
      </c>
      <c r="CX27" s="140">
        <f t="shared" ca="1" si="46"/>
        <v>0</v>
      </c>
      <c r="CY27" s="4" t="str">
        <f t="shared" ca="1" si="99"/>
        <v>SI</v>
      </c>
      <c r="CZ27" s="140">
        <f t="shared" ca="1" si="47"/>
        <v>10</v>
      </c>
      <c r="DA27" s="4" t="str">
        <f t="shared" ca="1" si="99"/>
        <v>SI</v>
      </c>
      <c r="DB27" s="140">
        <f t="shared" ca="1" si="48"/>
        <v>10</v>
      </c>
      <c r="DC27" s="4" t="str">
        <f t="shared" ca="1" si="100"/>
        <v>NO</v>
      </c>
      <c r="DD27" s="140">
        <f t="shared" ca="1" si="49"/>
        <v>0</v>
      </c>
      <c r="DE27" s="4" t="str">
        <f t="shared" ca="1" si="101"/>
        <v>SI</v>
      </c>
      <c r="DF27" s="140">
        <f t="shared" ca="1" si="50"/>
        <v>10</v>
      </c>
      <c r="DG27" s="4" t="str">
        <f t="shared" ca="1" si="102"/>
        <v>NO</v>
      </c>
      <c r="DH27" s="140">
        <f t="shared" ca="1" si="51"/>
        <v>0</v>
      </c>
      <c r="DI27" s="4" t="str">
        <f t="shared" ca="1" si="103"/>
        <v>Sì</v>
      </c>
      <c r="DJ27" s="140">
        <f t="shared" ca="1" si="52"/>
        <v>4</v>
      </c>
      <c r="DK27" s="4" t="str">
        <f t="shared" ca="1" si="104"/>
        <v>Solo personale interno</v>
      </c>
      <c r="DL27" s="140">
        <f t="shared" ca="1" si="53"/>
        <v>10</v>
      </c>
      <c r="DM27" s="4" t="str">
        <f t="shared" ca="1" si="105"/>
        <v>Non previsto audit</v>
      </c>
      <c r="DN27" s="140">
        <f t="shared" ca="1" si="54"/>
        <v>0</v>
      </c>
      <c r="DO27" s="4" t="str">
        <f t="shared" ca="1" si="106"/>
        <v>--</v>
      </c>
      <c r="DP27" s="140">
        <f t="shared" ca="1" si="55"/>
        <v>0</v>
      </c>
      <c r="DQ27" s="4" t="str">
        <f t="shared" ca="1" si="107"/>
        <v>NO</v>
      </c>
      <c r="DR27" s="140">
        <f t="shared" ca="1" si="56"/>
        <v>0</v>
      </c>
      <c r="DS27" s="80" t="str">
        <f t="shared" ca="1" si="108"/>
        <v>--</v>
      </c>
      <c r="DT27" s="140">
        <f t="shared" ca="1" si="57"/>
        <v>0</v>
      </c>
      <c r="DU27" s="4" t="str">
        <f t="shared" ca="1" si="109"/>
        <v>No</v>
      </c>
      <c r="DV27" s="140">
        <f t="shared" ca="1" si="114"/>
        <v>0</v>
      </c>
      <c r="DW27" s="4" t="str">
        <f t="shared" ca="1" si="110"/>
        <v>SI</v>
      </c>
      <c r="DX27" s="140">
        <f t="shared" ca="1" si="58"/>
        <v>10</v>
      </c>
      <c r="DY27" s="4" t="str">
        <f t="shared" ca="1" si="111"/>
        <v>NO</v>
      </c>
      <c r="DZ27" s="140">
        <f t="shared" ca="1" si="59"/>
        <v>0</v>
      </c>
      <c r="EA27" s="80" t="str">
        <f t="shared" ca="1" si="112"/>
        <v>Inferiore al 10 %</v>
      </c>
      <c r="EB27" s="140">
        <f t="shared" ca="1" si="60"/>
        <v>2</v>
      </c>
      <c r="EC27" s="4">
        <f t="shared" ca="1" si="61"/>
        <v>262</v>
      </c>
      <c r="EF27" s="1"/>
      <c r="EH27" s="1"/>
      <c r="EJ27" s="1"/>
      <c r="EL27" s="1"/>
      <c r="EN27" s="1"/>
      <c r="EP27" s="1"/>
    </row>
    <row r="28" spans="1:146">
      <c r="A28" s="363" t="str">
        <f t="shared" ca="1" si="0"/>
        <v xml:space="preserve">Ministero per i beni e le attività culturali                                                     </v>
      </c>
      <c r="B28" s="50">
        <f ca="1">VLOOKUP( TRIM(A28), Classificazione!$A$5:$B$71, 2, FALSE)</f>
        <v>3</v>
      </c>
      <c r="C28" s="364">
        <f ca="1">VLOOKUP(TRIM(A28), Classificazione!$A$5:$L$71, 12, FALSE)</f>
        <v>26652</v>
      </c>
      <c r="D28" s="4" t="str">
        <f t="shared" ca="1" si="62"/>
        <v>--</v>
      </c>
      <c r="E28" s="140">
        <f t="shared" ca="1" si="113"/>
        <v>0</v>
      </c>
      <c r="F28" s="4" t="str">
        <f t="shared" ca="1" si="62"/>
        <v>--</v>
      </c>
      <c r="G28" s="140">
        <f t="shared" ref="G28:G66" ca="1" si="115">LOOKUP(F28,F$1:F$7,G$1:G$7)</f>
        <v>0</v>
      </c>
      <c r="H28" s="4" t="str">
        <f t="shared" ca="1" si="62"/>
        <v>--</v>
      </c>
      <c r="I28" s="140">
        <f t="shared" ca="1" si="63"/>
        <v>0</v>
      </c>
      <c r="J28" s="4" t="b">
        <f t="shared" ca="1" si="62"/>
        <v>0</v>
      </c>
      <c r="K28" s="140">
        <f t="shared" ca="1" si="64"/>
        <v>0</v>
      </c>
      <c r="L28" s="4" t="b">
        <f t="shared" ca="1" si="62"/>
        <v>0</v>
      </c>
      <c r="M28" s="140">
        <f t="shared" ca="1" si="2"/>
        <v>0</v>
      </c>
      <c r="N28" s="4" t="b">
        <f t="shared" ca="1" si="65"/>
        <v>0</v>
      </c>
      <c r="O28" s="140">
        <f t="shared" ca="1" si="3"/>
        <v>0</v>
      </c>
      <c r="P28" s="4" t="b">
        <f t="shared" ca="1" si="66"/>
        <v>0</v>
      </c>
      <c r="Q28" s="140">
        <f t="shared" ca="1" si="4"/>
        <v>0</v>
      </c>
      <c r="R28" s="4" t="str">
        <f t="shared" ca="1" si="67"/>
        <v>--</v>
      </c>
      <c r="S28" s="140">
        <f t="shared" ca="1" si="5"/>
        <v>0</v>
      </c>
      <c r="T28" s="4" t="str">
        <f t="shared" ca="1" si="68"/>
        <v>--</v>
      </c>
      <c r="U28" s="140">
        <f t="shared" ca="1" si="6"/>
        <v>0</v>
      </c>
      <c r="V28" s="4" t="str">
        <f t="shared" ca="1" si="69"/>
        <v>--</v>
      </c>
      <c r="W28" s="140">
        <f t="shared" ca="1" si="7"/>
        <v>0</v>
      </c>
      <c r="X28" s="4" t="str">
        <f t="shared" ca="1" si="70"/>
        <v>--</v>
      </c>
      <c r="Y28" s="140">
        <f t="shared" ca="1" si="8"/>
        <v>0</v>
      </c>
      <c r="Z28" s="4" t="str">
        <f t="shared" ca="1" si="71"/>
        <v>--</v>
      </c>
      <c r="AA28" s="140">
        <f t="shared" ca="1" si="9"/>
        <v>0</v>
      </c>
      <c r="AB28" s="4" t="str">
        <f t="shared" ca="1" si="72"/>
        <v>--</v>
      </c>
      <c r="AC28" s="140">
        <f t="shared" ca="1" si="10"/>
        <v>0</v>
      </c>
      <c r="AD28" s="4" t="str">
        <f t="shared" ca="1" si="73"/>
        <v>N.R.</v>
      </c>
      <c r="AE28" s="140">
        <f t="shared" ca="1" si="11"/>
        <v>0</v>
      </c>
      <c r="AF28" s="4" t="str">
        <f t="shared" ca="1" si="74"/>
        <v>--</v>
      </c>
      <c r="AG28" s="140">
        <f t="shared" ca="1" si="12"/>
        <v>0</v>
      </c>
      <c r="AH28" s="4" t="str">
        <f t="shared" ca="1" si="75"/>
        <v>--</v>
      </c>
      <c r="AI28" s="140">
        <f t="shared" ca="1" si="13"/>
        <v>0</v>
      </c>
      <c r="AJ28" s="4" t="str">
        <f t="shared" ca="1" si="76"/>
        <v>--</v>
      </c>
      <c r="AK28" s="140">
        <f t="shared" ca="1" si="14"/>
        <v>0</v>
      </c>
      <c r="AL28" s="203" t="str">
        <f t="shared" ca="1" si="15"/>
        <v>ok</v>
      </c>
      <c r="AM28" s="4" t="str">
        <f t="shared" ca="1" si="77"/>
        <v>--</v>
      </c>
      <c r="AN28" s="140">
        <f t="shared" ca="1" si="16"/>
        <v>0</v>
      </c>
      <c r="AO28" s="4" t="str">
        <f t="shared" ca="1" si="77"/>
        <v>--</v>
      </c>
      <c r="AP28" s="140">
        <f t="shared" ca="1" si="17"/>
        <v>0</v>
      </c>
      <c r="AQ28" s="4" t="str">
        <f t="shared" ca="1" si="77"/>
        <v>--</v>
      </c>
      <c r="AR28" s="140">
        <f t="shared" ca="1" si="18"/>
        <v>0</v>
      </c>
      <c r="AS28" s="4" t="b">
        <f t="shared" ca="1" si="77"/>
        <v>0</v>
      </c>
      <c r="AT28" s="140">
        <f t="shared" ca="1" si="19"/>
        <v>0</v>
      </c>
      <c r="AU28" s="4" t="b">
        <f t="shared" ca="1" si="77"/>
        <v>0</v>
      </c>
      <c r="AV28" s="140">
        <f t="shared" ca="1" si="20"/>
        <v>0</v>
      </c>
      <c r="AW28" s="4" t="b">
        <f t="shared" ca="1" si="78"/>
        <v>0</v>
      </c>
      <c r="AX28" s="140">
        <f t="shared" ca="1" si="21"/>
        <v>0</v>
      </c>
      <c r="AY28" s="4" t="str">
        <f t="shared" ca="1" si="79"/>
        <v>--</v>
      </c>
      <c r="AZ28" s="140">
        <f t="shared" ca="1" si="22"/>
        <v>0</v>
      </c>
      <c r="BA28" s="4" t="str">
        <f t="shared" ca="1" si="80"/>
        <v>Nessuno</v>
      </c>
      <c r="BB28" s="140">
        <f t="shared" ca="1" si="23"/>
        <v>0</v>
      </c>
      <c r="BC28" s="4" t="str">
        <f t="shared" ca="1" si="81"/>
        <v>--</v>
      </c>
      <c r="BD28" s="140">
        <f t="shared" ca="1" si="24"/>
        <v>0</v>
      </c>
      <c r="BE28" s="4" t="str">
        <f t="shared" ca="1" si="82"/>
        <v>--</v>
      </c>
      <c r="BF28" s="140">
        <f t="shared" ca="1" si="25"/>
        <v>0</v>
      </c>
      <c r="BG28" s="4" t="str">
        <f t="shared" ca="1" si="83"/>
        <v>--</v>
      </c>
      <c r="BH28" s="140">
        <f t="shared" ca="1" si="26"/>
        <v>0</v>
      </c>
      <c r="BI28" s="4" t="str">
        <f t="shared" ca="1" si="84"/>
        <v>--</v>
      </c>
      <c r="BJ28" s="140">
        <f t="shared" ca="1" si="27"/>
        <v>0</v>
      </c>
      <c r="BK28" s="4" t="str">
        <f t="shared" ca="1" si="85"/>
        <v>--</v>
      </c>
      <c r="BL28" s="140">
        <f t="shared" ca="1" si="28"/>
        <v>0</v>
      </c>
      <c r="BM28" s="4" t="str">
        <f t="shared" ca="1" si="86"/>
        <v>Sì, centralizzato</v>
      </c>
      <c r="BN28" s="140">
        <f t="shared" ca="1" si="29"/>
        <v>10</v>
      </c>
      <c r="BO28" s="203" t="str">
        <f t="shared" ca="1" si="87"/>
        <v>ok</v>
      </c>
      <c r="BP28" s="4" t="str">
        <f t="shared" ca="1" si="88"/>
        <v>--</v>
      </c>
      <c r="BQ28" s="140">
        <f t="shared" ca="1" si="30"/>
        <v>0</v>
      </c>
      <c r="BR28" s="4" t="str">
        <f t="shared" ca="1" si="88"/>
        <v>--</v>
      </c>
      <c r="BS28" s="140">
        <f t="shared" ca="1" si="31"/>
        <v>0</v>
      </c>
      <c r="BT28" s="4" t="str">
        <f t="shared" ca="1" si="88"/>
        <v>--</v>
      </c>
      <c r="BU28" s="140">
        <f t="shared" ca="1" si="32"/>
        <v>0</v>
      </c>
      <c r="BV28" s="4" t="str">
        <f t="shared" ca="1" si="88"/>
        <v>--</v>
      </c>
      <c r="BW28" s="140">
        <f t="shared" ca="1" si="33"/>
        <v>0</v>
      </c>
      <c r="BX28" s="4" t="str">
        <f t="shared" ca="1" si="88"/>
        <v>--</v>
      </c>
      <c r="BY28" s="140">
        <f t="shared" ca="1" si="34"/>
        <v>0</v>
      </c>
      <c r="BZ28" s="4" t="str">
        <f t="shared" ca="1" si="89"/>
        <v>--</v>
      </c>
      <c r="CA28" s="140">
        <f t="shared" ca="1" si="35"/>
        <v>0</v>
      </c>
      <c r="CB28" s="4" t="str">
        <f t="shared" ca="1" si="90"/>
        <v>--</v>
      </c>
      <c r="CC28" s="140">
        <f t="shared" ca="1" si="36"/>
        <v>0</v>
      </c>
      <c r="CD28" s="4" t="str">
        <f t="shared" ca="1" si="91"/>
        <v>--</v>
      </c>
      <c r="CE28" s="140">
        <f t="shared" ca="1" si="37"/>
        <v>0</v>
      </c>
      <c r="CF28" s="4" t="str">
        <f t="shared" ca="1" si="92"/>
        <v>--</v>
      </c>
      <c r="CG28" s="140">
        <f t="shared" ca="1" si="38"/>
        <v>0</v>
      </c>
      <c r="CH28" s="4" t="str">
        <f t="shared" ca="1" si="93"/>
        <v>Rilevate &lt; 10</v>
      </c>
      <c r="CI28" s="140">
        <f t="shared" ca="1" si="39"/>
        <v>2</v>
      </c>
      <c r="CJ28" s="4" t="b">
        <f t="shared" ca="1" si="94"/>
        <v>0</v>
      </c>
      <c r="CK28" s="140">
        <f t="shared" ca="1" si="40"/>
        <v>0</v>
      </c>
      <c r="CL28" s="4" t="b">
        <f t="shared" ca="1" si="95"/>
        <v>0</v>
      </c>
      <c r="CM28" s="140">
        <f t="shared" ca="1" si="41"/>
        <v>0</v>
      </c>
      <c r="CN28" s="4" t="b">
        <f t="shared" ca="1" si="96"/>
        <v>0</v>
      </c>
      <c r="CO28" s="140">
        <f t="shared" ca="1" si="42"/>
        <v>0</v>
      </c>
      <c r="CP28" s="4" t="b">
        <f t="shared" ca="1" si="97"/>
        <v>0</v>
      </c>
      <c r="CQ28" s="140">
        <f t="shared" ca="1" si="43"/>
        <v>0</v>
      </c>
      <c r="CR28" s="203" t="str">
        <f t="shared" ca="1" si="98"/>
        <v>ok</v>
      </c>
      <c r="CS28" s="4" t="str">
        <f t="shared" ca="1" si="99"/>
        <v>--</v>
      </c>
      <c r="CT28" s="140">
        <f t="shared" ca="1" si="44"/>
        <v>0</v>
      </c>
      <c r="CU28" s="4" t="str">
        <f t="shared" ca="1" si="99"/>
        <v>--</v>
      </c>
      <c r="CV28" s="140">
        <f t="shared" ca="1" si="45"/>
        <v>0</v>
      </c>
      <c r="CW28" s="4" t="str">
        <f t="shared" ca="1" si="99"/>
        <v>--</v>
      </c>
      <c r="CX28" s="140">
        <f t="shared" ca="1" si="46"/>
        <v>0</v>
      </c>
      <c r="CY28" s="4" t="str">
        <f t="shared" ca="1" si="99"/>
        <v>--</v>
      </c>
      <c r="CZ28" s="140">
        <f t="shared" ca="1" si="47"/>
        <v>0</v>
      </c>
      <c r="DA28" s="4" t="str">
        <f t="shared" ca="1" si="99"/>
        <v>--</v>
      </c>
      <c r="DB28" s="140">
        <f t="shared" ca="1" si="48"/>
        <v>0</v>
      </c>
      <c r="DC28" s="4" t="str">
        <f t="shared" ca="1" si="100"/>
        <v>--</v>
      </c>
      <c r="DD28" s="140">
        <f t="shared" ca="1" si="49"/>
        <v>0</v>
      </c>
      <c r="DE28" s="4" t="str">
        <f t="shared" ca="1" si="101"/>
        <v>--</v>
      </c>
      <c r="DF28" s="140">
        <f t="shared" ca="1" si="50"/>
        <v>0</v>
      </c>
      <c r="DG28" s="4" t="str">
        <f t="shared" ca="1" si="102"/>
        <v>--</v>
      </c>
      <c r="DH28" s="140">
        <f t="shared" ca="1" si="51"/>
        <v>0</v>
      </c>
      <c r="DI28" s="4" t="str">
        <f t="shared" ca="1" si="103"/>
        <v>--</v>
      </c>
      <c r="DJ28" s="140">
        <f t="shared" ca="1" si="52"/>
        <v>0</v>
      </c>
      <c r="DK28" s="4" t="str">
        <f t="shared" ca="1" si="104"/>
        <v>--</v>
      </c>
      <c r="DL28" s="140">
        <f t="shared" ca="1" si="53"/>
        <v>0</v>
      </c>
      <c r="DM28" s="4" t="str">
        <f t="shared" ca="1" si="105"/>
        <v>Non previsto audit</v>
      </c>
      <c r="DN28" s="140">
        <f t="shared" ca="1" si="54"/>
        <v>0</v>
      </c>
      <c r="DO28" s="4" t="str">
        <f t="shared" ca="1" si="106"/>
        <v>--</v>
      </c>
      <c r="DP28" s="140">
        <f t="shared" ca="1" si="55"/>
        <v>0</v>
      </c>
      <c r="DQ28" s="4" t="str">
        <f t="shared" ca="1" si="107"/>
        <v>--</v>
      </c>
      <c r="DR28" s="140">
        <f t="shared" ca="1" si="56"/>
        <v>0</v>
      </c>
      <c r="DS28" s="80" t="str">
        <f t="shared" ca="1" si="108"/>
        <v>--</v>
      </c>
      <c r="DT28" s="140">
        <f t="shared" ca="1" si="57"/>
        <v>0</v>
      </c>
      <c r="DU28" s="4" t="str">
        <f t="shared" ca="1" si="109"/>
        <v>--</v>
      </c>
      <c r="DV28" s="140">
        <f t="shared" ca="1" si="114"/>
        <v>0</v>
      </c>
      <c r="DW28" s="4" t="str">
        <f t="shared" ca="1" si="110"/>
        <v>--</v>
      </c>
      <c r="DX28" s="140">
        <f t="shared" ca="1" si="58"/>
        <v>0</v>
      </c>
      <c r="DY28" s="4" t="str">
        <f t="shared" ca="1" si="111"/>
        <v>--</v>
      </c>
      <c r="DZ28" s="140">
        <f t="shared" ca="1" si="59"/>
        <v>0</v>
      </c>
      <c r="EA28" s="80" t="str">
        <f t="shared" ca="1" si="112"/>
        <v>Inferiore al 10 %</v>
      </c>
      <c r="EB28" s="140">
        <f t="shared" ca="1" si="60"/>
        <v>2</v>
      </c>
      <c r="EC28" s="4">
        <f t="shared" ca="1" si="61"/>
        <v>14</v>
      </c>
      <c r="EF28" s="1"/>
      <c r="EH28" s="1"/>
      <c r="EJ28" s="1"/>
      <c r="EL28" s="1"/>
      <c r="EN28" s="1"/>
      <c r="EP28" s="1"/>
    </row>
    <row r="29" spans="1:146">
      <c r="A29" s="363" t="str">
        <f t="shared" ca="1" si="0"/>
        <v>Ministero della difesa</v>
      </c>
      <c r="B29" s="50">
        <f ca="1">VLOOKUP( TRIM(A29), Classificazione!$A$5:$B$71, 2, FALSE)</f>
        <v>7</v>
      </c>
      <c r="C29" s="364">
        <f ca="1">VLOOKUP(TRIM(A29), Classificazione!$A$5:$L$71, 12, FALSE)</f>
        <v>221631</v>
      </c>
      <c r="D29" s="4" t="str">
        <f t="shared" ca="1" si="62"/>
        <v>Parzialmente centralizzato</v>
      </c>
      <c r="E29" s="140">
        <f t="shared" ca="1" si="113"/>
        <v>8</v>
      </c>
      <c r="F29" s="4" t="str">
        <f t="shared" ca="1" si="62"/>
        <v>SI</v>
      </c>
      <c r="G29" s="140">
        <f t="shared" ca="1" si="115"/>
        <v>10</v>
      </c>
      <c r="H29" s="4" t="str">
        <f t="shared" ca="1" si="62"/>
        <v>--</v>
      </c>
      <c r="I29" s="140">
        <f t="shared" ca="1" si="63"/>
        <v>0</v>
      </c>
      <c r="J29" s="4" t="b">
        <f t="shared" ca="1" si="62"/>
        <v>0</v>
      </c>
      <c r="K29" s="140">
        <f t="shared" ca="1" si="64"/>
        <v>0</v>
      </c>
      <c r="L29" s="4" t="b">
        <f t="shared" ca="1" si="62"/>
        <v>0</v>
      </c>
      <c r="M29" s="140">
        <f t="shared" ca="1" si="2"/>
        <v>0</v>
      </c>
      <c r="N29" s="4" t="b">
        <f t="shared" ca="1" si="65"/>
        <v>0</v>
      </c>
      <c r="O29" s="140">
        <f t="shared" ca="1" si="3"/>
        <v>0</v>
      </c>
      <c r="P29" s="4" t="b">
        <f t="shared" ca="1" si="66"/>
        <v>0</v>
      </c>
      <c r="Q29" s="140">
        <f t="shared" ca="1" si="4"/>
        <v>0</v>
      </c>
      <c r="R29" s="4" t="str">
        <f t="shared" ca="1" si="67"/>
        <v>UserId/Password</v>
      </c>
      <c r="S29" s="140">
        <f t="shared" ca="1" si="5"/>
        <v>2</v>
      </c>
      <c r="T29" s="4" t="str">
        <f t="shared" ca="1" si="68"/>
        <v>SI</v>
      </c>
      <c r="U29" s="140">
        <f t="shared" ca="1" si="6"/>
        <v>2</v>
      </c>
      <c r="V29" s="4" t="str">
        <f t="shared" ca="1" si="69"/>
        <v>SI</v>
      </c>
      <c r="W29" s="140">
        <f t="shared" ca="1" si="7"/>
        <v>2</v>
      </c>
      <c r="X29" s="4" t="str">
        <f t="shared" ca="1" si="70"/>
        <v>SI</v>
      </c>
      <c r="Y29" s="140">
        <f t="shared" ca="1" si="8"/>
        <v>4</v>
      </c>
      <c r="Z29" s="4" t="str">
        <f t="shared" ca="1" si="71"/>
        <v>Automaticamente</v>
      </c>
      <c r="AA29" s="140">
        <f t="shared" ca="1" si="9"/>
        <v>10</v>
      </c>
      <c r="AB29" s="4" t="str">
        <f t="shared" ca="1" si="72"/>
        <v>SI</v>
      </c>
      <c r="AC29" s="140">
        <f t="shared" ca="1" si="10"/>
        <v>10</v>
      </c>
      <c r="AD29" s="4" t="str">
        <f t="shared" ca="1" si="73"/>
        <v>Esistono postazioni mobili o supporti dati rimuovibili con sistemi di prevenzione degli accessi</v>
      </c>
      <c r="AE29" s="140">
        <f t="shared" ca="1" si="11"/>
        <v>10</v>
      </c>
      <c r="AF29" s="4" t="str">
        <f t="shared" ca="1" si="74"/>
        <v>SI</v>
      </c>
      <c r="AG29" s="140">
        <f t="shared" ca="1" si="12"/>
        <v>6</v>
      </c>
      <c r="AH29" s="4" t="str">
        <f t="shared" ca="1" si="75"/>
        <v>SI</v>
      </c>
      <c r="AI29" s="140">
        <f t="shared" ca="1" si="13"/>
        <v>4</v>
      </c>
      <c r="AJ29" s="4" t="str">
        <f t="shared" ca="1" si="76"/>
        <v>SI</v>
      </c>
      <c r="AK29" s="140">
        <f t="shared" ca="1" si="14"/>
        <v>10</v>
      </c>
      <c r="AL29" s="203" t="str">
        <f t="shared" ca="1" si="15"/>
        <v>ok</v>
      </c>
      <c r="AM29" s="4" t="str">
        <f t="shared" ca="1" si="77"/>
        <v>SI</v>
      </c>
      <c r="AN29" s="140">
        <f t="shared" ca="1" si="16"/>
        <v>10</v>
      </c>
      <c r="AO29" s="4" t="str">
        <f t="shared" ca="1" si="77"/>
        <v>SI</v>
      </c>
      <c r="AP29" s="140">
        <f t="shared" ca="1" si="17"/>
        <v>10</v>
      </c>
      <c r="AQ29" s="4" t="str">
        <f t="shared" ca="1" si="77"/>
        <v>SI</v>
      </c>
      <c r="AR29" s="140">
        <f t="shared" ca="1" si="18"/>
        <v>10</v>
      </c>
      <c r="AS29" s="4" t="b">
        <f t="shared" ca="1" si="77"/>
        <v>1</v>
      </c>
      <c r="AT29" s="140">
        <f t="shared" ca="1" si="19"/>
        <v>5</v>
      </c>
      <c r="AU29" s="4" t="b">
        <f t="shared" ca="1" si="77"/>
        <v>0</v>
      </c>
      <c r="AV29" s="140">
        <f t="shared" ca="1" si="20"/>
        <v>0</v>
      </c>
      <c r="AW29" s="4" t="b">
        <f t="shared" ca="1" si="78"/>
        <v>0</v>
      </c>
      <c r="AX29" s="140">
        <f t="shared" ca="1" si="21"/>
        <v>0</v>
      </c>
      <c r="AY29" s="4" t="str">
        <f t="shared" ca="1" si="79"/>
        <v>NO</v>
      </c>
      <c r="AZ29" s="140">
        <f t="shared" ca="1" si="22"/>
        <v>6</v>
      </c>
      <c r="BA29" s="4" t="str">
        <f t="shared" ca="1" si="80"/>
        <v>Nessuno</v>
      </c>
      <c r="BB29" s="140">
        <f t="shared" ca="1" si="23"/>
        <v>0</v>
      </c>
      <c r="BC29" s="4" t="str">
        <f t="shared" ca="1" si="81"/>
        <v>NO</v>
      </c>
      <c r="BD29" s="140">
        <f t="shared" ca="1" si="24"/>
        <v>6</v>
      </c>
      <c r="BE29" s="4" t="str">
        <f t="shared" ca="1" si="82"/>
        <v>--</v>
      </c>
      <c r="BF29" s="140">
        <f t="shared" ca="1" si="25"/>
        <v>0</v>
      </c>
      <c r="BG29" s="4" t="str">
        <f t="shared" ca="1" si="83"/>
        <v>SI</v>
      </c>
      <c r="BH29" s="140">
        <f t="shared" ca="1" si="26"/>
        <v>6</v>
      </c>
      <c r="BI29" s="4" t="str">
        <f t="shared" ca="1" si="84"/>
        <v>SI</v>
      </c>
      <c r="BJ29" s="140">
        <f t="shared" ca="1" si="27"/>
        <v>4</v>
      </c>
      <c r="BK29" s="4" t="str">
        <f t="shared" ca="1" si="85"/>
        <v>NO</v>
      </c>
      <c r="BL29" s="140">
        <f t="shared" ca="1" si="28"/>
        <v>0</v>
      </c>
      <c r="BM29" s="4" t="str">
        <f t="shared" ca="1" si="86"/>
        <v>Sì, centralizzato</v>
      </c>
      <c r="BN29" s="140">
        <f t="shared" ca="1" si="29"/>
        <v>10</v>
      </c>
      <c r="BO29" s="203" t="str">
        <f t="shared" ca="1" si="87"/>
        <v>ok</v>
      </c>
      <c r="BP29" s="4" t="str">
        <f t="shared" ca="1" si="88"/>
        <v>SI</v>
      </c>
      <c r="BQ29" s="140">
        <f t="shared" ca="1" si="30"/>
        <v>10</v>
      </c>
      <c r="BR29" s="4" t="str">
        <f t="shared" ca="1" si="88"/>
        <v>Sì, solo per le applicazioni più importanti</v>
      </c>
      <c r="BS29" s="140">
        <f t="shared" ca="1" si="31"/>
        <v>6</v>
      </c>
      <c r="BT29" s="4" t="str">
        <f t="shared" ca="1" si="88"/>
        <v>Sì, solo per le applicazioni più importanti</v>
      </c>
      <c r="BU29" s="140">
        <f t="shared" ca="1" si="32"/>
        <v>6</v>
      </c>
      <c r="BV29" s="4" t="str">
        <f t="shared" ca="1" si="88"/>
        <v>--</v>
      </c>
      <c r="BW29" s="140">
        <f t="shared" ca="1" si="33"/>
        <v>0</v>
      </c>
      <c r="BX29" s="4" t="str">
        <f t="shared" ca="1" si="88"/>
        <v>--</v>
      </c>
      <c r="BY29" s="140">
        <f t="shared" ca="1" si="34"/>
        <v>0</v>
      </c>
      <c r="BZ29" s="4" t="str">
        <f t="shared" ca="1" si="89"/>
        <v>--</v>
      </c>
      <c r="CA29" s="140">
        <f t="shared" ca="1" si="35"/>
        <v>0</v>
      </c>
      <c r="CB29" s="4" t="str">
        <f t="shared" ca="1" si="90"/>
        <v>--</v>
      </c>
      <c r="CC29" s="140">
        <f t="shared" ca="1" si="36"/>
        <v>0</v>
      </c>
      <c r="CD29" s="4" t="str">
        <f t="shared" ca="1" si="91"/>
        <v>SI</v>
      </c>
      <c r="CE29" s="140">
        <f t="shared" ca="1" si="37"/>
        <v>10</v>
      </c>
      <c r="CF29" s="4" t="str">
        <f t="shared" ca="1" si="92"/>
        <v>NO</v>
      </c>
      <c r="CG29" s="140">
        <f t="shared" ca="1" si="38"/>
        <v>10</v>
      </c>
      <c r="CH29" s="4" t="str">
        <f t="shared" ca="1" si="93"/>
        <v>Rilevate &lt; 10</v>
      </c>
      <c r="CI29" s="140">
        <f t="shared" ca="1" si="39"/>
        <v>2</v>
      </c>
      <c r="CJ29" s="4" t="b">
        <f t="shared" ca="1" si="94"/>
        <v>0</v>
      </c>
      <c r="CK29" s="140">
        <f t="shared" ca="1" si="40"/>
        <v>0</v>
      </c>
      <c r="CL29" s="4" t="b">
        <f t="shared" ca="1" si="95"/>
        <v>0</v>
      </c>
      <c r="CM29" s="140">
        <f t="shared" ca="1" si="41"/>
        <v>0</v>
      </c>
      <c r="CN29" s="4" t="b">
        <f t="shared" ca="1" si="96"/>
        <v>0</v>
      </c>
      <c r="CO29" s="140">
        <f t="shared" ca="1" si="42"/>
        <v>0</v>
      </c>
      <c r="CP29" s="4" t="b">
        <f t="shared" ca="1" si="97"/>
        <v>0</v>
      </c>
      <c r="CQ29" s="140">
        <f t="shared" ca="1" si="43"/>
        <v>0</v>
      </c>
      <c r="CR29" s="203" t="str">
        <f t="shared" ca="1" si="98"/>
        <v>ok</v>
      </c>
      <c r="CS29" s="4" t="str">
        <f t="shared" ca="1" si="99"/>
        <v>SI</v>
      </c>
      <c r="CT29" s="140">
        <f t="shared" ca="1" si="44"/>
        <v>10</v>
      </c>
      <c r="CU29" s="4" t="str">
        <f t="shared" ca="1" si="99"/>
        <v>SI</v>
      </c>
      <c r="CV29" s="140">
        <f t="shared" ca="1" si="45"/>
        <v>10</v>
      </c>
      <c r="CW29" s="4" t="str">
        <f t="shared" ca="1" si="99"/>
        <v>Sì, tutti</v>
      </c>
      <c r="CX29" s="140">
        <f t="shared" ca="1" si="46"/>
        <v>10</v>
      </c>
      <c r="CY29" s="4" t="str">
        <f t="shared" ca="1" si="99"/>
        <v>SI</v>
      </c>
      <c r="CZ29" s="140">
        <f t="shared" ca="1" si="47"/>
        <v>10</v>
      </c>
      <c r="DA29" s="4" t="str">
        <f t="shared" ca="1" si="99"/>
        <v>SI</v>
      </c>
      <c r="DB29" s="140">
        <f t="shared" ca="1" si="48"/>
        <v>10</v>
      </c>
      <c r="DC29" s="4" t="str">
        <f t="shared" ca="1" si="100"/>
        <v>SI</v>
      </c>
      <c r="DD29" s="140">
        <f t="shared" ca="1" si="49"/>
        <v>10</v>
      </c>
      <c r="DE29" s="4" t="str">
        <f t="shared" ca="1" si="101"/>
        <v>SI</v>
      </c>
      <c r="DF29" s="140">
        <f t="shared" ca="1" si="50"/>
        <v>10</v>
      </c>
      <c r="DG29" s="4" t="str">
        <f t="shared" ca="1" si="102"/>
        <v>SI</v>
      </c>
      <c r="DH29" s="140">
        <f t="shared" ca="1" si="51"/>
        <v>6</v>
      </c>
      <c r="DI29" s="4" t="str">
        <f t="shared" ca="1" si="103"/>
        <v>Sì</v>
      </c>
      <c r="DJ29" s="140">
        <f t="shared" ca="1" si="52"/>
        <v>4</v>
      </c>
      <c r="DK29" s="4" t="str">
        <f t="shared" ca="1" si="104"/>
        <v>Solo personale interno</v>
      </c>
      <c r="DL29" s="140">
        <f t="shared" ca="1" si="53"/>
        <v>10</v>
      </c>
      <c r="DM29" s="4" t="str">
        <f t="shared" ca="1" si="105"/>
        <v>Non previsto audit</v>
      </c>
      <c r="DN29" s="140">
        <f t="shared" ca="1" si="54"/>
        <v>0</v>
      </c>
      <c r="DO29" s="4" t="str">
        <f t="shared" ca="1" si="106"/>
        <v>--</v>
      </c>
      <c r="DP29" s="140">
        <f t="shared" ca="1" si="55"/>
        <v>0</v>
      </c>
      <c r="DQ29" s="4" t="str">
        <f t="shared" ca="1" si="107"/>
        <v>--</v>
      </c>
      <c r="DR29" s="140">
        <f t="shared" ca="1" si="56"/>
        <v>0</v>
      </c>
      <c r="DS29" s="80" t="str">
        <f t="shared" ca="1" si="108"/>
        <v>--</v>
      </c>
      <c r="DT29" s="140">
        <f t="shared" ca="1" si="57"/>
        <v>0</v>
      </c>
      <c r="DU29" s="4" t="str">
        <f t="shared" ca="1" si="109"/>
        <v>Sì, con copertura analisi rischi totale</v>
      </c>
      <c r="DV29" s="140">
        <f t="shared" ca="1" si="114"/>
        <v>10</v>
      </c>
      <c r="DW29" s="4" t="str">
        <f t="shared" ca="1" si="110"/>
        <v>SI</v>
      </c>
      <c r="DX29" s="140">
        <f t="shared" ca="1" si="58"/>
        <v>10</v>
      </c>
      <c r="DY29" s="4" t="str">
        <f t="shared" ca="1" si="111"/>
        <v>--</v>
      </c>
      <c r="DZ29" s="140">
        <f t="shared" ca="1" si="59"/>
        <v>0</v>
      </c>
      <c r="EA29" s="80" t="str">
        <f t="shared" ca="1" si="112"/>
        <v>Inferiore al 10 %</v>
      </c>
      <c r="EB29" s="140">
        <f t="shared" ca="1" si="60"/>
        <v>2</v>
      </c>
      <c r="EC29" s="4">
        <f t="shared" ca="1" si="61"/>
        <v>301</v>
      </c>
      <c r="EF29" s="1"/>
      <c r="EH29" s="1"/>
      <c r="EJ29" s="1"/>
      <c r="EL29" s="1"/>
      <c r="EN29" s="1"/>
      <c r="EP29" s="1"/>
    </row>
    <row r="30" spans="1:146">
      <c r="A30" s="363" t="str">
        <f t="shared" ca="1" si="0"/>
        <v>Stato Maggiore Difesa</v>
      </c>
      <c r="B30" s="50">
        <f ca="1">VLOOKUP( TRIM(A30), Classificazione!$A$5:$B$71, 2, FALSE)</f>
        <v>303</v>
      </c>
      <c r="C30" s="364">
        <f ca="1">VLOOKUP(TRIM(A30), Classificazione!$A$5:$L$71, 12, FALSE)</f>
        <v>1000</v>
      </c>
      <c r="D30" s="4" t="str">
        <f t="shared" ca="1" si="62"/>
        <v>Completamente centralizzato</v>
      </c>
      <c r="E30" s="140">
        <f t="shared" ca="1" si="113"/>
        <v>6</v>
      </c>
      <c r="F30" s="4" t="str">
        <f t="shared" ca="1" si="62"/>
        <v>SI</v>
      </c>
      <c r="G30" s="140">
        <f t="shared" ca="1" si="115"/>
        <v>10</v>
      </c>
      <c r="H30" s="4" t="str">
        <f t="shared" ca="1" si="62"/>
        <v>NO</v>
      </c>
      <c r="I30" s="140">
        <f t="shared" ca="1" si="63"/>
        <v>0</v>
      </c>
      <c r="J30" s="4" t="b">
        <f t="shared" ca="1" si="62"/>
        <v>0</v>
      </c>
      <c r="K30" s="140">
        <f t="shared" ca="1" si="64"/>
        <v>0</v>
      </c>
      <c r="L30" s="4" t="b">
        <f t="shared" ca="1" si="62"/>
        <v>0</v>
      </c>
      <c r="M30" s="140">
        <f t="shared" ca="1" si="2"/>
        <v>0</v>
      </c>
      <c r="N30" s="4" t="b">
        <f t="shared" ca="1" si="65"/>
        <v>0</v>
      </c>
      <c r="O30" s="140">
        <f t="shared" ca="1" si="3"/>
        <v>0</v>
      </c>
      <c r="P30" s="4" t="b">
        <f t="shared" ca="1" si="66"/>
        <v>0</v>
      </c>
      <c r="Q30" s="140">
        <f t="shared" ca="1" si="4"/>
        <v>0</v>
      </c>
      <c r="R30" s="4" t="str">
        <f t="shared" ca="1" si="67"/>
        <v>UserId/Password</v>
      </c>
      <c r="S30" s="140">
        <f t="shared" ca="1" si="5"/>
        <v>2</v>
      </c>
      <c r="T30" s="4" t="str">
        <f t="shared" ca="1" si="68"/>
        <v>SI</v>
      </c>
      <c r="U30" s="140">
        <f t="shared" ca="1" si="6"/>
        <v>2</v>
      </c>
      <c r="V30" s="4" t="str">
        <f t="shared" ca="1" si="69"/>
        <v>SI</v>
      </c>
      <c r="W30" s="140">
        <f t="shared" ca="1" si="7"/>
        <v>2</v>
      </c>
      <c r="X30" s="4" t="str">
        <f t="shared" ca="1" si="70"/>
        <v>SI</v>
      </c>
      <c r="Y30" s="140">
        <f t="shared" ca="1" si="8"/>
        <v>4</v>
      </c>
      <c r="Z30" s="4" t="str">
        <f t="shared" ca="1" si="71"/>
        <v>Ogni settimana</v>
      </c>
      <c r="AA30" s="140">
        <f t="shared" ca="1" si="9"/>
        <v>8</v>
      </c>
      <c r="AB30" s="4" t="str">
        <f t="shared" ca="1" si="72"/>
        <v>SI</v>
      </c>
      <c r="AC30" s="140">
        <f t="shared" ca="1" si="10"/>
        <v>10</v>
      </c>
      <c r="AD30" s="4" t="str">
        <f t="shared" ca="1" si="73"/>
        <v>Esistono postazioni mobili o supporti dati rimuovibili senza sistemi di prevenzione degli accessi</v>
      </c>
      <c r="AE30" s="140">
        <f t="shared" ca="1" si="11"/>
        <v>0</v>
      </c>
      <c r="AF30" s="4" t="str">
        <f t="shared" ca="1" si="74"/>
        <v>NO</v>
      </c>
      <c r="AG30" s="140">
        <f t="shared" ca="1" si="12"/>
        <v>0</v>
      </c>
      <c r="AH30" s="4" t="str">
        <f t="shared" ca="1" si="75"/>
        <v>--</v>
      </c>
      <c r="AI30" s="140">
        <f t="shared" ca="1" si="13"/>
        <v>0</v>
      </c>
      <c r="AJ30" s="4" t="str">
        <f t="shared" ca="1" si="76"/>
        <v>--</v>
      </c>
      <c r="AK30" s="140">
        <f t="shared" ca="1" si="14"/>
        <v>0</v>
      </c>
      <c r="AL30" s="203" t="str">
        <f t="shared" ca="1" si="15"/>
        <v>ok</v>
      </c>
      <c r="AM30" s="4" t="str">
        <f t="shared" ca="1" si="77"/>
        <v>SI</v>
      </c>
      <c r="AN30" s="140">
        <f t="shared" ca="1" si="16"/>
        <v>10</v>
      </c>
      <c r="AO30" s="4" t="str">
        <f t="shared" ca="1" si="77"/>
        <v>SI</v>
      </c>
      <c r="AP30" s="140">
        <f t="shared" ca="1" si="17"/>
        <v>10</v>
      </c>
      <c r="AQ30" s="4" t="str">
        <f t="shared" ca="1" si="77"/>
        <v>SI</v>
      </c>
      <c r="AR30" s="140">
        <f t="shared" ca="1" si="18"/>
        <v>10</v>
      </c>
      <c r="AS30" s="4" t="b">
        <f t="shared" ca="1" si="77"/>
        <v>1</v>
      </c>
      <c r="AT30" s="140">
        <f t="shared" ca="1" si="19"/>
        <v>5</v>
      </c>
      <c r="AU30" s="4" t="b">
        <f t="shared" ca="1" si="77"/>
        <v>1</v>
      </c>
      <c r="AV30" s="140">
        <f t="shared" ca="1" si="20"/>
        <v>5</v>
      </c>
      <c r="AW30" s="4" t="b">
        <f t="shared" ca="1" si="78"/>
        <v>0</v>
      </c>
      <c r="AX30" s="140">
        <f t="shared" ca="1" si="21"/>
        <v>0</v>
      </c>
      <c r="AY30" s="4" t="str">
        <f t="shared" ca="1" si="79"/>
        <v>NO</v>
      </c>
      <c r="AZ30" s="140">
        <f t="shared" ca="1" si="22"/>
        <v>6</v>
      </c>
      <c r="BA30" s="4" t="str">
        <f t="shared" ca="1" si="80"/>
        <v>Nessuno</v>
      </c>
      <c r="BB30" s="140">
        <f t="shared" ca="1" si="23"/>
        <v>0</v>
      </c>
      <c r="BC30" s="4" t="str">
        <f t="shared" ca="1" si="81"/>
        <v>SI</v>
      </c>
      <c r="BD30" s="140">
        <f t="shared" ca="1" si="24"/>
        <v>0</v>
      </c>
      <c r="BE30" s="4" t="str">
        <f t="shared" ca="1" si="82"/>
        <v>--</v>
      </c>
      <c r="BF30" s="140">
        <f t="shared" ca="1" si="25"/>
        <v>0</v>
      </c>
      <c r="BG30" s="4" t="str">
        <f t="shared" ca="1" si="83"/>
        <v>SI</v>
      </c>
      <c r="BH30" s="140">
        <f t="shared" ca="1" si="26"/>
        <v>6</v>
      </c>
      <c r="BI30" s="4" t="str">
        <f t="shared" ca="1" si="84"/>
        <v>SI</v>
      </c>
      <c r="BJ30" s="140">
        <f t="shared" ca="1" si="27"/>
        <v>4</v>
      </c>
      <c r="BK30" s="4" t="str">
        <f t="shared" ca="1" si="85"/>
        <v>SI</v>
      </c>
      <c r="BL30" s="140">
        <f t="shared" ca="1" si="28"/>
        <v>10</v>
      </c>
      <c r="BM30" s="4" t="str">
        <f t="shared" ca="1" si="86"/>
        <v>Sì, centralizzato</v>
      </c>
      <c r="BN30" s="140">
        <f t="shared" ca="1" si="29"/>
        <v>10</v>
      </c>
      <c r="BO30" s="203" t="str">
        <f t="shared" ca="1" si="87"/>
        <v>ok</v>
      </c>
      <c r="BP30" s="4" t="str">
        <f t="shared" ca="1" si="88"/>
        <v>--</v>
      </c>
      <c r="BQ30" s="140">
        <f t="shared" ca="1" si="30"/>
        <v>0</v>
      </c>
      <c r="BR30" s="4" t="str">
        <f t="shared" ca="1" si="88"/>
        <v>--</v>
      </c>
      <c r="BS30" s="140">
        <f t="shared" ca="1" si="31"/>
        <v>0</v>
      </c>
      <c r="BT30" s="4" t="str">
        <f t="shared" ca="1" si="88"/>
        <v>--</v>
      </c>
      <c r="BU30" s="140">
        <f t="shared" ca="1" si="32"/>
        <v>0</v>
      </c>
      <c r="BV30" s="4" t="str">
        <f t="shared" ca="1" si="88"/>
        <v>SI</v>
      </c>
      <c r="BW30" s="140">
        <f t="shared" ca="1" si="33"/>
        <v>10</v>
      </c>
      <c r="BX30" s="4" t="str">
        <f t="shared" ca="1" si="88"/>
        <v>SI</v>
      </c>
      <c r="BY30" s="140">
        <f t="shared" ca="1" si="34"/>
        <v>10</v>
      </c>
      <c r="BZ30" s="4" t="str">
        <f t="shared" ca="1" si="89"/>
        <v>SI</v>
      </c>
      <c r="CA30" s="140">
        <f t="shared" ca="1" si="35"/>
        <v>10</v>
      </c>
      <c r="CB30" s="4" t="str">
        <f t="shared" ca="1" si="90"/>
        <v>--</v>
      </c>
      <c r="CC30" s="140">
        <f t="shared" ca="1" si="36"/>
        <v>0</v>
      </c>
      <c r="CD30" s="4" t="str">
        <f t="shared" ca="1" si="91"/>
        <v>SI</v>
      </c>
      <c r="CE30" s="140">
        <f t="shared" ca="1" si="37"/>
        <v>10</v>
      </c>
      <c r="CF30" s="4" t="str">
        <f t="shared" ca="1" si="92"/>
        <v>--</v>
      </c>
      <c r="CG30" s="140">
        <f t="shared" ca="1" si="38"/>
        <v>0</v>
      </c>
      <c r="CH30" s="4" t="str">
        <f t="shared" ca="1" si="93"/>
        <v>Rilevate &lt; 10</v>
      </c>
      <c r="CI30" s="140">
        <f t="shared" ca="1" si="39"/>
        <v>2</v>
      </c>
      <c r="CJ30" s="4" t="b">
        <f t="shared" ca="1" si="94"/>
        <v>0</v>
      </c>
      <c r="CK30" s="140">
        <f t="shared" ca="1" si="40"/>
        <v>0</v>
      </c>
      <c r="CL30" s="4" t="b">
        <f t="shared" ca="1" si="95"/>
        <v>0</v>
      </c>
      <c r="CM30" s="140">
        <f t="shared" ca="1" si="41"/>
        <v>0</v>
      </c>
      <c r="CN30" s="4" t="b">
        <f t="shared" ca="1" si="96"/>
        <v>0</v>
      </c>
      <c r="CO30" s="140">
        <f t="shared" ca="1" si="42"/>
        <v>0</v>
      </c>
      <c r="CP30" s="4" t="b">
        <f t="shared" ca="1" si="97"/>
        <v>0</v>
      </c>
      <c r="CQ30" s="140">
        <f t="shared" ca="1" si="43"/>
        <v>0</v>
      </c>
      <c r="CR30" s="203" t="str">
        <f t="shared" ca="1" si="98"/>
        <v>ok</v>
      </c>
      <c r="CS30" s="4" t="str">
        <f t="shared" ca="1" si="99"/>
        <v>--</v>
      </c>
      <c r="CT30" s="140">
        <f t="shared" ca="1" si="44"/>
        <v>0</v>
      </c>
      <c r="CU30" s="4" t="str">
        <f t="shared" ca="1" si="99"/>
        <v>--</v>
      </c>
      <c r="CV30" s="140">
        <f t="shared" ca="1" si="45"/>
        <v>0</v>
      </c>
      <c r="CW30" s="4" t="str">
        <f t="shared" ca="1" si="99"/>
        <v>--</v>
      </c>
      <c r="CX30" s="140">
        <f t="shared" ca="1" si="46"/>
        <v>0</v>
      </c>
      <c r="CY30" s="4" t="str">
        <f t="shared" ca="1" si="99"/>
        <v>--</v>
      </c>
      <c r="CZ30" s="140">
        <f t="shared" ca="1" si="47"/>
        <v>0</v>
      </c>
      <c r="DA30" s="4" t="str">
        <f t="shared" ca="1" si="99"/>
        <v>--</v>
      </c>
      <c r="DB30" s="140">
        <f t="shared" ca="1" si="48"/>
        <v>0</v>
      </c>
      <c r="DC30" s="4" t="str">
        <f t="shared" ca="1" si="100"/>
        <v>--</v>
      </c>
      <c r="DD30" s="140">
        <f t="shared" ca="1" si="49"/>
        <v>0</v>
      </c>
      <c r="DE30" s="4" t="str">
        <f t="shared" ca="1" si="101"/>
        <v>--</v>
      </c>
      <c r="DF30" s="140">
        <f t="shared" ca="1" si="50"/>
        <v>0</v>
      </c>
      <c r="DG30" s="4" t="str">
        <f t="shared" ca="1" si="102"/>
        <v>--</v>
      </c>
      <c r="DH30" s="140">
        <f t="shared" ca="1" si="51"/>
        <v>0</v>
      </c>
      <c r="DI30" s="4" t="str">
        <f t="shared" ca="1" si="103"/>
        <v>--</v>
      </c>
      <c r="DJ30" s="140">
        <f t="shared" ca="1" si="52"/>
        <v>0</v>
      </c>
      <c r="DK30" s="4" t="str">
        <f t="shared" ca="1" si="104"/>
        <v>--</v>
      </c>
      <c r="DL30" s="140">
        <f t="shared" ca="1" si="53"/>
        <v>0</v>
      </c>
      <c r="DM30" s="4" t="str">
        <f t="shared" ca="1" si="105"/>
        <v>Non previsto audit</v>
      </c>
      <c r="DN30" s="140">
        <f t="shared" ca="1" si="54"/>
        <v>0</v>
      </c>
      <c r="DO30" s="4" t="str">
        <f t="shared" ca="1" si="106"/>
        <v>--</v>
      </c>
      <c r="DP30" s="140">
        <f t="shared" ca="1" si="55"/>
        <v>0</v>
      </c>
      <c r="DQ30" s="4" t="str">
        <f t="shared" ca="1" si="107"/>
        <v>--</v>
      </c>
      <c r="DR30" s="140">
        <f t="shared" ca="1" si="56"/>
        <v>0</v>
      </c>
      <c r="DS30" s="80" t="str">
        <f t="shared" ca="1" si="108"/>
        <v>--</v>
      </c>
      <c r="DT30" s="140">
        <f t="shared" ca="1" si="57"/>
        <v>0</v>
      </c>
      <c r="DU30" s="4" t="str">
        <f t="shared" ca="1" si="109"/>
        <v>--</v>
      </c>
      <c r="DV30" s="140">
        <f t="shared" ca="1" si="114"/>
        <v>0</v>
      </c>
      <c r="DW30" s="4" t="str">
        <f t="shared" ca="1" si="110"/>
        <v>--</v>
      </c>
      <c r="DX30" s="140">
        <f t="shared" ca="1" si="58"/>
        <v>0</v>
      </c>
      <c r="DY30" s="4" t="str">
        <f t="shared" ca="1" si="111"/>
        <v>--</v>
      </c>
      <c r="DZ30" s="140">
        <f t="shared" ca="1" si="59"/>
        <v>0</v>
      </c>
      <c r="EA30" s="80" t="str">
        <f t="shared" ca="1" si="112"/>
        <v>Inferiore al 10 %</v>
      </c>
      <c r="EB30" s="140">
        <f t="shared" ca="1" si="60"/>
        <v>2</v>
      </c>
      <c r="EC30" s="4">
        <f t="shared" ca="1" si="61"/>
        <v>164</v>
      </c>
      <c r="EF30" s="1"/>
      <c r="EH30" s="1"/>
      <c r="EJ30" s="1"/>
      <c r="EL30" s="1"/>
      <c r="EN30" s="1"/>
      <c r="EP30" s="1"/>
    </row>
    <row r="31" spans="1:146">
      <c r="A31" s="363" t="str">
        <f t="shared" ca="1" si="0"/>
        <v>Stato Maggiore Esercito</v>
      </c>
      <c r="B31" s="50">
        <f ca="1">VLOOKUP( TRIM(A31), Classificazione!$A$5:$B$71, 2, FALSE)</f>
        <v>301</v>
      </c>
      <c r="C31" s="364">
        <f ca="1">VLOOKUP(TRIM(A31), Classificazione!$A$5:$L$71, 12, FALSE)</f>
        <v>1000</v>
      </c>
      <c r="D31" s="4" t="str">
        <f t="shared" ca="1" si="62"/>
        <v>Completamente centralizzato</v>
      </c>
      <c r="E31" s="140">
        <f t="shared" ca="1" si="113"/>
        <v>6</v>
      </c>
      <c r="F31" s="4" t="str">
        <f t="shared" ca="1" si="62"/>
        <v>SI</v>
      </c>
      <c r="G31" s="140">
        <f t="shared" ca="1" si="115"/>
        <v>10</v>
      </c>
      <c r="H31" s="4" t="str">
        <f t="shared" ca="1" si="62"/>
        <v>SI</v>
      </c>
      <c r="I31" s="140">
        <f t="shared" ca="1" si="63"/>
        <v>10</v>
      </c>
      <c r="J31" s="4" t="b">
        <f t="shared" ca="1" si="62"/>
        <v>0</v>
      </c>
      <c r="K31" s="140">
        <f t="shared" ca="1" si="64"/>
        <v>0</v>
      </c>
      <c r="L31" s="4" t="b">
        <f t="shared" ca="1" si="62"/>
        <v>0</v>
      </c>
      <c r="M31" s="140">
        <f t="shared" ca="1" si="2"/>
        <v>0</v>
      </c>
      <c r="N31" s="4" t="b">
        <f t="shared" ca="1" si="65"/>
        <v>0</v>
      </c>
      <c r="O31" s="140">
        <f t="shared" ca="1" si="3"/>
        <v>0</v>
      </c>
      <c r="P31" s="4" t="b">
        <f t="shared" ca="1" si="66"/>
        <v>0</v>
      </c>
      <c r="Q31" s="140">
        <f t="shared" ca="1" si="4"/>
        <v>0</v>
      </c>
      <c r="R31" s="4" t="str">
        <f t="shared" ca="1" si="67"/>
        <v>UserId/Password</v>
      </c>
      <c r="S31" s="140">
        <f t="shared" ca="1" si="5"/>
        <v>2</v>
      </c>
      <c r="T31" s="4" t="str">
        <f t="shared" ca="1" si="68"/>
        <v>SI</v>
      </c>
      <c r="U31" s="140">
        <f t="shared" ca="1" si="6"/>
        <v>2</v>
      </c>
      <c r="V31" s="4" t="str">
        <f t="shared" ca="1" si="69"/>
        <v>SI</v>
      </c>
      <c r="W31" s="140">
        <f t="shared" ca="1" si="7"/>
        <v>2</v>
      </c>
      <c r="X31" s="4" t="str">
        <f t="shared" ca="1" si="70"/>
        <v>NO</v>
      </c>
      <c r="Y31" s="140">
        <f t="shared" ca="1" si="8"/>
        <v>0</v>
      </c>
      <c r="Z31" s="4" t="str">
        <f t="shared" ca="1" si="71"/>
        <v>Automaticamente</v>
      </c>
      <c r="AA31" s="140">
        <f t="shared" ca="1" si="9"/>
        <v>10</v>
      </c>
      <c r="AB31" s="4" t="str">
        <f t="shared" ca="1" si="72"/>
        <v>SI</v>
      </c>
      <c r="AC31" s="140">
        <f t="shared" ca="1" si="10"/>
        <v>10</v>
      </c>
      <c r="AD31" s="4" t="str">
        <f t="shared" ca="1" si="73"/>
        <v>Esistono postazioni mobili o supporti dati rimuovibili con sistemi di prevenzione degli accessi</v>
      </c>
      <c r="AE31" s="140">
        <f t="shared" ca="1" si="11"/>
        <v>10</v>
      </c>
      <c r="AF31" s="4" t="str">
        <f t="shared" ca="1" si="74"/>
        <v>SI</v>
      </c>
      <c r="AG31" s="140">
        <f t="shared" ca="1" si="12"/>
        <v>6</v>
      </c>
      <c r="AH31" s="4" t="str">
        <f t="shared" ca="1" si="75"/>
        <v>--</v>
      </c>
      <c r="AI31" s="140">
        <f t="shared" ca="1" si="13"/>
        <v>0</v>
      </c>
      <c r="AJ31" s="4" t="str">
        <f t="shared" ca="1" si="76"/>
        <v>SI</v>
      </c>
      <c r="AK31" s="140">
        <f t="shared" ca="1" si="14"/>
        <v>10</v>
      </c>
      <c r="AL31" s="203" t="str">
        <f t="shared" ca="1" si="15"/>
        <v>ok</v>
      </c>
      <c r="AM31" s="4" t="str">
        <f t="shared" ca="1" si="77"/>
        <v>SI</v>
      </c>
      <c r="AN31" s="140">
        <f t="shared" ca="1" si="16"/>
        <v>10</v>
      </c>
      <c r="AO31" s="4" t="str">
        <f t="shared" ca="1" si="77"/>
        <v>SI</v>
      </c>
      <c r="AP31" s="140">
        <f t="shared" ca="1" si="17"/>
        <v>10</v>
      </c>
      <c r="AQ31" s="4" t="str">
        <f t="shared" ca="1" si="77"/>
        <v>--</v>
      </c>
      <c r="AR31" s="140">
        <f t="shared" ca="1" si="18"/>
        <v>0</v>
      </c>
      <c r="AS31" s="4" t="b">
        <f t="shared" ca="1" si="77"/>
        <v>1</v>
      </c>
      <c r="AT31" s="140">
        <f t="shared" ca="1" si="19"/>
        <v>5</v>
      </c>
      <c r="AU31" s="4" t="b">
        <f t="shared" ca="1" si="77"/>
        <v>0</v>
      </c>
      <c r="AV31" s="140">
        <f t="shared" ca="1" si="20"/>
        <v>0</v>
      </c>
      <c r="AW31" s="4" t="b">
        <f t="shared" ca="1" si="78"/>
        <v>0</v>
      </c>
      <c r="AX31" s="140">
        <f t="shared" ca="1" si="21"/>
        <v>0</v>
      </c>
      <c r="AY31" s="4" t="str">
        <f t="shared" ca="1" si="79"/>
        <v>SI</v>
      </c>
      <c r="AZ31" s="140">
        <f t="shared" ca="1" si="22"/>
        <v>0</v>
      </c>
      <c r="BA31" s="4" t="str">
        <f t="shared" ca="1" si="80"/>
        <v>WEP</v>
      </c>
      <c r="BB31" s="140">
        <f t="shared" ca="1" si="23"/>
        <v>4</v>
      </c>
      <c r="BC31" s="4" t="str">
        <f t="shared" ca="1" si="81"/>
        <v>SI</v>
      </c>
      <c r="BD31" s="140">
        <f t="shared" ca="1" si="24"/>
        <v>0</v>
      </c>
      <c r="BE31" s="4" t="str">
        <f t="shared" ca="1" si="82"/>
        <v>--</v>
      </c>
      <c r="BF31" s="140">
        <f t="shared" ca="1" si="25"/>
        <v>0</v>
      </c>
      <c r="BG31" s="4" t="str">
        <f t="shared" ca="1" si="83"/>
        <v>SI</v>
      </c>
      <c r="BH31" s="140">
        <f t="shared" ca="1" si="26"/>
        <v>6</v>
      </c>
      <c r="BI31" s="4" t="str">
        <f t="shared" ca="1" si="84"/>
        <v>--</v>
      </c>
      <c r="BJ31" s="140">
        <f t="shared" ca="1" si="27"/>
        <v>0</v>
      </c>
      <c r="BK31" s="4" t="str">
        <f t="shared" ca="1" si="85"/>
        <v>--</v>
      </c>
      <c r="BL31" s="140">
        <f t="shared" ca="1" si="28"/>
        <v>0</v>
      </c>
      <c r="BM31" s="4" t="str">
        <f t="shared" ca="1" si="86"/>
        <v>Sì, centralizzato</v>
      </c>
      <c r="BN31" s="140">
        <f t="shared" ca="1" si="29"/>
        <v>10</v>
      </c>
      <c r="BO31" s="203" t="str">
        <f t="shared" ca="1" si="87"/>
        <v>ok</v>
      </c>
      <c r="BP31" s="4" t="str">
        <f t="shared" ca="1" si="88"/>
        <v>SI</v>
      </c>
      <c r="BQ31" s="140">
        <f t="shared" ca="1" si="30"/>
        <v>10</v>
      </c>
      <c r="BR31" s="4" t="str">
        <f t="shared" ca="1" si="88"/>
        <v>--</v>
      </c>
      <c r="BS31" s="140">
        <f t="shared" ca="1" si="31"/>
        <v>0</v>
      </c>
      <c r="BT31" s="4" t="str">
        <f t="shared" ca="1" si="88"/>
        <v>Sì, senza specificazione della copertura</v>
      </c>
      <c r="BU31" s="140">
        <f t="shared" ca="1" si="32"/>
        <v>10</v>
      </c>
      <c r="BV31" s="4" t="str">
        <f t="shared" ca="1" si="88"/>
        <v>SI</v>
      </c>
      <c r="BW31" s="140">
        <f t="shared" ca="1" si="33"/>
        <v>10</v>
      </c>
      <c r="BX31" s="4" t="str">
        <f t="shared" ca="1" si="88"/>
        <v>--</v>
      </c>
      <c r="BY31" s="140">
        <f t="shared" ca="1" si="34"/>
        <v>0</v>
      </c>
      <c r="BZ31" s="4" t="str">
        <f t="shared" ca="1" si="89"/>
        <v>SI</v>
      </c>
      <c r="CA31" s="140">
        <f t="shared" ca="1" si="35"/>
        <v>10</v>
      </c>
      <c r="CB31" s="4" t="str">
        <f t="shared" ca="1" si="90"/>
        <v>--</v>
      </c>
      <c r="CC31" s="140">
        <f t="shared" ca="1" si="36"/>
        <v>0</v>
      </c>
      <c r="CD31" s="4" t="str">
        <f t="shared" ca="1" si="91"/>
        <v>SI</v>
      </c>
      <c r="CE31" s="140">
        <f t="shared" ca="1" si="37"/>
        <v>10</v>
      </c>
      <c r="CF31" s="4" t="str">
        <f t="shared" ca="1" si="92"/>
        <v>--</v>
      </c>
      <c r="CG31" s="140">
        <f t="shared" ca="1" si="38"/>
        <v>0</v>
      </c>
      <c r="CH31" s="4" t="str">
        <f t="shared" ca="1" si="93"/>
        <v>Rilevate &lt; 10</v>
      </c>
      <c r="CI31" s="140">
        <f t="shared" ca="1" si="39"/>
        <v>2</v>
      </c>
      <c r="CJ31" s="4" t="b">
        <f t="shared" ca="1" si="94"/>
        <v>0</v>
      </c>
      <c r="CK31" s="140">
        <f t="shared" ca="1" si="40"/>
        <v>0</v>
      </c>
      <c r="CL31" s="4" t="b">
        <f t="shared" ca="1" si="95"/>
        <v>0</v>
      </c>
      <c r="CM31" s="140">
        <f t="shared" ca="1" si="41"/>
        <v>0</v>
      </c>
      <c r="CN31" s="4" t="b">
        <f t="shared" ca="1" si="96"/>
        <v>0</v>
      </c>
      <c r="CO31" s="140">
        <f t="shared" ca="1" si="42"/>
        <v>0</v>
      </c>
      <c r="CP31" s="4" t="b">
        <f t="shared" ca="1" si="97"/>
        <v>0</v>
      </c>
      <c r="CQ31" s="140">
        <f t="shared" ca="1" si="43"/>
        <v>0</v>
      </c>
      <c r="CR31" s="203" t="str">
        <f t="shared" ca="1" si="98"/>
        <v>ok</v>
      </c>
      <c r="CS31" s="4" t="str">
        <f t="shared" ca="1" si="99"/>
        <v>SI</v>
      </c>
      <c r="CT31" s="140">
        <f t="shared" ca="1" si="44"/>
        <v>10</v>
      </c>
      <c r="CU31" s="4" t="str">
        <f t="shared" ca="1" si="99"/>
        <v>--</v>
      </c>
      <c r="CV31" s="140">
        <f t="shared" ca="1" si="45"/>
        <v>0</v>
      </c>
      <c r="CW31" s="4" t="str">
        <f t="shared" ca="1" si="99"/>
        <v>--</v>
      </c>
      <c r="CX31" s="140">
        <f t="shared" ca="1" si="46"/>
        <v>0</v>
      </c>
      <c r="CY31" s="4" t="str">
        <f t="shared" ca="1" si="99"/>
        <v>SI</v>
      </c>
      <c r="CZ31" s="140">
        <f t="shared" ca="1" si="47"/>
        <v>10</v>
      </c>
      <c r="DA31" s="4" t="str">
        <f t="shared" ca="1" si="99"/>
        <v>SI</v>
      </c>
      <c r="DB31" s="140">
        <f t="shared" ca="1" si="48"/>
        <v>10</v>
      </c>
      <c r="DC31" s="4" t="str">
        <f t="shared" ca="1" si="100"/>
        <v>SI</v>
      </c>
      <c r="DD31" s="140">
        <f t="shared" ca="1" si="49"/>
        <v>10</v>
      </c>
      <c r="DE31" s="4" t="str">
        <f t="shared" ca="1" si="101"/>
        <v>SI</v>
      </c>
      <c r="DF31" s="140">
        <f t="shared" ca="1" si="50"/>
        <v>10</v>
      </c>
      <c r="DG31" s="4" t="str">
        <f t="shared" ca="1" si="102"/>
        <v>SI</v>
      </c>
      <c r="DH31" s="140">
        <f t="shared" ca="1" si="51"/>
        <v>6</v>
      </c>
      <c r="DI31" s="4" t="str">
        <f t="shared" ca="1" si="103"/>
        <v>--</v>
      </c>
      <c r="DJ31" s="140">
        <f t="shared" ca="1" si="52"/>
        <v>0</v>
      </c>
      <c r="DK31" s="4" t="str">
        <f t="shared" ca="1" si="104"/>
        <v>--</v>
      </c>
      <c r="DL31" s="140">
        <f t="shared" ca="1" si="53"/>
        <v>0</v>
      </c>
      <c r="DM31" s="4" t="str">
        <f t="shared" ca="1" si="105"/>
        <v>Non previsto audit</v>
      </c>
      <c r="DN31" s="140">
        <f t="shared" ca="1" si="54"/>
        <v>0</v>
      </c>
      <c r="DO31" s="4" t="str">
        <f t="shared" ca="1" si="106"/>
        <v>--</v>
      </c>
      <c r="DP31" s="140">
        <f t="shared" ca="1" si="55"/>
        <v>0</v>
      </c>
      <c r="DQ31" s="4" t="str">
        <f t="shared" ca="1" si="107"/>
        <v>--</v>
      </c>
      <c r="DR31" s="140">
        <f t="shared" ca="1" si="56"/>
        <v>0</v>
      </c>
      <c r="DS31" s="80" t="str">
        <f t="shared" ca="1" si="108"/>
        <v>--</v>
      </c>
      <c r="DT31" s="140">
        <f t="shared" ca="1" si="57"/>
        <v>0</v>
      </c>
      <c r="DU31" s="4" t="str">
        <f t="shared" ca="1" si="109"/>
        <v>Sì, con copertura analisi rischi totale</v>
      </c>
      <c r="DV31" s="140">
        <f t="shared" ca="1" si="114"/>
        <v>10</v>
      </c>
      <c r="DW31" s="4" t="str">
        <f t="shared" ca="1" si="110"/>
        <v>--</v>
      </c>
      <c r="DX31" s="140">
        <f t="shared" ca="1" si="58"/>
        <v>0</v>
      </c>
      <c r="DY31" s="4" t="str">
        <f t="shared" ca="1" si="111"/>
        <v>--</v>
      </c>
      <c r="DZ31" s="140">
        <f t="shared" ca="1" si="59"/>
        <v>0</v>
      </c>
      <c r="EA31" s="80" t="str">
        <f t="shared" ca="1" si="112"/>
        <v>Inferiore al 10 %</v>
      </c>
      <c r="EB31" s="140">
        <f t="shared" ca="1" si="60"/>
        <v>2</v>
      </c>
      <c r="EC31" s="4">
        <f t="shared" ca="1" si="61"/>
        <v>243</v>
      </c>
      <c r="EF31" s="1"/>
      <c r="EH31" s="1"/>
      <c r="EJ31" s="1"/>
      <c r="EL31" s="1"/>
      <c r="EN31" s="1"/>
      <c r="EP31" s="1"/>
    </row>
    <row r="32" spans="1:146">
      <c r="A32" s="363" t="str">
        <f t="shared" ca="1" si="0"/>
        <v>Stato Maggiore Marina</v>
      </c>
      <c r="B32" s="50">
        <f ca="1">VLOOKUP( TRIM(A32), Classificazione!$A$5:$B$71, 2, FALSE)</f>
        <v>302</v>
      </c>
      <c r="C32" s="364">
        <f ca="1">VLOOKUP(TRIM(A32), Classificazione!$A$5:$L$71, 12, FALSE)</f>
        <v>1000</v>
      </c>
      <c r="D32" s="4" t="str">
        <f t="shared" ca="1" si="62"/>
        <v>Completamente centralizzato</v>
      </c>
      <c r="E32" s="140">
        <f t="shared" ca="1" si="113"/>
        <v>6</v>
      </c>
      <c r="F32" s="4" t="str">
        <f t="shared" ca="1" si="62"/>
        <v>SI</v>
      </c>
      <c r="G32" s="140">
        <f t="shared" ca="1" si="115"/>
        <v>10</v>
      </c>
      <c r="H32" s="4" t="str">
        <f t="shared" ca="1" si="62"/>
        <v>SI</v>
      </c>
      <c r="I32" s="140">
        <f t="shared" ca="1" si="63"/>
        <v>10</v>
      </c>
      <c r="J32" s="4" t="b">
        <f t="shared" ca="1" si="62"/>
        <v>1</v>
      </c>
      <c r="K32" s="140">
        <f t="shared" ca="1" si="64"/>
        <v>5</v>
      </c>
      <c r="L32" s="4" t="b">
        <f t="shared" ca="1" si="62"/>
        <v>0</v>
      </c>
      <c r="M32" s="140">
        <f t="shared" ca="1" si="2"/>
        <v>0</v>
      </c>
      <c r="N32" s="4" t="b">
        <f t="shared" ca="1" si="65"/>
        <v>0</v>
      </c>
      <c r="O32" s="140">
        <f t="shared" ca="1" si="3"/>
        <v>0</v>
      </c>
      <c r="P32" s="4" t="b">
        <f t="shared" ca="1" si="66"/>
        <v>0</v>
      </c>
      <c r="Q32" s="140">
        <f t="shared" ca="1" si="4"/>
        <v>0</v>
      </c>
      <c r="R32" s="4" t="str">
        <f t="shared" ca="1" si="67"/>
        <v>UserId/Password</v>
      </c>
      <c r="S32" s="140">
        <f t="shared" ca="1" si="5"/>
        <v>2</v>
      </c>
      <c r="T32" s="4" t="str">
        <f t="shared" ca="1" si="68"/>
        <v>SI</v>
      </c>
      <c r="U32" s="140">
        <f t="shared" ca="1" si="6"/>
        <v>2</v>
      </c>
      <c r="V32" s="4" t="str">
        <f t="shared" ca="1" si="69"/>
        <v>SI</v>
      </c>
      <c r="W32" s="140">
        <f t="shared" ca="1" si="7"/>
        <v>2</v>
      </c>
      <c r="X32" s="4" t="str">
        <f t="shared" ca="1" si="70"/>
        <v>SI</v>
      </c>
      <c r="Y32" s="140">
        <f t="shared" ca="1" si="8"/>
        <v>4</v>
      </c>
      <c r="Z32" s="4" t="str">
        <f t="shared" ca="1" si="71"/>
        <v>Automaticamente</v>
      </c>
      <c r="AA32" s="140">
        <f t="shared" ca="1" si="9"/>
        <v>10</v>
      </c>
      <c r="AB32" s="4" t="str">
        <f t="shared" ca="1" si="72"/>
        <v>SI</v>
      </c>
      <c r="AC32" s="140">
        <f t="shared" ca="1" si="10"/>
        <v>10</v>
      </c>
      <c r="AD32" s="4" t="str">
        <f t="shared" ca="1" si="73"/>
        <v>N.R.</v>
      </c>
      <c r="AE32" s="140">
        <f t="shared" ca="1" si="11"/>
        <v>0</v>
      </c>
      <c r="AF32" s="4" t="str">
        <f t="shared" ca="1" si="74"/>
        <v>SI</v>
      </c>
      <c r="AG32" s="140">
        <f t="shared" ca="1" si="12"/>
        <v>6</v>
      </c>
      <c r="AH32" s="4" t="str">
        <f t="shared" ca="1" si="75"/>
        <v>--</v>
      </c>
      <c r="AI32" s="140">
        <f t="shared" ca="1" si="13"/>
        <v>0</v>
      </c>
      <c r="AJ32" s="4" t="str">
        <f t="shared" ca="1" si="76"/>
        <v>SI</v>
      </c>
      <c r="AK32" s="140">
        <f t="shared" ca="1" si="14"/>
        <v>10</v>
      </c>
      <c r="AL32" s="203" t="str">
        <f t="shared" ca="1" si="15"/>
        <v>ok</v>
      </c>
      <c r="AM32" s="4" t="str">
        <f t="shared" ca="1" si="77"/>
        <v>SI</v>
      </c>
      <c r="AN32" s="140">
        <f t="shared" ca="1" si="16"/>
        <v>10</v>
      </c>
      <c r="AO32" s="4" t="str">
        <f t="shared" ca="1" si="77"/>
        <v>SI</v>
      </c>
      <c r="AP32" s="140">
        <f t="shared" ca="1" si="17"/>
        <v>10</v>
      </c>
      <c r="AQ32" s="4" t="str">
        <f t="shared" ca="1" si="77"/>
        <v>SI</v>
      </c>
      <c r="AR32" s="140">
        <f t="shared" ca="1" si="18"/>
        <v>10</v>
      </c>
      <c r="AS32" s="4" t="b">
        <f t="shared" ca="1" si="77"/>
        <v>1</v>
      </c>
      <c r="AT32" s="140">
        <f t="shared" ca="1" si="19"/>
        <v>5</v>
      </c>
      <c r="AU32" s="4" t="b">
        <f t="shared" ca="1" si="77"/>
        <v>1</v>
      </c>
      <c r="AV32" s="140">
        <f t="shared" ca="1" si="20"/>
        <v>5</v>
      </c>
      <c r="AW32" s="4" t="b">
        <f t="shared" ca="1" si="78"/>
        <v>0</v>
      </c>
      <c r="AX32" s="140">
        <f t="shared" ca="1" si="21"/>
        <v>0</v>
      </c>
      <c r="AY32" s="4" t="str">
        <f t="shared" ca="1" si="79"/>
        <v>NO</v>
      </c>
      <c r="AZ32" s="140">
        <f t="shared" ca="1" si="22"/>
        <v>6</v>
      </c>
      <c r="BA32" s="4" t="str">
        <f t="shared" ca="1" si="80"/>
        <v>Nessuno</v>
      </c>
      <c r="BB32" s="140">
        <f t="shared" ca="1" si="23"/>
        <v>0</v>
      </c>
      <c r="BC32" s="4" t="str">
        <f t="shared" ca="1" si="81"/>
        <v>SI</v>
      </c>
      <c r="BD32" s="140">
        <f t="shared" ca="1" si="24"/>
        <v>0</v>
      </c>
      <c r="BE32" s="4" t="str">
        <f t="shared" ca="1" si="82"/>
        <v>Accesso remoto mediante  VPN</v>
      </c>
      <c r="BF32" s="140">
        <f t="shared" ca="1" si="25"/>
        <v>10</v>
      </c>
      <c r="BG32" s="4" t="str">
        <f t="shared" ca="1" si="83"/>
        <v>SI</v>
      </c>
      <c r="BH32" s="140">
        <f t="shared" ca="1" si="26"/>
        <v>6</v>
      </c>
      <c r="BI32" s="4" t="str">
        <f t="shared" ca="1" si="84"/>
        <v>SI</v>
      </c>
      <c r="BJ32" s="140">
        <f t="shared" ca="1" si="27"/>
        <v>4</v>
      </c>
      <c r="BK32" s="4" t="str">
        <f t="shared" ca="1" si="85"/>
        <v>SI</v>
      </c>
      <c r="BL32" s="140">
        <f t="shared" ca="1" si="28"/>
        <v>10</v>
      </c>
      <c r="BM32" s="4" t="str">
        <f t="shared" ca="1" si="86"/>
        <v>Sì, centralizzato</v>
      </c>
      <c r="BN32" s="140">
        <f t="shared" ca="1" si="29"/>
        <v>10</v>
      </c>
      <c r="BO32" s="203" t="str">
        <f t="shared" ca="1" si="87"/>
        <v>ok</v>
      </c>
      <c r="BP32" s="4" t="str">
        <f t="shared" ca="1" si="88"/>
        <v>--</v>
      </c>
      <c r="BQ32" s="140">
        <f t="shared" ca="1" si="30"/>
        <v>0</v>
      </c>
      <c r="BR32" s="4" t="str">
        <f t="shared" ca="1" si="88"/>
        <v>--</v>
      </c>
      <c r="BS32" s="140">
        <f t="shared" ca="1" si="31"/>
        <v>0</v>
      </c>
      <c r="BT32" s="4" t="str">
        <f t="shared" ca="1" si="88"/>
        <v>--</v>
      </c>
      <c r="BU32" s="140">
        <f t="shared" ca="1" si="32"/>
        <v>0</v>
      </c>
      <c r="BV32" s="4" t="str">
        <f t="shared" ca="1" si="88"/>
        <v>--</v>
      </c>
      <c r="BW32" s="140">
        <f t="shared" ca="1" si="33"/>
        <v>0</v>
      </c>
      <c r="BX32" s="4" t="str">
        <f t="shared" ca="1" si="88"/>
        <v>SI</v>
      </c>
      <c r="BY32" s="140">
        <f t="shared" ca="1" si="34"/>
        <v>10</v>
      </c>
      <c r="BZ32" s="4" t="str">
        <f t="shared" ca="1" si="89"/>
        <v>SI</v>
      </c>
      <c r="CA32" s="140">
        <f t="shared" ca="1" si="35"/>
        <v>10</v>
      </c>
      <c r="CB32" s="4" t="str">
        <f t="shared" ca="1" si="90"/>
        <v>SI</v>
      </c>
      <c r="CC32" s="140">
        <f t="shared" ca="1" si="36"/>
        <v>10</v>
      </c>
      <c r="CD32" s="4" t="str">
        <f t="shared" ca="1" si="91"/>
        <v>SI</v>
      </c>
      <c r="CE32" s="140">
        <f t="shared" ca="1" si="37"/>
        <v>10</v>
      </c>
      <c r="CF32" s="4" t="str">
        <f t="shared" ca="1" si="92"/>
        <v>NO</v>
      </c>
      <c r="CG32" s="140">
        <f t="shared" ca="1" si="38"/>
        <v>10</v>
      </c>
      <c r="CH32" s="4" t="str">
        <f t="shared" ca="1" si="93"/>
        <v>Rilevate &lt; 10</v>
      </c>
      <c r="CI32" s="140">
        <f t="shared" ca="1" si="39"/>
        <v>2</v>
      </c>
      <c r="CJ32" s="4" t="b">
        <f t="shared" ca="1" si="94"/>
        <v>0</v>
      </c>
      <c r="CK32" s="140">
        <f t="shared" ca="1" si="40"/>
        <v>0</v>
      </c>
      <c r="CL32" s="4" t="b">
        <f t="shared" ca="1" si="95"/>
        <v>0</v>
      </c>
      <c r="CM32" s="140">
        <f t="shared" ca="1" si="41"/>
        <v>0</v>
      </c>
      <c r="CN32" s="4" t="b">
        <f t="shared" ca="1" si="96"/>
        <v>0</v>
      </c>
      <c r="CO32" s="140">
        <f t="shared" ca="1" si="42"/>
        <v>0</v>
      </c>
      <c r="CP32" s="4" t="b">
        <f t="shared" ca="1" si="97"/>
        <v>0</v>
      </c>
      <c r="CQ32" s="140">
        <f t="shared" ca="1" si="43"/>
        <v>0</v>
      </c>
      <c r="CR32" s="203" t="str">
        <f t="shared" ca="1" si="98"/>
        <v>ok</v>
      </c>
      <c r="CS32" s="4" t="str">
        <f t="shared" ca="1" si="99"/>
        <v>SI</v>
      </c>
      <c r="CT32" s="140">
        <f t="shared" ca="1" si="44"/>
        <v>10</v>
      </c>
      <c r="CU32" s="4" t="str">
        <f t="shared" ca="1" si="99"/>
        <v>SI</v>
      </c>
      <c r="CV32" s="140">
        <f t="shared" ca="1" si="45"/>
        <v>10</v>
      </c>
      <c r="CW32" s="4" t="str">
        <f t="shared" ca="1" si="99"/>
        <v>--</v>
      </c>
      <c r="CX32" s="140">
        <f t="shared" ca="1" si="46"/>
        <v>0</v>
      </c>
      <c r="CY32" s="4" t="str">
        <f t="shared" ca="1" si="99"/>
        <v>SI</v>
      </c>
      <c r="CZ32" s="140">
        <f t="shared" ca="1" si="47"/>
        <v>10</v>
      </c>
      <c r="DA32" s="4" t="str">
        <f t="shared" ca="1" si="99"/>
        <v>SI</v>
      </c>
      <c r="DB32" s="140">
        <f t="shared" ca="1" si="48"/>
        <v>10</v>
      </c>
      <c r="DC32" s="4" t="str">
        <f t="shared" ca="1" si="100"/>
        <v>SI</v>
      </c>
      <c r="DD32" s="140">
        <f t="shared" ca="1" si="49"/>
        <v>10</v>
      </c>
      <c r="DE32" s="4" t="str">
        <f t="shared" ca="1" si="101"/>
        <v>--</v>
      </c>
      <c r="DF32" s="140">
        <f t="shared" ca="1" si="50"/>
        <v>0</v>
      </c>
      <c r="DG32" s="4" t="str">
        <f t="shared" ca="1" si="102"/>
        <v>--</v>
      </c>
      <c r="DH32" s="140">
        <f t="shared" ca="1" si="51"/>
        <v>0</v>
      </c>
      <c r="DI32" s="4" t="str">
        <f t="shared" ca="1" si="103"/>
        <v>--</v>
      </c>
      <c r="DJ32" s="140">
        <f t="shared" ca="1" si="52"/>
        <v>0</v>
      </c>
      <c r="DK32" s="4" t="str">
        <f t="shared" ca="1" si="104"/>
        <v>--</v>
      </c>
      <c r="DL32" s="140">
        <f t="shared" ca="1" si="53"/>
        <v>0</v>
      </c>
      <c r="DM32" s="4" t="str">
        <f t="shared" ca="1" si="105"/>
        <v>Non previsto audit</v>
      </c>
      <c r="DN32" s="140">
        <f t="shared" ca="1" si="54"/>
        <v>0</v>
      </c>
      <c r="DO32" s="4" t="str">
        <f t="shared" ca="1" si="106"/>
        <v>--</v>
      </c>
      <c r="DP32" s="140">
        <f t="shared" ca="1" si="55"/>
        <v>0</v>
      </c>
      <c r="DQ32" s="4" t="str">
        <f t="shared" ca="1" si="107"/>
        <v>--</v>
      </c>
      <c r="DR32" s="140">
        <f t="shared" ca="1" si="56"/>
        <v>0</v>
      </c>
      <c r="DS32" s="80" t="str">
        <f t="shared" ca="1" si="108"/>
        <v>--</v>
      </c>
      <c r="DT32" s="140">
        <f t="shared" ca="1" si="57"/>
        <v>0</v>
      </c>
      <c r="DU32" s="4" t="str">
        <f t="shared" ca="1" si="109"/>
        <v>--</v>
      </c>
      <c r="DV32" s="140">
        <f t="shared" ca="1" si="114"/>
        <v>0</v>
      </c>
      <c r="DW32" s="4" t="str">
        <f t="shared" ca="1" si="110"/>
        <v>SI</v>
      </c>
      <c r="DX32" s="140">
        <f t="shared" ca="1" si="58"/>
        <v>10</v>
      </c>
      <c r="DY32" s="4" t="str">
        <f t="shared" ca="1" si="111"/>
        <v>SI</v>
      </c>
      <c r="DZ32" s="140">
        <f t="shared" ca="1" si="59"/>
        <v>4</v>
      </c>
      <c r="EA32" s="80" t="str">
        <f t="shared" ca="1" si="112"/>
        <v>Inferiore al 10 %</v>
      </c>
      <c r="EB32" s="140">
        <f t="shared" ca="1" si="60"/>
        <v>2</v>
      </c>
      <c r="EC32" s="4">
        <f t="shared" ca="1" si="61"/>
        <v>281</v>
      </c>
      <c r="EF32" s="1"/>
      <c r="EH32" s="1"/>
      <c r="EJ32" s="1"/>
      <c r="EL32" s="1"/>
      <c r="EN32" s="1"/>
      <c r="EP32" s="1"/>
    </row>
    <row r="33" spans="1:146">
      <c r="A33" s="363" t="str">
        <f t="shared" ca="1" si="0"/>
        <v>Stato Maggiore Aeronautica</v>
      </c>
      <c r="B33" s="50">
        <f ca="1">VLOOKUP( TRIM(A33), Classificazione!$A$5:$B$71, 2, FALSE)</f>
        <v>300</v>
      </c>
      <c r="C33" s="364">
        <f ca="1">VLOOKUP(TRIM(A33), Classificazione!$A$5:$L$71, 12, FALSE)</f>
        <v>1000</v>
      </c>
      <c r="D33" s="4" t="str">
        <f t="shared" ca="1" si="62"/>
        <v>Parzialmente centralizzato</v>
      </c>
      <c r="E33" s="140">
        <f t="shared" ca="1" si="113"/>
        <v>8</v>
      </c>
      <c r="F33" s="4" t="str">
        <f t="shared" ca="1" si="62"/>
        <v>SI</v>
      </c>
      <c r="G33" s="140">
        <f t="shared" ca="1" si="115"/>
        <v>10</v>
      </c>
      <c r="H33" s="4" t="str">
        <f t="shared" ca="1" si="62"/>
        <v>SI</v>
      </c>
      <c r="I33" s="140">
        <f t="shared" ca="1" si="63"/>
        <v>10</v>
      </c>
      <c r="J33" s="4" t="b">
        <f t="shared" ca="1" si="62"/>
        <v>1</v>
      </c>
      <c r="K33" s="140">
        <f t="shared" ca="1" si="64"/>
        <v>5</v>
      </c>
      <c r="L33" s="4" t="b">
        <f t="shared" ca="1" si="62"/>
        <v>0</v>
      </c>
      <c r="M33" s="140">
        <f t="shared" ca="1" si="2"/>
        <v>0</v>
      </c>
      <c r="N33" s="4" t="b">
        <f t="shared" ca="1" si="65"/>
        <v>0</v>
      </c>
      <c r="O33" s="140">
        <f t="shared" ca="1" si="3"/>
        <v>0</v>
      </c>
      <c r="P33" s="4" t="b">
        <f t="shared" ca="1" si="66"/>
        <v>0</v>
      </c>
      <c r="Q33" s="140">
        <f t="shared" ca="1" si="4"/>
        <v>0</v>
      </c>
      <c r="R33" s="4" t="str">
        <f t="shared" ca="1" si="67"/>
        <v>UserId/Password</v>
      </c>
      <c r="S33" s="140">
        <f t="shared" ca="1" si="5"/>
        <v>2</v>
      </c>
      <c r="T33" s="4" t="str">
        <f t="shared" ca="1" si="68"/>
        <v>SI</v>
      </c>
      <c r="U33" s="140">
        <f t="shared" ca="1" si="6"/>
        <v>2</v>
      </c>
      <c r="V33" s="4" t="str">
        <f t="shared" ca="1" si="69"/>
        <v>SI</v>
      </c>
      <c r="W33" s="140">
        <f t="shared" ca="1" si="7"/>
        <v>2</v>
      </c>
      <c r="X33" s="4" t="str">
        <f t="shared" ca="1" si="70"/>
        <v>SI</v>
      </c>
      <c r="Y33" s="140">
        <f t="shared" ca="1" si="8"/>
        <v>4</v>
      </c>
      <c r="Z33" s="4" t="str">
        <f t="shared" ca="1" si="71"/>
        <v>Automaticamente</v>
      </c>
      <c r="AA33" s="140">
        <f t="shared" ca="1" si="9"/>
        <v>10</v>
      </c>
      <c r="AB33" s="4" t="str">
        <f t="shared" ca="1" si="72"/>
        <v>SI</v>
      </c>
      <c r="AC33" s="140">
        <f t="shared" ca="1" si="10"/>
        <v>10</v>
      </c>
      <c r="AD33" s="4" t="str">
        <f t="shared" ca="1" si="73"/>
        <v>Esistono postazioni mobili o supporti dati rimuovibili senza sistemi di prevenzione degli accessi</v>
      </c>
      <c r="AE33" s="140">
        <f t="shared" ca="1" si="11"/>
        <v>0</v>
      </c>
      <c r="AF33" s="4" t="str">
        <f t="shared" ca="1" si="74"/>
        <v>SI</v>
      </c>
      <c r="AG33" s="140">
        <f t="shared" ca="1" si="12"/>
        <v>6</v>
      </c>
      <c r="AH33" s="4" t="str">
        <f t="shared" ca="1" si="75"/>
        <v>SI</v>
      </c>
      <c r="AI33" s="140">
        <f t="shared" ca="1" si="13"/>
        <v>4</v>
      </c>
      <c r="AJ33" s="4" t="str">
        <f t="shared" ca="1" si="76"/>
        <v>SI</v>
      </c>
      <c r="AK33" s="140">
        <f t="shared" ca="1" si="14"/>
        <v>10</v>
      </c>
      <c r="AL33" s="203" t="str">
        <f t="shared" ca="1" si="15"/>
        <v>ok</v>
      </c>
      <c r="AM33" s="4" t="str">
        <f t="shared" ca="1" si="77"/>
        <v>SI</v>
      </c>
      <c r="AN33" s="140">
        <f t="shared" ca="1" si="16"/>
        <v>10</v>
      </c>
      <c r="AO33" s="4" t="str">
        <f t="shared" ca="1" si="77"/>
        <v>SI</v>
      </c>
      <c r="AP33" s="140">
        <f t="shared" ca="1" si="17"/>
        <v>10</v>
      </c>
      <c r="AQ33" s="4" t="str">
        <f t="shared" ca="1" si="77"/>
        <v>SI</v>
      </c>
      <c r="AR33" s="140">
        <f t="shared" ca="1" si="18"/>
        <v>10</v>
      </c>
      <c r="AS33" s="4" t="b">
        <f t="shared" ca="1" si="77"/>
        <v>1</v>
      </c>
      <c r="AT33" s="140">
        <f t="shared" ca="1" si="19"/>
        <v>5</v>
      </c>
      <c r="AU33" s="4" t="b">
        <f t="shared" ca="1" si="77"/>
        <v>1</v>
      </c>
      <c r="AV33" s="140">
        <f t="shared" ca="1" si="20"/>
        <v>5</v>
      </c>
      <c r="AW33" s="4" t="b">
        <f t="shared" ca="1" si="78"/>
        <v>0</v>
      </c>
      <c r="AX33" s="140">
        <f t="shared" ca="1" si="21"/>
        <v>0</v>
      </c>
      <c r="AY33" s="4" t="str">
        <f t="shared" ca="1" si="79"/>
        <v>NO</v>
      </c>
      <c r="AZ33" s="140">
        <f t="shared" ca="1" si="22"/>
        <v>6</v>
      </c>
      <c r="BA33" s="4" t="str">
        <f t="shared" ca="1" si="80"/>
        <v>Nessuno</v>
      </c>
      <c r="BB33" s="140">
        <f t="shared" ca="1" si="23"/>
        <v>0</v>
      </c>
      <c r="BC33" s="4" t="str">
        <f t="shared" ca="1" si="81"/>
        <v>NO</v>
      </c>
      <c r="BD33" s="140">
        <f t="shared" ca="1" si="24"/>
        <v>6</v>
      </c>
      <c r="BE33" s="4" t="str">
        <f t="shared" ca="1" si="82"/>
        <v>--</v>
      </c>
      <c r="BF33" s="140">
        <f t="shared" ca="1" si="25"/>
        <v>0</v>
      </c>
      <c r="BG33" s="4" t="str">
        <f t="shared" ca="1" si="83"/>
        <v>SI</v>
      </c>
      <c r="BH33" s="140">
        <f t="shared" ca="1" si="26"/>
        <v>6</v>
      </c>
      <c r="BI33" s="4" t="str">
        <f t="shared" ca="1" si="84"/>
        <v>SI</v>
      </c>
      <c r="BJ33" s="140">
        <f t="shared" ca="1" si="27"/>
        <v>4</v>
      </c>
      <c r="BK33" s="4" t="str">
        <f t="shared" ca="1" si="85"/>
        <v>SI</v>
      </c>
      <c r="BL33" s="140">
        <f t="shared" ca="1" si="28"/>
        <v>10</v>
      </c>
      <c r="BM33" s="4" t="str">
        <f t="shared" ca="1" si="86"/>
        <v>Sì, centralizzato</v>
      </c>
      <c r="BN33" s="140">
        <f t="shared" ca="1" si="29"/>
        <v>10</v>
      </c>
      <c r="BO33" s="203" t="str">
        <f t="shared" ca="1" si="87"/>
        <v>ok</v>
      </c>
      <c r="BP33" s="4" t="str">
        <f t="shared" ca="1" si="88"/>
        <v>SI</v>
      </c>
      <c r="BQ33" s="140">
        <f t="shared" ca="1" si="30"/>
        <v>10</v>
      </c>
      <c r="BR33" s="4" t="str">
        <f t="shared" ca="1" si="88"/>
        <v>Sì, solo per le applicazioni più importanti</v>
      </c>
      <c r="BS33" s="140">
        <f t="shared" ca="1" si="31"/>
        <v>6</v>
      </c>
      <c r="BT33" s="4" t="str">
        <f t="shared" ca="1" si="88"/>
        <v>Sì, solo per le applicazioni più importanti</v>
      </c>
      <c r="BU33" s="140">
        <f t="shared" ca="1" si="32"/>
        <v>6</v>
      </c>
      <c r="BV33" s="4" t="str">
        <f t="shared" ca="1" si="88"/>
        <v>SI</v>
      </c>
      <c r="BW33" s="140">
        <f t="shared" ca="1" si="33"/>
        <v>10</v>
      </c>
      <c r="BX33" s="4" t="str">
        <f t="shared" ca="1" si="88"/>
        <v>SI</v>
      </c>
      <c r="BY33" s="140">
        <f t="shared" ca="1" si="34"/>
        <v>10</v>
      </c>
      <c r="BZ33" s="4" t="str">
        <f t="shared" ca="1" si="89"/>
        <v>SI</v>
      </c>
      <c r="CA33" s="140">
        <f t="shared" ca="1" si="35"/>
        <v>10</v>
      </c>
      <c r="CB33" s="4" t="str">
        <f t="shared" ca="1" si="90"/>
        <v>SI</v>
      </c>
      <c r="CC33" s="140">
        <f t="shared" ca="1" si="36"/>
        <v>10</v>
      </c>
      <c r="CD33" s="4" t="str">
        <f t="shared" ca="1" si="91"/>
        <v>SI</v>
      </c>
      <c r="CE33" s="140">
        <f t="shared" ca="1" si="37"/>
        <v>10</v>
      </c>
      <c r="CF33" s="4" t="str">
        <f t="shared" ca="1" si="92"/>
        <v>NO</v>
      </c>
      <c r="CG33" s="140">
        <f t="shared" ca="1" si="38"/>
        <v>10</v>
      </c>
      <c r="CH33" s="4" t="str">
        <f t="shared" ca="1" si="93"/>
        <v>Rilevate &lt; 10</v>
      </c>
      <c r="CI33" s="140">
        <f t="shared" ca="1" si="39"/>
        <v>2</v>
      </c>
      <c r="CJ33" s="4" t="b">
        <f t="shared" ca="1" si="94"/>
        <v>0</v>
      </c>
      <c r="CK33" s="140">
        <f t="shared" ca="1" si="40"/>
        <v>0</v>
      </c>
      <c r="CL33" s="4" t="b">
        <f t="shared" ca="1" si="95"/>
        <v>0</v>
      </c>
      <c r="CM33" s="140">
        <f t="shared" ca="1" si="41"/>
        <v>0</v>
      </c>
      <c r="CN33" s="4" t="b">
        <f t="shared" ca="1" si="96"/>
        <v>0</v>
      </c>
      <c r="CO33" s="140">
        <f t="shared" ca="1" si="42"/>
        <v>0</v>
      </c>
      <c r="CP33" s="4" t="b">
        <f t="shared" ca="1" si="97"/>
        <v>0</v>
      </c>
      <c r="CQ33" s="140">
        <f t="shared" ca="1" si="43"/>
        <v>0</v>
      </c>
      <c r="CR33" s="203" t="str">
        <f t="shared" ca="1" si="98"/>
        <v>ok</v>
      </c>
      <c r="CS33" s="4" t="str">
        <f t="shared" ca="1" si="99"/>
        <v>SI</v>
      </c>
      <c r="CT33" s="140">
        <f t="shared" ca="1" si="44"/>
        <v>10</v>
      </c>
      <c r="CU33" s="4" t="str">
        <f t="shared" ca="1" si="99"/>
        <v>SI</v>
      </c>
      <c r="CV33" s="140">
        <f t="shared" ca="1" si="45"/>
        <v>10</v>
      </c>
      <c r="CW33" s="4" t="str">
        <f t="shared" ca="1" si="99"/>
        <v>Sì, alcuni</v>
      </c>
      <c r="CX33" s="140">
        <f t="shared" ca="1" si="46"/>
        <v>6</v>
      </c>
      <c r="CY33" s="4" t="str">
        <f t="shared" ca="1" si="99"/>
        <v>SI</v>
      </c>
      <c r="CZ33" s="140">
        <f t="shared" ca="1" si="47"/>
        <v>10</v>
      </c>
      <c r="DA33" s="4" t="str">
        <f t="shared" ca="1" si="99"/>
        <v>SI</v>
      </c>
      <c r="DB33" s="140">
        <f t="shared" ca="1" si="48"/>
        <v>10</v>
      </c>
      <c r="DC33" s="4" t="str">
        <f t="shared" ca="1" si="100"/>
        <v>SI</v>
      </c>
      <c r="DD33" s="140">
        <f t="shared" ca="1" si="49"/>
        <v>10</v>
      </c>
      <c r="DE33" s="4" t="str">
        <f t="shared" ca="1" si="101"/>
        <v>SI</v>
      </c>
      <c r="DF33" s="140">
        <f t="shared" ca="1" si="50"/>
        <v>10</v>
      </c>
      <c r="DG33" s="4" t="str">
        <f t="shared" ca="1" si="102"/>
        <v>SI</v>
      </c>
      <c r="DH33" s="140">
        <f t="shared" ca="1" si="51"/>
        <v>6</v>
      </c>
      <c r="DI33" s="4" t="str">
        <f t="shared" ca="1" si="103"/>
        <v>Sì</v>
      </c>
      <c r="DJ33" s="140">
        <f t="shared" ca="1" si="52"/>
        <v>4</v>
      </c>
      <c r="DK33" s="4" t="str">
        <f t="shared" ca="1" si="104"/>
        <v>Solo personale interno</v>
      </c>
      <c r="DL33" s="140">
        <f t="shared" ca="1" si="53"/>
        <v>10</v>
      </c>
      <c r="DM33" s="4" t="str">
        <f t="shared" ca="1" si="105"/>
        <v>Non previsto audit</v>
      </c>
      <c r="DN33" s="140">
        <f t="shared" ca="1" si="54"/>
        <v>0</v>
      </c>
      <c r="DO33" s="4" t="str">
        <f t="shared" ca="1" si="106"/>
        <v>--</v>
      </c>
      <c r="DP33" s="140">
        <f t="shared" ca="1" si="55"/>
        <v>0</v>
      </c>
      <c r="DQ33" s="4" t="str">
        <f t="shared" ca="1" si="107"/>
        <v>SI</v>
      </c>
      <c r="DR33" s="140">
        <f t="shared" ca="1" si="56"/>
        <v>4</v>
      </c>
      <c r="DS33" s="80" t="str">
        <f t="shared" ca="1" si="108"/>
        <v>Compresa tra 5 % e 10%</v>
      </c>
      <c r="DT33" s="140">
        <f t="shared" ca="1" si="57"/>
        <v>4</v>
      </c>
      <c r="DU33" s="4" t="str">
        <f t="shared" ca="1" si="109"/>
        <v>No</v>
      </c>
      <c r="DV33" s="140">
        <f t="shared" ca="1" si="114"/>
        <v>0</v>
      </c>
      <c r="DW33" s="4" t="str">
        <f t="shared" ca="1" si="110"/>
        <v>SI</v>
      </c>
      <c r="DX33" s="140">
        <f t="shared" ca="1" si="58"/>
        <v>10</v>
      </c>
      <c r="DY33" s="4" t="str">
        <f t="shared" ca="1" si="111"/>
        <v>SI</v>
      </c>
      <c r="DZ33" s="140">
        <f t="shared" ca="1" si="59"/>
        <v>4</v>
      </c>
      <c r="EA33" s="80" t="str">
        <f t="shared" ca="1" si="112"/>
        <v>Inferiore al 10 %</v>
      </c>
      <c r="EB33" s="140">
        <f t="shared" ca="1" si="60"/>
        <v>2</v>
      </c>
      <c r="EC33" s="4">
        <f t="shared" ca="1" si="61"/>
        <v>359</v>
      </c>
      <c r="EF33" s="1"/>
      <c r="EH33" s="1"/>
      <c r="EJ33" s="1"/>
      <c r="EL33" s="1"/>
      <c r="EN33" s="1"/>
      <c r="EP33" s="1"/>
    </row>
    <row r="34" spans="1:146">
      <c r="A34" s="363" t="str">
        <f t="shared" ca="1" si="0"/>
        <v xml:space="preserve">Arma dei Carabinieri                                 </v>
      </c>
      <c r="B34" s="50">
        <f ca="1">VLOOKUP( TRIM(A34), Classificazione!$A$5:$B$71, 2, FALSE)</f>
        <v>52</v>
      </c>
      <c r="C34" s="364">
        <f ca="1">VLOOKUP(TRIM(A34), Classificazione!$A$5:$L$71, 12, FALSE)</f>
        <v>110070</v>
      </c>
      <c r="D34" s="4" t="str">
        <f t="shared" ca="1" si="62"/>
        <v>Parzialmente centralizzato</v>
      </c>
      <c r="E34" s="140">
        <f t="shared" ca="1" si="113"/>
        <v>8</v>
      </c>
      <c r="F34" s="4" t="str">
        <f t="shared" ca="1" si="62"/>
        <v>SI</v>
      </c>
      <c r="G34" s="140">
        <f t="shared" ca="1" si="115"/>
        <v>10</v>
      </c>
      <c r="H34" s="4" t="str">
        <f t="shared" ca="1" si="62"/>
        <v>SI</v>
      </c>
      <c r="I34" s="140">
        <f t="shared" ca="1" si="63"/>
        <v>10</v>
      </c>
      <c r="J34" s="4" t="b">
        <f t="shared" ca="1" si="62"/>
        <v>0</v>
      </c>
      <c r="K34" s="140">
        <f t="shared" ca="1" si="64"/>
        <v>0</v>
      </c>
      <c r="L34" s="4" t="b">
        <f t="shared" ca="1" si="62"/>
        <v>0</v>
      </c>
      <c r="M34" s="140">
        <f t="shared" ca="1" si="2"/>
        <v>0</v>
      </c>
      <c r="N34" s="4" t="b">
        <f t="shared" ca="1" si="65"/>
        <v>1</v>
      </c>
      <c r="O34" s="140">
        <f t="shared" ca="1" si="3"/>
        <v>3</v>
      </c>
      <c r="P34" s="4" t="b">
        <f t="shared" ca="1" si="66"/>
        <v>0</v>
      </c>
      <c r="Q34" s="140">
        <f t="shared" ca="1" si="4"/>
        <v>0</v>
      </c>
      <c r="R34" s="4" t="str">
        <f t="shared" ca="1" si="67"/>
        <v>UserId/Password</v>
      </c>
      <c r="S34" s="140">
        <f t="shared" ca="1" si="5"/>
        <v>2</v>
      </c>
      <c r="T34" s="4" t="str">
        <f t="shared" ca="1" si="68"/>
        <v>SI</v>
      </c>
      <c r="U34" s="140">
        <f t="shared" ca="1" si="6"/>
        <v>2</v>
      </c>
      <c r="V34" s="4" t="str">
        <f t="shared" ca="1" si="69"/>
        <v>NO</v>
      </c>
      <c r="W34" s="140">
        <f t="shared" ca="1" si="7"/>
        <v>0</v>
      </c>
      <c r="X34" s="4" t="str">
        <f t="shared" ca="1" si="70"/>
        <v>SI</v>
      </c>
      <c r="Y34" s="140">
        <f t="shared" ca="1" si="8"/>
        <v>4</v>
      </c>
      <c r="Z34" s="4" t="str">
        <f t="shared" ca="1" si="71"/>
        <v>Automaticamente</v>
      </c>
      <c r="AA34" s="140">
        <f t="shared" ca="1" si="9"/>
        <v>10</v>
      </c>
      <c r="AB34" s="4" t="str">
        <f t="shared" ca="1" si="72"/>
        <v>NO</v>
      </c>
      <c r="AC34" s="140">
        <f t="shared" ca="1" si="10"/>
        <v>0</v>
      </c>
      <c r="AD34" s="4" t="str">
        <f t="shared" ca="1" si="73"/>
        <v>Esistono postazioni mobili o supporti dati rimuovibili con sistemi di prevenzione degli accessi</v>
      </c>
      <c r="AE34" s="140">
        <f t="shared" ca="1" si="11"/>
        <v>10</v>
      </c>
      <c r="AF34" s="4" t="str">
        <f t="shared" ca="1" si="74"/>
        <v>SI</v>
      </c>
      <c r="AG34" s="140">
        <f t="shared" ca="1" si="12"/>
        <v>6</v>
      </c>
      <c r="AH34" s="4" t="str">
        <f t="shared" ca="1" si="75"/>
        <v>SI</v>
      </c>
      <c r="AI34" s="140">
        <f t="shared" ca="1" si="13"/>
        <v>4</v>
      </c>
      <c r="AJ34" s="4" t="str">
        <f t="shared" ca="1" si="76"/>
        <v>SI</v>
      </c>
      <c r="AK34" s="140">
        <f t="shared" ca="1" si="14"/>
        <v>10</v>
      </c>
      <c r="AL34" s="203" t="str">
        <f t="shared" ca="1" si="15"/>
        <v>ok</v>
      </c>
      <c r="AM34" s="4" t="str">
        <f t="shared" ca="1" si="77"/>
        <v>SI</v>
      </c>
      <c r="AN34" s="140">
        <f t="shared" ca="1" si="16"/>
        <v>10</v>
      </c>
      <c r="AO34" s="4" t="str">
        <f t="shared" ca="1" si="77"/>
        <v>SI</v>
      </c>
      <c r="AP34" s="140">
        <f t="shared" ca="1" si="17"/>
        <v>10</v>
      </c>
      <c r="AQ34" s="4" t="str">
        <f t="shared" ca="1" si="77"/>
        <v>SI</v>
      </c>
      <c r="AR34" s="140">
        <f t="shared" ca="1" si="18"/>
        <v>10</v>
      </c>
      <c r="AS34" s="4" t="b">
        <f t="shared" ca="1" si="77"/>
        <v>1</v>
      </c>
      <c r="AT34" s="140">
        <f t="shared" ca="1" si="19"/>
        <v>5</v>
      </c>
      <c r="AU34" s="4" t="b">
        <f t="shared" ca="1" si="77"/>
        <v>0</v>
      </c>
      <c r="AV34" s="140">
        <f t="shared" ca="1" si="20"/>
        <v>0</v>
      </c>
      <c r="AW34" s="4" t="b">
        <f t="shared" ca="1" si="78"/>
        <v>0</v>
      </c>
      <c r="AX34" s="140">
        <f t="shared" ca="1" si="21"/>
        <v>0</v>
      </c>
      <c r="AY34" s="4" t="str">
        <f t="shared" ca="1" si="79"/>
        <v>SI</v>
      </c>
      <c r="AZ34" s="140">
        <f t="shared" ca="1" si="22"/>
        <v>0</v>
      </c>
      <c r="BA34" s="4" t="str">
        <f t="shared" ca="1" si="80"/>
        <v>WEP</v>
      </c>
      <c r="BB34" s="140">
        <f t="shared" ca="1" si="23"/>
        <v>4</v>
      </c>
      <c r="BC34" s="4" t="str">
        <f t="shared" ca="1" si="81"/>
        <v>SI</v>
      </c>
      <c r="BD34" s="140">
        <f t="shared" ca="1" si="24"/>
        <v>0</v>
      </c>
      <c r="BE34" s="4" t="str">
        <f t="shared" ca="1" si="82"/>
        <v>Accesso remoto senza  VPN</v>
      </c>
      <c r="BF34" s="140">
        <f t="shared" ca="1" si="25"/>
        <v>0</v>
      </c>
      <c r="BG34" s="4" t="str">
        <f t="shared" ca="1" si="83"/>
        <v>SI</v>
      </c>
      <c r="BH34" s="140">
        <f t="shared" ca="1" si="26"/>
        <v>6</v>
      </c>
      <c r="BI34" s="4" t="str">
        <f t="shared" ca="1" si="84"/>
        <v>SI</v>
      </c>
      <c r="BJ34" s="140">
        <f t="shared" ca="1" si="27"/>
        <v>4</v>
      </c>
      <c r="BK34" s="4" t="str">
        <f t="shared" ca="1" si="85"/>
        <v>NO</v>
      </c>
      <c r="BL34" s="140">
        <f t="shared" ca="1" si="28"/>
        <v>0</v>
      </c>
      <c r="BM34" s="4" t="str">
        <f t="shared" ca="1" si="86"/>
        <v>Sì, centralizzato</v>
      </c>
      <c r="BN34" s="140">
        <f t="shared" ca="1" si="29"/>
        <v>10</v>
      </c>
      <c r="BO34" s="203" t="str">
        <f t="shared" ca="1" si="87"/>
        <v>ok</v>
      </c>
      <c r="BP34" s="4" t="str">
        <f t="shared" ca="1" si="88"/>
        <v>SI</v>
      </c>
      <c r="BQ34" s="140">
        <f t="shared" ca="1" si="30"/>
        <v>10</v>
      </c>
      <c r="BR34" s="4" t="str">
        <f t="shared" ca="1" si="88"/>
        <v>Sì, solo per le applicazioni più importanti</v>
      </c>
      <c r="BS34" s="140">
        <f t="shared" ca="1" si="31"/>
        <v>6</v>
      </c>
      <c r="BT34" s="4" t="str">
        <f t="shared" ca="1" si="88"/>
        <v>Sì, solo per le applicazioni più importanti</v>
      </c>
      <c r="BU34" s="140">
        <f t="shared" ca="1" si="32"/>
        <v>6</v>
      </c>
      <c r="BV34" s="4" t="str">
        <f t="shared" ca="1" si="88"/>
        <v>SI</v>
      </c>
      <c r="BW34" s="140">
        <f t="shared" ca="1" si="33"/>
        <v>10</v>
      </c>
      <c r="BX34" s="4" t="str">
        <f t="shared" ca="1" si="88"/>
        <v>SI</v>
      </c>
      <c r="BY34" s="140">
        <f t="shared" ca="1" si="34"/>
        <v>10</v>
      </c>
      <c r="BZ34" s="4" t="str">
        <f t="shared" ca="1" si="89"/>
        <v>SI</v>
      </c>
      <c r="CA34" s="140">
        <f t="shared" ca="1" si="35"/>
        <v>10</v>
      </c>
      <c r="CB34" s="4" t="str">
        <f t="shared" ca="1" si="90"/>
        <v>SI</v>
      </c>
      <c r="CC34" s="140">
        <f t="shared" ca="1" si="36"/>
        <v>10</v>
      </c>
      <c r="CD34" s="4" t="str">
        <f t="shared" ca="1" si="91"/>
        <v>SI</v>
      </c>
      <c r="CE34" s="140">
        <f t="shared" ca="1" si="37"/>
        <v>10</v>
      </c>
      <c r="CF34" s="4" t="str">
        <f t="shared" ca="1" si="92"/>
        <v>NO</v>
      </c>
      <c r="CG34" s="140">
        <f t="shared" ca="1" si="38"/>
        <v>10</v>
      </c>
      <c r="CH34" s="4" t="str">
        <f t="shared" ca="1" si="93"/>
        <v>Rilevate &lt; 10</v>
      </c>
      <c r="CI34" s="140">
        <f t="shared" ca="1" si="39"/>
        <v>2</v>
      </c>
      <c r="CJ34" s="4" t="b">
        <f t="shared" ca="1" si="94"/>
        <v>0</v>
      </c>
      <c r="CK34" s="140">
        <f t="shared" ca="1" si="40"/>
        <v>0</v>
      </c>
      <c r="CL34" s="4" t="b">
        <f t="shared" ca="1" si="95"/>
        <v>0</v>
      </c>
      <c r="CM34" s="140">
        <f t="shared" ca="1" si="41"/>
        <v>0</v>
      </c>
      <c r="CN34" s="4" t="b">
        <f t="shared" ca="1" si="96"/>
        <v>0</v>
      </c>
      <c r="CO34" s="140">
        <f t="shared" ca="1" si="42"/>
        <v>0</v>
      </c>
      <c r="CP34" s="4" t="b">
        <f t="shared" ca="1" si="97"/>
        <v>0</v>
      </c>
      <c r="CQ34" s="140">
        <f t="shared" ca="1" si="43"/>
        <v>0</v>
      </c>
      <c r="CR34" s="203" t="str">
        <f t="shared" ca="1" si="98"/>
        <v>ok</v>
      </c>
      <c r="CS34" s="4" t="str">
        <f t="shared" ca="1" si="99"/>
        <v>SI</v>
      </c>
      <c r="CT34" s="140">
        <f t="shared" ca="1" si="44"/>
        <v>10</v>
      </c>
      <c r="CU34" s="4" t="str">
        <f t="shared" ca="1" si="99"/>
        <v>SI</v>
      </c>
      <c r="CV34" s="140">
        <f t="shared" ca="1" si="45"/>
        <v>10</v>
      </c>
      <c r="CW34" s="4" t="str">
        <f t="shared" ca="1" si="99"/>
        <v>Sì, tutti</v>
      </c>
      <c r="CX34" s="140">
        <f t="shared" ca="1" si="46"/>
        <v>10</v>
      </c>
      <c r="CY34" s="4" t="str">
        <f t="shared" ca="1" si="99"/>
        <v>SI</v>
      </c>
      <c r="CZ34" s="140">
        <f t="shared" ca="1" si="47"/>
        <v>10</v>
      </c>
      <c r="DA34" s="4" t="str">
        <f t="shared" ca="1" si="99"/>
        <v>SI</v>
      </c>
      <c r="DB34" s="140">
        <f t="shared" ca="1" si="48"/>
        <v>10</v>
      </c>
      <c r="DC34" s="4" t="str">
        <f t="shared" ca="1" si="100"/>
        <v>SI</v>
      </c>
      <c r="DD34" s="140">
        <f t="shared" ca="1" si="49"/>
        <v>10</v>
      </c>
      <c r="DE34" s="4" t="str">
        <f t="shared" ca="1" si="101"/>
        <v>SI</v>
      </c>
      <c r="DF34" s="140">
        <f t="shared" ca="1" si="50"/>
        <v>10</v>
      </c>
      <c r="DG34" s="4" t="str">
        <f t="shared" ca="1" si="102"/>
        <v>SI</v>
      </c>
      <c r="DH34" s="140">
        <f t="shared" ca="1" si="51"/>
        <v>6</v>
      </c>
      <c r="DI34" s="4" t="str">
        <f t="shared" ca="1" si="103"/>
        <v>Sì</v>
      </c>
      <c r="DJ34" s="140">
        <f t="shared" ca="1" si="52"/>
        <v>4</v>
      </c>
      <c r="DK34" s="4" t="str">
        <f t="shared" ca="1" si="104"/>
        <v>Solo personale interno</v>
      </c>
      <c r="DL34" s="140">
        <f t="shared" ca="1" si="53"/>
        <v>10</v>
      </c>
      <c r="DM34" s="4" t="str">
        <f t="shared" ca="1" si="105"/>
        <v>Non previsto audit</v>
      </c>
      <c r="DN34" s="140">
        <f t="shared" ca="1" si="54"/>
        <v>0</v>
      </c>
      <c r="DO34" s="4" t="str">
        <f t="shared" ca="1" si="106"/>
        <v>--</v>
      </c>
      <c r="DP34" s="140">
        <f t="shared" ca="1" si="55"/>
        <v>0</v>
      </c>
      <c r="DQ34" s="4" t="str">
        <f t="shared" ca="1" si="107"/>
        <v>SI</v>
      </c>
      <c r="DR34" s="140">
        <f t="shared" ca="1" si="56"/>
        <v>4</v>
      </c>
      <c r="DS34" s="80" t="str">
        <f t="shared" ca="1" si="108"/>
        <v>Compresa tra 5 % e 10%</v>
      </c>
      <c r="DT34" s="140">
        <f t="shared" ca="1" si="57"/>
        <v>4</v>
      </c>
      <c r="DU34" s="4" t="str">
        <f t="shared" ca="1" si="109"/>
        <v>Sì, con copertura analisi rischi parziale</v>
      </c>
      <c r="DV34" s="140">
        <f t="shared" ca="1" si="114"/>
        <v>8</v>
      </c>
      <c r="DW34" s="4" t="str">
        <f t="shared" ca="1" si="110"/>
        <v>SI</v>
      </c>
      <c r="DX34" s="140">
        <f t="shared" ca="1" si="58"/>
        <v>10</v>
      </c>
      <c r="DY34" s="4" t="str">
        <f t="shared" ca="1" si="111"/>
        <v>SI</v>
      </c>
      <c r="DZ34" s="140">
        <f t="shared" ca="1" si="59"/>
        <v>4</v>
      </c>
      <c r="EA34" s="80" t="str">
        <f t="shared" ca="1" si="112"/>
        <v>Maggiore del 50%</v>
      </c>
      <c r="EB34" s="140">
        <f t="shared" ca="1" si="60"/>
        <v>8</v>
      </c>
      <c r="EC34" s="4">
        <f t="shared" ca="1" si="61"/>
        <v>350</v>
      </c>
      <c r="EF34" s="1"/>
      <c r="EH34" s="1"/>
      <c r="EJ34" s="1"/>
      <c r="EL34" s="1"/>
      <c r="EN34" s="1"/>
      <c r="EP34" s="1"/>
    </row>
    <row r="35" spans="1:146">
      <c r="A35" s="363" t="str">
        <f t="shared" ca="1" si="0"/>
        <v>Dipartimento delle Finanze</v>
      </c>
      <c r="B35" s="50">
        <f ca="1">VLOOKUP( TRIM(A35), Classificazione!$A$5:$B$71, 2, FALSE)</f>
        <v>72</v>
      </c>
      <c r="C35" s="364">
        <f ca="1">VLOOKUP(TRIM(A35), Classificazione!$A$5:$L$71, 12, FALSE)</f>
        <v>3271</v>
      </c>
      <c r="D35" s="4" t="str">
        <f t="shared" ca="1" si="62"/>
        <v>Parzialmente centralizzato</v>
      </c>
      <c r="E35" s="140">
        <f t="shared" ca="1" si="113"/>
        <v>8</v>
      </c>
      <c r="F35" s="4" t="str">
        <f t="shared" ca="1" si="62"/>
        <v>SI</v>
      </c>
      <c r="G35" s="140">
        <f t="shared" ca="1" si="115"/>
        <v>10</v>
      </c>
      <c r="H35" s="4" t="str">
        <f t="shared" ca="1" si="62"/>
        <v>SI</v>
      </c>
      <c r="I35" s="140">
        <f t="shared" ca="1" si="63"/>
        <v>10</v>
      </c>
      <c r="J35" s="4" t="b">
        <f t="shared" ca="1" si="62"/>
        <v>1</v>
      </c>
      <c r="K35" s="140">
        <f t="shared" ca="1" si="64"/>
        <v>5</v>
      </c>
      <c r="L35" s="4" t="b">
        <f t="shared" ca="1" si="62"/>
        <v>0</v>
      </c>
      <c r="M35" s="140">
        <f t="shared" ca="1" si="2"/>
        <v>0</v>
      </c>
      <c r="N35" s="4" t="b">
        <f t="shared" ca="1" si="65"/>
        <v>0</v>
      </c>
      <c r="O35" s="140">
        <f t="shared" ca="1" si="3"/>
        <v>0</v>
      </c>
      <c r="P35" s="4" t="b">
        <f t="shared" ca="1" si="66"/>
        <v>0</v>
      </c>
      <c r="Q35" s="140">
        <f t="shared" ca="1" si="4"/>
        <v>0</v>
      </c>
      <c r="R35" s="4" t="str">
        <f t="shared" ca="1" si="67"/>
        <v>UserId/Password</v>
      </c>
      <c r="S35" s="140">
        <f t="shared" ca="1" si="5"/>
        <v>2</v>
      </c>
      <c r="T35" s="4" t="str">
        <f t="shared" ca="1" si="68"/>
        <v>SI</v>
      </c>
      <c r="U35" s="140">
        <f t="shared" ca="1" si="6"/>
        <v>2</v>
      </c>
      <c r="V35" s="4" t="str">
        <f t="shared" ca="1" si="69"/>
        <v>SI</v>
      </c>
      <c r="W35" s="140">
        <f t="shared" ca="1" si="7"/>
        <v>2</v>
      </c>
      <c r="X35" s="4" t="str">
        <f t="shared" ca="1" si="70"/>
        <v>SI</v>
      </c>
      <c r="Y35" s="140">
        <f t="shared" ca="1" si="8"/>
        <v>4</v>
      </c>
      <c r="Z35" s="4" t="str">
        <f t="shared" ca="1" si="71"/>
        <v>--</v>
      </c>
      <c r="AA35" s="140">
        <f t="shared" ca="1" si="9"/>
        <v>0</v>
      </c>
      <c r="AB35" s="4" t="str">
        <f t="shared" ca="1" si="72"/>
        <v>--</v>
      </c>
      <c r="AC35" s="140">
        <f t="shared" ca="1" si="10"/>
        <v>0</v>
      </c>
      <c r="AD35" s="4" t="str">
        <f t="shared" ca="1" si="73"/>
        <v>Esistono postazioni mobili o supporti dati rimuovibili con sistemi di prevenzione degli accessi</v>
      </c>
      <c r="AE35" s="140">
        <f t="shared" ca="1" si="11"/>
        <v>10</v>
      </c>
      <c r="AF35" s="4" t="str">
        <f t="shared" ca="1" si="74"/>
        <v>SI</v>
      </c>
      <c r="AG35" s="140">
        <f t="shared" ca="1" si="12"/>
        <v>6</v>
      </c>
      <c r="AH35" s="4" t="str">
        <f t="shared" ca="1" si="75"/>
        <v>SI</v>
      </c>
      <c r="AI35" s="140">
        <f t="shared" ca="1" si="13"/>
        <v>4</v>
      </c>
      <c r="AJ35" s="4" t="str">
        <f t="shared" ca="1" si="76"/>
        <v>SI</v>
      </c>
      <c r="AK35" s="140">
        <f t="shared" ca="1" si="14"/>
        <v>10</v>
      </c>
      <c r="AL35" s="203" t="str">
        <f t="shared" ca="1" si="15"/>
        <v>ok</v>
      </c>
      <c r="AM35" s="4" t="str">
        <f t="shared" ca="1" si="77"/>
        <v>SI</v>
      </c>
      <c r="AN35" s="140">
        <f t="shared" ca="1" si="16"/>
        <v>10</v>
      </c>
      <c r="AO35" s="4" t="str">
        <f t="shared" ca="1" si="77"/>
        <v>SI</v>
      </c>
      <c r="AP35" s="140">
        <f t="shared" ca="1" si="17"/>
        <v>10</v>
      </c>
      <c r="AQ35" s="4" t="str">
        <f t="shared" ca="1" si="77"/>
        <v>SI</v>
      </c>
      <c r="AR35" s="140">
        <f t="shared" ca="1" si="18"/>
        <v>10</v>
      </c>
      <c r="AS35" s="4" t="b">
        <f t="shared" ca="1" si="77"/>
        <v>0</v>
      </c>
      <c r="AT35" s="140">
        <f t="shared" ca="1" si="19"/>
        <v>0</v>
      </c>
      <c r="AU35" s="4" t="b">
        <f t="shared" ca="1" si="77"/>
        <v>1</v>
      </c>
      <c r="AV35" s="140">
        <f t="shared" ca="1" si="20"/>
        <v>5</v>
      </c>
      <c r="AW35" s="4" t="b">
        <f t="shared" ca="1" si="78"/>
        <v>0</v>
      </c>
      <c r="AX35" s="140">
        <f t="shared" ca="1" si="21"/>
        <v>0</v>
      </c>
      <c r="AY35" s="4" t="str">
        <f t="shared" ca="1" si="79"/>
        <v>NO</v>
      </c>
      <c r="AZ35" s="140">
        <f t="shared" ca="1" si="22"/>
        <v>6</v>
      </c>
      <c r="BA35" s="4" t="str">
        <f t="shared" ca="1" si="80"/>
        <v>Nessuno</v>
      </c>
      <c r="BB35" s="140">
        <f t="shared" ca="1" si="23"/>
        <v>0</v>
      </c>
      <c r="BC35" s="4" t="str">
        <f t="shared" ca="1" si="81"/>
        <v>SI</v>
      </c>
      <c r="BD35" s="140">
        <f t="shared" ca="1" si="24"/>
        <v>0</v>
      </c>
      <c r="BE35" s="4" t="str">
        <f t="shared" ca="1" si="82"/>
        <v>Accesso remoto mediante  VPN</v>
      </c>
      <c r="BF35" s="140">
        <f t="shared" ca="1" si="25"/>
        <v>10</v>
      </c>
      <c r="BG35" s="4" t="str">
        <f t="shared" ca="1" si="83"/>
        <v>SI</v>
      </c>
      <c r="BH35" s="140">
        <f t="shared" ca="1" si="26"/>
        <v>6</v>
      </c>
      <c r="BI35" s="4" t="str">
        <f t="shared" ca="1" si="84"/>
        <v>SI</v>
      </c>
      <c r="BJ35" s="140">
        <f t="shared" ca="1" si="27"/>
        <v>4</v>
      </c>
      <c r="BK35" s="4" t="str">
        <f t="shared" ca="1" si="85"/>
        <v>SI</v>
      </c>
      <c r="BL35" s="140">
        <f t="shared" ca="1" si="28"/>
        <v>10</v>
      </c>
      <c r="BM35" s="4" t="str">
        <f t="shared" ca="1" si="86"/>
        <v>Sì, centralizzato</v>
      </c>
      <c r="BN35" s="140">
        <f t="shared" ca="1" si="29"/>
        <v>10</v>
      </c>
      <c r="BO35" s="203" t="str">
        <f t="shared" ca="1" si="87"/>
        <v>ok</v>
      </c>
      <c r="BP35" s="4" t="str">
        <f t="shared" ca="1" si="88"/>
        <v>SI</v>
      </c>
      <c r="BQ35" s="140">
        <f t="shared" ca="1" si="30"/>
        <v>10</v>
      </c>
      <c r="BR35" s="4" t="str">
        <f t="shared" ca="1" si="88"/>
        <v>Sì, senza specificazione della copertura</v>
      </c>
      <c r="BS35" s="140">
        <f t="shared" ca="1" si="31"/>
        <v>10</v>
      </c>
      <c r="BT35" s="4" t="str">
        <f t="shared" ca="1" si="88"/>
        <v>Sì, solo per le applicazioni più importanti</v>
      </c>
      <c r="BU35" s="140">
        <f t="shared" ca="1" si="32"/>
        <v>6</v>
      </c>
      <c r="BV35" s="4" t="str">
        <f t="shared" ca="1" si="88"/>
        <v>SI</v>
      </c>
      <c r="BW35" s="140">
        <f t="shared" ca="1" si="33"/>
        <v>10</v>
      </c>
      <c r="BX35" s="4" t="str">
        <f t="shared" ca="1" si="88"/>
        <v>SI</v>
      </c>
      <c r="BY35" s="140">
        <f t="shared" ca="1" si="34"/>
        <v>10</v>
      </c>
      <c r="BZ35" s="4" t="str">
        <f t="shared" ca="1" si="89"/>
        <v>SI</v>
      </c>
      <c r="CA35" s="140">
        <f t="shared" ca="1" si="35"/>
        <v>10</v>
      </c>
      <c r="CB35" s="4" t="str">
        <f t="shared" ca="1" si="90"/>
        <v>SI</v>
      </c>
      <c r="CC35" s="140">
        <f t="shared" ca="1" si="36"/>
        <v>10</v>
      </c>
      <c r="CD35" s="4" t="str">
        <f t="shared" ca="1" si="91"/>
        <v>SI</v>
      </c>
      <c r="CE35" s="140">
        <f t="shared" ca="1" si="37"/>
        <v>10</v>
      </c>
      <c r="CF35" s="4" t="str">
        <f t="shared" ca="1" si="92"/>
        <v>NO</v>
      </c>
      <c r="CG35" s="140">
        <f t="shared" ca="1" si="38"/>
        <v>10</v>
      </c>
      <c r="CH35" s="4" t="str">
        <f t="shared" ca="1" si="93"/>
        <v>Rilevate &lt; 10</v>
      </c>
      <c r="CI35" s="140">
        <f t="shared" ca="1" si="39"/>
        <v>2</v>
      </c>
      <c r="CJ35" s="4" t="b">
        <f t="shared" ca="1" si="94"/>
        <v>0</v>
      </c>
      <c r="CK35" s="140">
        <f t="shared" ca="1" si="40"/>
        <v>0</v>
      </c>
      <c r="CL35" s="4" t="b">
        <f t="shared" ca="1" si="95"/>
        <v>0</v>
      </c>
      <c r="CM35" s="140">
        <f t="shared" ca="1" si="41"/>
        <v>0</v>
      </c>
      <c r="CN35" s="4" t="b">
        <f t="shared" ca="1" si="96"/>
        <v>0</v>
      </c>
      <c r="CO35" s="140">
        <f t="shared" ca="1" si="42"/>
        <v>0</v>
      </c>
      <c r="CP35" s="4" t="b">
        <f t="shared" ca="1" si="97"/>
        <v>0</v>
      </c>
      <c r="CQ35" s="140">
        <f t="shared" ca="1" si="43"/>
        <v>0</v>
      </c>
      <c r="CR35" s="203" t="str">
        <f t="shared" ca="1" si="98"/>
        <v>ok</v>
      </c>
      <c r="CS35" s="4" t="str">
        <f t="shared" ca="1" si="99"/>
        <v>SI</v>
      </c>
      <c r="CT35" s="140">
        <f t="shared" ca="1" si="44"/>
        <v>10</v>
      </c>
      <c r="CU35" s="4" t="str">
        <f t="shared" ca="1" si="99"/>
        <v>SI</v>
      </c>
      <c r="CV35" s="140">
        <f t="shared" ca="1" si="45"/>
        <v>10</v>
      </c>
      <c r="CW35" s="4" t="str">
        <f t="shared" ca="1" si="99"/>
        <v>Sì, tutti</v>
      </c>
      <c r="CX35" s="140">
        <f t="shared" ca="1" si="46"/>
        <v>10</v>
      </c>
      <c r="CY35" s="4" t="str">
        <f t="shared" ca="1" si="99"/>
        <v>SI</v>
      </c>
      <c r="CZ35" s="140">
        <f t="shared" ca="1" si="47"/>
        <v>10</v>
      </c>
      <c r="DA35" s="4" t="str">
        <f t="shared" ca="1" si="99"/>
        <v>SI</v>
      </c>
      <c r="DB35" s="140">
        <f t="shared" ca="1" si="48"/>
        <v>10</v>
      </c>
      <c r="DC35" s="4" t="str">
        <f t="shared" ca="1" si="100"/>
        <v>SI</v>
      </c>
      <c r="DD35" s="140">
        <f t="shared" ca="1" si="49"/>
        <v>10</v>
      </c>
      <c r="DE35" s="4" t="str">
        <f t="shared" ca="1" si="101"/>
        <v>SI</v>
      </c>
      <c r="DF35" s="140">
        <f t="shared" ca="1" si="50"/>
        <v>10</v>
      </c>
      <c r="DG35" s="4" t="str">
        <f t="shared" ca="1" si="102"/>
        <v>SI</v>
      </c>
      <c r="DH35" s="140">
        <f t="shared" ca="1" si="51"/>
        <v>6</v>
      </c>
      <c r="DI35" s="4" t="str">
        <f t="shared" ca="1" si="103"/>
        <v>Sì</v>
      </c>
      <c r="DJ35" s="140">
        <f t="shared" ca="1" si="52"/>
        <v>4</v>
      </c>
      <c r="DK35" s="4" t="str">
        <f t="shared" ca="1" si="104"/>
        <v>Solo personale interno</v>
      </c>
      <c r="DL35" s="140">
        <f t="shared" ca="1" si="53"/>
        <v>10</v>
      </c>
      <c r="DM35" s="4" t="str">
        <f t="shared" ca="1" si="105"/>
        <v>Non previsto audit</v>
      </c>
      <c r="DN35" s="140">
        <f t="shared" ca="1" si="54"/>
        <v>0</v>
      </c>
      <c r="DO35" s="4" t="str">
        <f t="shared" ca="1" si="106"/>
        <v>--</v>
      </c>
      <c r="DP35" s="140">
        <f t="shared" ca="1" si="55"/>
        <v>0</v>
      </c>
      <c r="DQ35" s="4" t="str">
        <f t="shared" ca="1" si="107"/>
        <v>SI</v>
      </c>
      <c r="DR35" s="140">
        <f t="shared" ca="1" si="56"/>
        <v>4</v>
      </c>
      <c r="DS35" s="80" t="str">
        <f t="shared" ca="1" si="108"/>
        <v>Inferiore al 5 %</v>
      </c>
      <c r="DT35" s="140">
        <f t="shared" ca="1" si="57"/>
        <v>2</v>
      </c>
      <c r="DU35" s="4" t="str">
        <f t="shared" ca="1" si="109"/>
        <v>Sì, con copertura analisi rischi parziale</v>
      </c>
      <c r="DV35" s="140">
        <f t="shared" ca="1" si="114"/>
        <v>8</v>
      </c>
      <c r="DW35" s="4" t="str">
        <f t="shared" ca="1" si="110"/>
        <v>SI</v>
      </c>
      <c r="DX35" s="140">
        <f t="shared" ca="1" si="58"/>
        <v>10</v>
      </c>
      <c r="DY35" s="4" t="str">
        <f t="shared" ca="1" si="111"/>
        <v>SI</v>
      </c>
      <c r="DZ35" s="140">
        <f t="shared" ca="1" si="59"/>
        <v>4</v>
      </c>
      <c r="EA35" s="80" t="str">
        <f t="shared" ca="1" si="112"/>
        <v>Inferiore al 10 %</v>
      </c>
      <c r="EB35" s="140">
        <f t="shared" ca="1" si="60"/>
        <v>2</v>
      </c>
      <c r="EC35" s="4">
        <f t="shared" ca="1" si="61"/>
        <v>362</v>
      </c>
      <c r="EF35" s="1"/>
      <c r="EH35" s="1"/>
      <c r="EJ35" s="1"/>
      <c r="EL35" s="1"/>
      <c r="EN35" s="1"/>
      <c r="EP35" s="1"/>
    </row>
    <row r="36" spans="1:146">
      <c r="A36" s="363" t="str">
        <f t="shared" ca="1" si="0"/>
        <v xml:space="preserve">Ministero dell'economia e finanze - Area tesoro        </v>
      </c>
      <c r="B36" s="50">
        <f ca="1">VLOOKUP( TRIM(A36), Classificazione!$A$5:$B$71, 2, FALSE)</f>
        <v>71</v>
      </c>
      <c r="C36" s="364">
        <f ca="1">VLOOKUP(TRIM(A36), Classificazione!$A$5:$L$71, 12, FALSE)</f>
        <v>11332</v>
      </c>
      <c r="D36" s="4" t="str">
        <f t="shared" ca="1" si="62"/>
        <v>Parzialmente centralizzato</v>
      </c>
      <c r="E36" s="140">
        <f t="shared" ca="1" si="113"/>
        <v>8</v>
      </c>
      <c r="F36" s="4" t="str">
        <f t="shared" ca="1" si="62"/>
        <v>SI</v>
      </c>
      <c r="G36" s="140">
        <f t="shared" ca="1" si="115"/>
        <v>10</v>
      </c>
      <c r="H36" s="4" t="str">
        <f t="shared" ca="1" si="62"/>
        <v>SI</v>
      </c>
      <c r="I36" s="140">
        <f t="shared" ca="1" si="63"/>
        <v>10</v>
      </c>
      <c r="J36" s="4" t="b">
        <f t="shared" ca="1" si="62"/>
        <v>0</v>
      </c>
      <c r="K36" s="140">
        <f t="shared" ca="1" si="64"/>
        <v>0</v>
      </c>
      <c r="L36" s="4" t="b">
        <f t="shared" ca="1" si="62"/>
        <v>1</v>
      </c>
      <c r="M36" s="140">
        <f t="shared" ca="1" si="2"/>
        <v>5</v>
      </c>
      <c r="N36" s="4" t="b">
        <f t="shared" ca="1" si="65"/>
        <v>0</v>
      </c>
      <c r="O36" s="140">
        <f t="shared" ca="1" si="3"/>
        <v>0</v>
      </c>
      <c r="P36" s="4" t="b">
        <f t="shared" ca="1" si="66"/>
        <v>1</v>
      </c>
      <c r="Q36" s="140">
        <f t="shared" ca="1" si="4"/>
        <v>3</v>
      </c>
      <c r="R36" s="4" t="str">
        <f t="shared" ca="1" si="67"/>
        <v>UserId/Password</v>
      </c>
      <c r="S36" s="140">
        <f t="shared" ca="1" si="5"/>
        <v>2</v>
      </c>
      <c r="T36" s="4" t="str">
        <f t="shared" ca="1" si="68"/>
        <v>SI</v>
      </c>
      <c r="U36" s="140">
        <f t="shared" ca="1" si="6"/>
        <v>2</v>
      </c>
      <c r="V36" s="4" t="str">
        <f t="shared" ca="1" si="69"/>
        <v>SI</v>
      </c>
      <c r="W36" s="140">
        <f t="shared" ca="1" si="7"/>
        <v>2</v>
      </c>
      <c r="X36" s="4" t="str">
        <f t="shared" ca="1" si="70"/>
        <v>SI</v>
      </c>
      <c r="Y36" s="140">
        <f t="shared" ca="1" si="8"/>
        <v>4</v>
      </c>
      <c r="Z36" s="4" t="str">
        <f t="shared" ca="1" si="71"/>
        <v>Ogni mese</v>
      </c>
      <c r="AA36" s="140">
        <f t="shared" ca="1" si="9"/>
        <v>6</v>
      </c>
      <c r="AB36" s="4" t="str">
        <f t="shared" ca="1" si="72"/>
        <v>SI</v>
      </c>
      <c r="AC36" s="140">
        <f t="shared" ca="1" si="10"/>
        <v>10</v>
      </c>
      <c r="AD36" s="4" t="str">
        <f t="shared" ca="1" si="73"/>
        <v>N.R.</v>
      </c>
      <c r="AE36" s="140">
        <f t="shared" ca="1" si="11"/>
        <v>0</v>
      </c>
      <c r="AF36" s="4" t="str">
        <f t="shared" ca="1" si="74"/>
        <v>SI</v>
      </c>
      <c r="AG36" s="140">
        <f t="shared" ca="1" si="12"/>
        <v>6</v>
      </c>
      <c r="AH36" s="4" t="str">
        <f t="shared" ca="1" si="75"/>
        <v>SI</v>
      </c>
      <c r="AI36" s="140">
        <f t="shared" ca="1" si="13"/>
        <v>4</v>
      </c>
      <c r="AJ36" s="4" t="str">
        <f t="shared" ca="1" si="76"/>
        <v>SI</v>
      </c>
      <c r="AK36" s="140">
        <f t="shared" ca="1" si="14"/>
        <v>10</v>
      </c>
      <c r="AL36" s="203" t="str">
        <f t="shared" ca="1" si="15"/>
        <v>ok</v>
      </c>
      <c r="AM36" s="4" t="str">
        <f t="shared" ca="1" si="77"/>
        <v>SI</v>
      </c>
      <c r="AN36" s="140">
        <f t="shared" ca="1" si="16"/>
        <v>10</v>
      </c>
      <c r="AO36" s="4" t="str">
        <f t="shared" ca="1" si="77"/>
        <v>SI</v>
      </c>
      <c r="AP36" s="140">
        <f t="shared" ca="1" si="17"/>
        <v>10</v>
      </c>
      <c r="AQ36" s="4" t="str">
        <f t="shared" ca="1" si="77"/>
        <v>SI</v>
      </c>
      <c r="AR36" s="140">
        <f t="shared" ca="1" si="18"/>
        <v>10</v>
      </c>
      <c r="AS36" s="4" t="b">
        <f t="shared" ca="1" si="77"/>
        <v>0</v>
      </c>
      <c r="AT36" s="140">
        <f t="shared" ca="1" si="19"/>
        <v>0</v>
      </c>
      <c r="AU36" s="4" t="b">
        <f t="shared" ca="1" si="77"/>
        <v>0</v>
      </c>
      <c r="AV36" s="140">
        <f t="shared" ca="1" si="20"/>
        <v>0</v>
      </c>
      <c r="AW36" s="4" t="b">
        <f t="shared" ca="1" si="78"/>
        <v>0</v>
      </c>
      <c r="AX36" s="140">
        <f t="shared" ca="1" si="21"/>
        <v>0</v>
      </c>
      <c r="AY36" s="4" t="str">
        <f t="shared" ca="1" si="79"/>
        <v>SI</v>
      </c>
      <c r="AZ36" s="140">
        <f t="shared" ca="1" si="22"/>
        <v>0</v>
      </c>
      <c r="BA36" s="4" t="str">
        <f t="shared" ca="1" si="80"/>
        <v>WPA</v>
      </c>
      <c r="BB36" s="140">
        <f t="shared" ca="1" si="23"/>
        <v>10</v>
      </c>
      <c r="BC36" s="4" t="str">
        <f t="shared" ca="1" si="81"/>
        <v>SI</v>
      </c>
      <c r="BD36" s="140">
        <f t="shared" ca="1" si="24"/>
        <v>0</v>
      </c>
      <c r="BE36" s="4" t="str">
        <f t="shared" ca="1" si="82"/>
        <v>Accesso remoto mediante  VPN</v>
      </c>
      <c r="BF36" s="140">
        <f t="shared" ca="1" si="25"/>
        <v>10</v>
      </c>
      <c r="BG36" s="4" t="str">
        <f t="shared" ca="1" si="83"/>
        <v>SI</v>
      </c>
      <c r="BH36" s="140">
        <f t="shared" ca="1" si="26"/>
        <v>6</v>
      </c>
      <c r="BI36" s="4" t="str">
        <f t="shared" ca="1" si="84"/>
        <v>SI</v>
      </c>
      <c r="BJ36" s="140">
        <f t="shared" ca="1" si="27"/>
        <v>4</v>
      </c>
      <c r="BK36" s="4" t="str">
        <f t="shared" ca="1" si="85"/>
        <v>SI</v>
      </c>
      <c r="BL36" s="140">
        <f t="shared" ca="1" si="28"/>
        <v>10</v>
      </c>
      <c r="BM36" s="4" t="str">
        <f t="shared" ca="1" si="86"/>
        <v>No</v>
      </c>
      <c r="BN36" s="140">
        <f t="shared" ca="1" si="29"/>
        <v>0</v>
      </c>
      <c r="BO36" s="203" t="str">
        <f t="shared" ca="1" si="87"/>
        <v>ok</v>
      </c>
      <c r="BP36" s="4" t="str">
        <f t="shared" ca="1" si="88"/>
        <v>NO</v>
      </c>
      <c r="BQ36" s="140">
        <f t="shared" ca="1" si="30"/>
        <v>0</v>
      </c>
      <c r="BR36" s="4" t="str">
        <f t="shared" ca="1" si="88"/>
        <v>Sì, solo per le applicazioni più importanti</v>
      </c>
      <c r="BS36" s="140">
        <f t="shared" ca="1" si="31"/>
        <v>6</v>
      </c>
      <c r="BT36" s="4" t="str">
        <f t="shared" ca="1" si="88"/>
        <v>No</v>
      </c>
      <c r="BU36" s="140">
        <f t="shared" ca="1" si="32"/>
        <v>0</v>
      </c>
      <c r="BV36" s="4" t="str">
        <f t="shared" ca="1" si="88"/>
        <v>SI</v>
      </c>
      <c r="BW36" s="140">
        <f t="shared" ca="1" si="33"/>
        <v>10</v>
      </c>
      <c r="BX36" s="4" t="str">
        <f t="shared" ca="1" si="88"/>
        <v>SI</v>
      </c>
      <c r="BY36" s="140">
        <f t="shared" ca="1" si="34"/>
        <v>10</v>
      </c>
      <c r="BZ36" s="4" t="str">
        <f t="shared" ca="1" si="89"/>
        <v>SI</v>
      </c>
      <c r="CA36" s="140">
        <f t="shared" ca="1" si="35"/>
        <v>10</v>
      </c>
      <c r="CB36" s="4" t="str">
        <f t="shared" ca="1" si="90"/>
        <v>SI</v>
      </c>
      <c r="CC36" s="140">
        <f t="shared" ca="1" si="36"/>
        <v>10</v>
      </c>
      <c r="CD36" s="4" t="str">
        <f t="shared" ca="1" si="91"/>
        <v>SI</v>
      </c>
      <c r="CE36" s="140">
        <f t="shared" ca="1" si="37"/>
        <v>10</v>
      </c>
      <c r="CF36" s="4" t="str">
        <f t="shared" ca="1" si="92"/>
        <v>NO</v>
      </c>
      <c r="CG36" s="140">
        <f t="shared" ca="1" si="38"/>
        <v>10</v>
      </c>
      <c r="CH36" s="4" t="str">
        <f t="shared" ca="1" si="93"/>
        <v>Rilevate &lt; 10</v>
      </c>
      <c r="CI36" s="140">
        <f t="shared" ca="1" si="39"/>
        <v>2</v>
      </c>
      <c r="CJ36" s="4" t="b">
        <f t="shared" ca="1" si="94"/>
        <v>0</v>
      </c>
      <c r="CK36" s="140">
        <f t="shared" ca="1" si="40"/>
        <v>0</v>
      </c>
      <c r="CL36" s="4" t="b">
        <f t="shared" ca="1" si="95"/>
        <v>0</v>
      </c>
      <c r="CM36" s="140">
        <f t="shared" ca="1" si="41"/>
        <v>0</v>
      </c>
      <c r="CN36" s="4" t="b">
        <f t="shared" ca="1" si="96"/>
        <v>0</v>
      </c>
      <c r="CO36" s="140">
        <f t="shared" ca="1" si="42"/>
        <v>0</v>
      </c>
      <c r="CP36" s="4" t="b">
        <f t="shared" ca="1" si="97"/>
        <v>0</v>
      </c>
      <c r="CQ36" s="140">
        <f t="shared" ca="1" si="43"/>
        <v>0</v>
      </c>
      <c r="CR36" s="203" t="str">
        <f t="shared" ca="1" si="98"/>
        <v>ok</v>
      </c>
      <c r="CS36" s="4" t="str">
        <f t="shared" ca="1" si="99"/>
        <v>NO</v>
      </c>
      <c r="CT36" s="140">
        <f t="shared" ca="1" si="44"/>
        <v>0</v>
      </c>
      <c r="CU36" s="4" t="str">
        <f t="shared" ca="1" si="99"/>
        <v>NO</v>
      </c>
      <c r="CV36" s="140">
        <f t="shared" ca="1" si="45"/>
        <v>0</v>
      </c>
      <c r="CW36" s="4" t="str">
        <f t="shared" ca="1" si="99"/>
        <v>Sì, alcuni</v>
      </c>
      <c r="CX36" s="140">
        <f t="shared" ca="1" si="46"/>
        <v>6</v>
      </c>
      <c r="CY36" s="4" t="str">
        <f t="shared" ca="1" si="99"/>
        <v>SI</v>
      </c>
      <c r="CZ36" s="140">
        <f t="shared" ca="1" si="47"/>
        <v>10</v>
      </c>
      <c r="DA36" s="4" t="str">
        <f t="shared" ca="1" si="99"/>
        <v>SI</v>
      </c>
      <c r="DB36" s="140">
        <f t="shared" ca="1" si="48"/>
        <v>10</v>
      </c>
      <c r="DC36" s="4" t="str">
        <f t="shared" ca="1" si="100"/>
        <v>SI</v>
      </c>
      <c r="DD36" s="140">
        <f t="shared" ca="1" si="49"/>
        <v>10</v>
      </c>
      <c r="DE36" s="4" t="str">
        <f t="shared" ca="1" si="101"/>
        <v>SI</v>
      </c>
      <c r="DF36" s="140">
        <f t="shared" ca="1" si="50"/>
        <v>10</v>
      </c>
      <c r="DG36" s="4" t="str">
        <f t="shared" ca="1" si="102"/>
        <v>SI</v>
      </c>
      <c r="DH36" s="140">
        <f t="shared" ca="1" si="51"/>
        <v>6</v>
      </c>
      <c r="DI36" s="4" t="str">
        <f t="shared" ca="1" si="103"/>
        <v>Sì</v>
      </c>
      <c r="DJ36" s="140">
        <f t="shared" ca="1" si="52"/>
        <v>4</v>
      </c>
      <c r="DK36" s="4" t="str">
        <f t="shared" ca="1" si="104"/>
        <v>Solo personale interno</v>
      </c>
      <c r="DL36" s="140">
        <f t="shared" ca="1" si="53"/>
        <v>10</v>
      </c>
      <c r="DM36" s="4" t="str">
        <f t="shared" ca="1" si="105"/>
        <v>Non previsto audit</v>
      </c>
      <c r="DN36" s="140">
        <f t="shared" ca="1" si="54"/>
        <v>0</v>
      </c>
      <c r="DO36" s="4" t="str">
        <f t="shared" ca="1" si="106"/>
        <v>--</v>
      </c>
      <c r="DP36" s="140">
        <f t="shared" ca="1" si="55"/>
        <v>0</v>
      </c>
      <c r="DQ36" s="4" t="str">
        <f t="shared" ca="1" si="107"/>
        <v>SI</v>
      </c>
      <c r="DR36" s="140">
        <f t="shared" ca="1" si="56"/>
        <v>4</v>
      </c>
      <c r="DS36" s="80" t="str">
        <f t="shared" ca="1" si="108"/>
        <v>Compresa tra 5 % e 10%</v>
      </c>
      <c r="DT36" s="140">
        <f t="shared" ca="1" si="57"/>
        <v>4</v>
      </c>
      <c r="DU36" s="4" t="str">
        <f t="shared" ca="1" si="109"/>
        <v>Sì, con copertura analisi rischi parziale</v>
      </c>
      <c r="DV36" s="140">
        <f t="shared" ca="1" si="114"/>
        <v>8</v>
      </c>
      <c r="DW36" s="4" t="str">
        <f t="shared" ca="1" si="110"/>
        <v>SI</v>
      </c>
      <c r="DX36" s="140">
        <f t="shared" ca="1" si="58"/>
        <v>10</v>
      </c>
      <c r="DY36" s="4" t="str">
        <f t="shared" ca="1" si="111"/>
        <v>NO</v>
      </c>
      <c r="DZ36" s="140">
        <f t="shared" ca="1" si="59"/>
        <v>0</v>
      </c>
      <c r="EA36" s="80" t="str">
        <f t="shared" ca="1" si="112"/>
        <v>Inferiore al 10 %</v>
      </c>
      <c r="EB36" s="140">
        <f t="shared" ca="1" si="60"/>
        <v>2</v>
      </c>
      <c r="EC36" s="4">
        <f t="shared" ca="1" si="61"/>
        <v>314</v>
      </c>
    </row>
    <row r="37" spans="1:146">
      <c r="A37" s="363" t="str">
        <f t="shared" ca="1" si="0"/>
        <v xml:space="preserve">Ministero della giustizia                             </v>
      </c>
      <c r="B37" s="50">
        <f ca="1">VLOOKUP( TRIM(A37), Classificazione!$A$5:$B$71, 2, FALSE)</f>
        <v>11</v>
      </c>
      <c r="C37" s="364">
        <f ca="1">VLOOKUP(TRIM(A37), Classificazione!$A$5:$L$71, 12, FALSE)</f>
        <v>92515</v>
      </c>
      <c r="D37" s="4" t="str">
        <f t="shared" ca="1" si="62"/>
        <v>Parzialmente centralizzato</v>
      </c>
      <c r="E37" s="140">
        <f t="shared" ca="1" si="113"/>
        <v>8</v>
      </c>
      <c r="F37" s="4" t="str">
        <f t="shared" ca="1" si="62"/>
        <v>SI</v>
      </c>
      <c r="G37" s="140">
        <f t="shared" ca="1" si="115"/>
        <v>10</v>
      </c>
      <c r="H37" s="4" t="str">
        <f t="shared" ca="1" si="62"/>
        <v>SI</v>
      </c>
      <c r="I37" s="140">
        <f t="shared" ca="1" si="63"/>
        <v>10</v>
      </c>
      <c r="J37" s="4" t="b">
        <f t="shared" ca="1" si="62"/>
        <v>1</v>
      </c>
      <c r="K37" s="140">
        <f t="shared" ca="1" si="64"/>
        <v>5</v>
      </c>
      <c r="L37" s="4" t="b">
        <f t="shared" ca="1" si="62"/>
        <v>1</v>
      </c>
      <c r="M37" s="140">
        <f t="shared" ca="1" si="2"/>
        <v>5</v>
      </c>
      <c r="N37" s="4" t="b">
        <f t="shared" ca="1" si="65"/>
        <v>0</v>
      </c>
      <c r="O37" s="140">
        <f t="shared" ca="1" si="3"/>
        <v>0</v>
      </c>
      <c r="P37" s="4" t="b">
        <f t="shared" ca="1" si="66"/>
        <v>0</v>
      </c>
      <c r="Q37" s="140">
        <f t="shared" ca="1" si="4"/>
        <v>0</v>
      </c>
      <c r="R37" s="4" t="str">
        <f t="shared" ca="1" si="67"/>
        <v>UserId/Password</v>
      </c>
      <c r="S37" s="140">
        <f t="shared" ca="1" si="5"/>
        <v>2</v>
      </c>
      <c r="T37" s="4" t="str">
        <f t="shared" ca="1" si="68"/>
        <v>SI</v>
      </c>
      <c r="U37" s="140">
        <f t="shared" ca="1" si="6"/>
        <v>2</v>
      </c>
      <c r="V37" s="4" t="str">
        <f t="shared" ca="1" si="69"/>
        <v>SI</v>
      </c>
      <c r="W37" s="140">
        <f t="shared" ca="1" si="7"/>
        <v>2</v>
      </c>
      <c r="X37" s="4" t="str">
        <f t="shared" ca="1" si="70"/>
        <v>SI</v>
      </c>
      <c r="Y37" s="140">
        <f t="shared" ca="1" si="8"/>
        <v>4</v>
      </c>
      <c r="Z37" s="4" t="str">
        <f t="shared" ca="1" si="71"/>
        <v>Automaticamente</v>
      </c>
      <c r="AA37" s="140">
        <f t="shared" ref="AA37:AA66" ca="1" si="116">LOOKUP(Z37,Z$1:Z$7,AA$1:AA$7)</f>
        <v>10</v>
      </c>
      <c r="AB37" s="4" t="str">
        <f t="shared" ca="1" si="72"/>
        <v>SI</v>
      </c>
      <c r="AC37" s="140">
        <f t="shared" ca="1" si="10"/>
        <v>10</v>
      </c>
      <c r="AD37" s="4" t="str">
        <f t="shared" ca="1" si="73"/>
        <v>Esistono postazioni mobili o supporti dati rimuovibili senza sistemi di prevenzione degli accessi</v>
      </c>
      <c r="AE37" s="140">
        <f t="shared" ca="1" si="11"/>
        <v>0</v>
      </c>
      <c r="AF37" s="4" t="str">
        <f t="shared" ca="1" si="74"/>
        <v>SI</v>
      </c>
      <c r="AG37" s="140">
        <f t="shared" ca="1" si="12"/>
        <v>6</v>
      </c>
      <c r="AH37" s="4" t="str">
        <f t="shared" ca="1" si="75"/>
        <v>SI</v>
      </c>
      <c r="AI37" s="140">
        <f t="shared" ca="1" si="13"/>
        <v>4</v>
      </c>
      <c r="AJ37" s="4" t="str">
        <f t="shared" ca="1" si="76"/>
        <v>SI</v>
      </c>
      <c r="AK37" s="140">
        <f t="shared" ca="1" si="14"/>
        <v>10</v>
      </c>
      <c r="AL37" s="203" t="str">
        <f t="shared" ca="1" si="15"/>
        <v>ok</v>
      </c>
      <c r="AM37" s="4" t="str">
        <f t="shared" ca="1" si="77"/>
        <v>SI</v>
      </c>
      <c r="AN37" s="140">
        <f t="shared" ca="1" si="16"/>
        <v>10</v>
      </c>
      <c r="AO37" s="4" t="str">
        <f t="shared" ca="1" si="77"/>
        <v>SI</v>
      </c>
      <c r="AP37" s="140">
        <f t="shared" ca="1" si="17"/>
        <v>10</v>
      </c>
      <c r="AQ37" s="4" t="str">
        <f t="shared" ca="1" si="77"/>
        <v>SI</v>
      </c>
      <c r="AR37" s="140">
        <f t="shared" ca="1" si="18"/>
        <v>10</v>
      </c>
      <c r="AS37" s="4" t="b">
        <f t="shared" ca="1" si="77"/>
        <v>1</v>
      </c>
      <c r="AT37" s="140">
        <f t="shared" ca="1" si="19"/>
        <v>5</v>
      </c>
      <c r="AU37" s="4" t="b">
        <f t="shared" ca="1" si="77"/>
        <v>1</v>
      </c>
      <c r="AV37" s="140">
        <f t="shared" ca="1" si="20"/>
        <v>5</v>
      </c>
      <c r="AW37" s="4" t="b">
        <f t="shared" ca="1" si="78"/>
        <v>0</v>
      </c>
      <c r="AX37" s="140">
        <f t="shared" ca="1" si="21"/>
        <v>0</v>
      </c>
      <c r="AY37" s="4" t="str">
        <f t="shared" ca="1" si="79"/>
        <v>SI</v>
      </c>
      <c r="AZ37" s="140">
        <f t="shared" ca="1" si="22"/>
        <v>0</v>
      </c>
      <c r="BA37" s="4" t="str">
        <f t="shared" ca="1" si="80"/>
        <v>WPA</v>
      </c>
      <c r="BB37" s="140">
        <f t="shared" ca="1" si="23"/>
        <v>10</v>
      </c>
      <c r="BC37" s="4" t="str">
        <f t="shared" ca="1" si="81"/>
        <v>SI</v>
      </c>
      <c r="BD37" s="140">
        <f t="shared" ca="1" si="24"/>
        <v>0</v>
      </c>
      <c r="BE37" s="4" t="str">
        <f t="shared" ca="1" si="82"/>
        <v>Accesso remoto mediante  VPN</v>
      </c>
      <c r="BF37" s="140">
        <f t="shared" ca="1" si="25"/>
        <v>10</v>
      </c>
      <c r="BG37" s="4" t="str">
        <f t="shared" ca="1" si="83"/>
        <v>SI</v>
      </c>
      <c r="BH37" s="140">
        <f t="shared" ca="1" si="26"/>
        <v>6</v>
      </c>
      <c r="BI37" s="4" t="str">
        <f t="shared" ca="1" si="84"/>
        <v>SI</v>
      </c>
      <c r="BJ37" s="140">
        <f t="shared" ca="1" si="27"/>
        <v>4</v>
      </c>
      <c r="BK37" s="4" t="str">
        <f t="shared" ca="1" si="85"/>
        <v>SI</v>
      </c>
      <c r="BL37" s="140">
        <f t="shared" ca="1" si="28"/>
        <v>10</v>
      </c>
      <c r="BM37" s="4" t="str">
        <f t="shared" ca="1" si="86"/>
        <v>Sì, centralizzato</v>
      </c>
      <c r="BN37" s="140">
        <f t="shared" ca="1" si="29"/>
        <v>10</v>
      </c>
      <c r="BO37" s="203" t="str">
        <f t="shared" ca="1" si="87"/>
        <v>ok</v>
      </c>
      <c r="BP37" s="4" t="str">
        <f t="shared" ca="1" si="88"/>
        <v>NO</v>
      </c>
      <c r="BQ37" s="140">
        <f t="shared" ca="1" si="30"/>
        <v>0</v>
      </c>
      <c r="BR37" s="4" t="str">
        <f t="shared" ca="1" si="88"/>
        <v>Sì, solo per le applicazioni più importanti</v>
      </c>
      <c r="BS37" s="140">
        <f t="shared" ca="1" si="31"/>
        <v>6</v>
      </c>
      <c r="BT37" s="4" t="str">
        <f t="shared" ca="1" si="88"/>
        <v>Sì, solo per le applicazioni più importanti</v>
      </c>
      <c r="BU37" s="140">
        <f t="shared" ca="1" si="32"/>
        <v>6</v>
      </c>
      <c r="BV37" s="4" t="str">
        <f t="shared" ca="1" si="88"/>
        <v>SI</v>
      </c>
      <c r="BW37" s="140">
        <f t="shared" ca="1" si="33"/>
        <v>10</v>
      </c>
      <c r="BX37" s="4" t="str">
        <f t="shared" ca="1" si="88"/>
        <v>SI</v>
      </c>
      <c r="BY37" s="140">
        <f t="shared" ca="1" si="34"/>
        <v>10</v>
      </c>
      <c r="BZ37" s="4" t="str">
        <f t="shared" ca="1" si="89"/>
        <v>SI</v>
      </c>
      <c r="CA37" s="140">
        <f t="shared" ca="1" si="35"/>
        <v>10</v>
      </c>
      <c r="CB37" s="4" t="str">
        <f t="shared" ca="1" si="90"/>
        <v>SI</v>
      </c>
      <c r="CC37" s="140">
        <f t="shared" ca="1" si="36"/>
        <v>10</v>
      </c>
      <c r="CD37" s="4" t="str">
        <f t="shared" ca="1" si="91"/>
        <v>SI</v>
      </c>
      <c r="CE37" s="140">
        <f t="shared" ca="1" si="37"/>
        <v>10</v>
      </c>
      <c r="CF37" s="4" t="str">
        <f t="shared" ca="1" si="92"/>
        <v>NO</v>
      </c>
      <c r="CG37" s="140">
        <f t="shared" ca="1" si="38"/>
        <v>10</v>
      </c>
      <c r="CH37" s="4" t="str">
        <f t="shared" ca="1" si="93"/>
        <v>Rilevate &lt; 10</v>
      </c>
      <c r="CI37" s="140">
        <f t="shared" ca="1" si="39"/>
        <v>2</v>
      </c>
      <c r="CJ37" s="4" t="b">
        <f t="shared" ca="1" si="94"/>
        <v>0</v>
      </c>
      <c r="CK37" s="140">
        <f t="shared" ca="1" si="40"/>
        <v>0</v>
      </c>
      <c r="CL37" s="4" t="b">
        <f t="shared" ca="1" si="95"/>
        <v>0</v>
      </c>
      <c r="CM37" s="140">
        <f t="shared" ca="1" si="41"/>
        <v>0</v>
      </c>
      <c r="CN37" s="4" t="b">
        <f t="shared" ca="1" si="96"/>
        <v>0</v>
      </c>
      <c r="CO37" s="140">
        <f t="shared" ca="1" si="42"/>
        <v>0</v>
      </c>
      <c r="CP37" s="4" t="b">
        <f t="shared" ca="1" si="97"/>
        <v>0</v>
      </c>
      <c r="CQ37" s="140">
        <f t="shared" ca="1" si="43"/>
        <v>0</v>
      </c>
      <c r="CR37" s="203" t="str">
        <f t="shared" ca="1" si="98"/>
        <v>ok</v>
      </c>
      <c r="CS37" s="4" t="str">
        <f t="shared" ca="1" si="99"/>
        <v>NO</v>
      </c>
      <c r="CT37" s="140">
        <f t="shared" ca="1" si="44"/>
        <v>0</v>
      </c>
      <c r="CU37" s="4" t="str">
        <f t="shared" ca="1" si="99"/>
        <v>NO</v>
      </c>
      <c r="CV37" s="140">
        <f t="shared" ca="1" si="45"/>
        <v>0</v>
      </c>
      <c r="CW37" s="4" t="str">
        <f t="shared" ca="1" si="99"/>
        <v>Sì, alcuni</v>
      </c>
      <c r="CX37" s="140">
        <f t="shared" ca="1" si="46"/>
        <v>6</v>
      </c>
      <c r="CY37" s="4" t="str">
        <f t="shared" ca="1" si="99"/>
        <v>SI</v>
      </c>
      <c r="CZ37" s="140">
        <f t="shared" ca="1" si="47"/>
        <v>10</v>
      </c>
      <c r="DA37" s="4" t="str">
        <f t="shared" ca="1" si="99"/>
        <v>SI</v>
      </c>
      <c r="DB37" s="140">
        <f t="shared" ca="1" si="48"/>
        <v>10</v>
      </c>
      <c r="DC37" s="4" t="str">
        <f t="shared" ca="1" si="100"/>
        <v>SI</v>
      </c>
      <c r="DD37" s="140">
        <f t="shared" ca="1" si="49"/>
        <v>10</v>
      </c>
      <c r="DE37" s="4" t="str">
        <f t="shared" ca="1" si="101"/>
        <v>SI</v>
      </c>
      <c r="DF37" s="140">
        <f t="shared" ca="1" si="50"/>
        <v>10</v>
      </c>
      <c r="DG37" s="4" t="str">
        <f t="shared" ca="1" si="102"/>
        <v>SI</v>
      </c>
      <c r="DH37" s="140">
        <f t="shared" ca="1" si="51"/>
        <v>6</v>
      </c>
      <c r="DI37" s="4" t="str">
        <f t="shared" ca="1" si="103"/>
        <v>Sì</v>
      </c>
      <c r="DJ37" s="140">
        <f t="shared" ca="1" si="52"/>
        <v>4</v>
      </c>
      <c r="DK37" s="4" t="str">
        <f t="shared" ca="1" si="104"/>
        <v>Solo personale interno</v>
      </c>
      <c r="DL37" s="140">
        <f t="shared" ca="1" si="53"/>
        <v>10</v>
      </c>
      <c r="DM37" s="4" t="str">
        <f t="shared" ca="1" si="105"/>
        <v>Non previsto audit</v>
      </c>
      <c r="DN37" s="140">
        <f t="shared" ca="1" si="54"/>
        <v>0</v>
      </c>
      <c r="DO37" s="4" t="str">
        <f t="shared" ca="1" si="106"/>
        <v>--</v>
      </c>
      <c r="DP37" s="140">
        <f t="shared" ca="1" si="55"/>
        <v>0</v>
      </c>
      <c r="DQ37" s="4" t="str">
        <f t="shared" ca="1" si="107"/>
        <v>NO</v>
      </c>
      <c r="DR37" s="140">
        <f t="shared" ca="1" si="56"/>
        <v>0</v>
      </c>
      <c r="DS37" s="80" t="str">
        <f t="shared" ca="1" si="108"/>
        <v>--</v>
      </c>
      <c r="DT37" s="140">
        <f t="shared" ca="1" si="57"/>
        <v>0</v>
      </c>
      <c r="DU37" s="4" t="str">
        <f t="shared" ca="1" si="109"/>
        <v>No</v>
      </c>
      <c r="DV37" s="140">
        <f t="shared" ca="1" si="114"/>
        <v>0</v>
      </c>
      <c r="DW37" s="4" t="str">
        <f t="shared" ca="1" si="110"/>
        <v>NO</v>
      </c>
      <c r="DX37" s="140">
        <f t="shared" ca="1" si="58"/>
        <v>0</v>
      </c>
      <c r="DY37" s="4" t="str">
        <f t="shared" ca="1" si="111"/>
        <v>NO</v>
      </c>
      <c r="DZ37" s="140">
        <f t="shared" ca="1" si="59"/>
        <v>0</v>
      </c>
      <c r="EA37" s="80" t="str">
        <f t="shared" ca="1" si="112"/>
        <v>Inferiore al 10 %</v>
      </c>
      <c r="EB37" s="140">
        <f t="shared" ca="1" si="60"/>
        <v>2</v>
      </c>
      <c r="EC37" s="4">
        <f t="shared" ca="1" si="61"/>
        <v>320</v>
      </c>
    </row>
    <row r="38" spans="1:146">
      <c r="A38" s="363" t="str">
        <f t="shared" ca="1" si="0"/>
        <v xml:space="preserve">Ministero dell'interno                                                                              </v>
      </c>
      <c r="B38" s="50">
        <f ca="1">VLOOKUP( TRIM(A38), Classificazione!$A$5:$B$71, 2, FALSE)</f>
        <v>110</v>
      </c>
      <c r="C38" s="364">
        <f ca="1">VLOOKUP(TRIM(A38), Classificazione!$A$5:$L$71, 12, FALSE)</f>
        <v>159971</v>
      </c>
      <c r="D38" s="4" t="str">
        <f t="shared" ca="1" si="62"/>
        <v>Completamente centralizzato</v>
      </c>
      <c r="E38" s="140">
        <f t="shared" ca="1" si="113"/>
        <v>6</v>
      </c>
      <c r="F38" s="4" t="str">
        <f t="shared" ca="1" si="62"/>
        <v>SI</v>
      </c>
      <c r="G38" s="140">
        <f t="shared" ca="1" si="115"/>
        <v>10</v>
      </c>
      <c r="H38" s="4" t="str">
        <f t="shared" ca="1" si="62"/>
        <v>SI</v>
      </c>
      <c r="I38" s="140">
        <f t="shared" ca="1" si="63"/>
        <v>10</v>
      </c>
      <c r="J38" s="4" t="b">
        <f t="shared" ca="1" si="62"/>
        <v>1</v>
      </c>
      <c r="K38" s="140">
        <f t="shared" ca="1" si="64"/>
        <v>5</v>
      </c>
      <c r="L38" s="4" t="b">
        <f t="shared" ca="1" si="62"/>
        <v>1</v>
      </c>
      <c r="M38" s="140">
        <f t="shared" ca="1" si="2"/>
        <v>5</v>
      </c>
      <c r="N38" s="4" t="b">
        <f t="shared" ca="1" si="65"/>
        <v>1</v>
      </c>
      <c r="O38" s="140">
        <f t="shared" ca="1" si="3"/>
        <v>3</v>
      </c>
      <c r="P38" s="4" t="b">
        <f t="shared" ca="1" si="66"/>
        <v>0</v>
      </c>
      <c r="Q38" s="140">
        <f t="shared" ca="1" si="4"/>
        <v>0</v>
      </c>
      <c r="R38" s="4" t="str">
        <f t="shared" ca="1" si="67"/>
        <v>UserId/Password</v>
      </c>
      <c r="S38" s="140">
        <f t="shared" ca="1" si="5"/>
        <v>2</v>
      </c>
      <c r="T38" s="4" t="str">
        <f t="shared" ca="1" si="68"/>
        <v>SI</v>
      </c>
      <c r="U38" s="140">
        <f t="shared" ca="1" si="6"/>
        <v>2</v>
      </c>
      <c r="V38" s="4" t="str">
        <f t="shared" ca="1" si="69"/>
        <v>SI</v>
      </c>
      <c r="W38" s="140">
        <f t="shared" ca="1" si="7"/>
        <v>2</v>
      </c>
      <c r="X38" s="4" t="str">
        <f t="shared" ca="1" si="70"/>
        <v>SI</v>
      </c>
      <c r="Y38" s="140">
        <f t="shared" ca="1" si="8"/>
        <v>4</v>
      </c>
      <c r="Z38" s="4" t="str">
        <f t="shared" ca="1" si="71"/>
        <v>Ogni mese</v>
      </c>
      <c r="AA38" s="140">
        <f t="shared" ca="1" si="116"/>
        <v>6</v>
      </c>
      <c r="AB38" s="4" t="str">
        <f t="shared" ca="1" si="72"/>
        <v>SI</v>
      </c>
      <c r="AC38" s="140">
        <f t="shared" ca="1" si="10"/>
        <v>10</v>
      </c>
      <c r="AD38" s="4" t="str">
        <f t="shared" ca="1" si="73"/>
        <v>Esistono postazioni mobili o supporti dati rimuovibili con sistemi di prevenzione degli accessi</v>
      </c>
      <c r="AE38" s="140">
        <f t="shared" ca="1" si="11"/>
        <v>10</v>
      </c>
      <c r="AF38" s="4" t="str">
        <f t="shared" ca="1" si="74"/>
        <v>SI</v>
      </c>
      <c r="AG38" s="140">
        <f t="shared" ca="1" si="12"/>
        <v>6</v>
      </c>
      <c r="AH38" s="4" t="str">
        <f t="shared" ca="1" si="75"/>
        <v>SI</v>
      </c>
      <c r="AI38" s="140">
        <f t="shared" ca="1" si="13"/>
        <v>4</v>
      </c>
      <c r="AJ38" s="4" t="str">
        <f t="shared" ca="1" si="76"/>
        <v>SI</v>
      </c>
      <c r="AK38" s="140">
        <f t="shared" ca="1" si="14"/>
        <v>10</v>
      </c>
      <c r="AL38" s="203" t="str">
        <f t="shared" ca="1" si="15"/>
        <v>ok</v>
      </c>
      <c r="AM38" s="4" t="str">
        <f t="shared" ca="1" si="77"/>
        <v>SI</v>
      </c>
      <c r="AN38" s="140">
        <f t="shared" ca="1" si="16"/>
        <v>10</v>
      </c>
      <c r="AO38" s="4" t="str">
        <f t="shared" ca="1" si="77"/>
        <v>SI</v>
      </c>
      <c r="AP38" s="140">
        <f t="shared" ca="1" si="17"/>
        <v>10</v>
      </c>
      <c r="AQ38" s="4" t="str">
        <f t="shared" ca="1" si="77"/>
        <v>SI</v>
      </c>
      <c r="AR38" s="140">
        <f t="shared" ca="1" si="18"/>
        <v>10</v>
      </c>
      <c r="AS38" s="4" t="b">
        <f t="shared" ca="1" si="77"/>
        <v>1</v>
      </c>
      <c r="AT38" s="140">
        <f t="shared" ca="1" si="19"/>
        <v>5</v>
      </c>
      <c r="AU38" s="4" t="b">
        <f t="shared" ca="1" si="77"/>
        <v>1</v>
      </c>
      <c r="AV38" s="140">
        <f t="shared" ca="1" si="20"/>
        <v>5</v>
      </c>
      <c r="AW38" s="4" t="b">
        <f t="shared" ca="1" si="78"/>
        <v>0</v>
      </c>
      <c r="AX38" s="140">
        <f t="shared" ca="1" si="21"/>
        <v>0</v>
      </c>
      <c r="AY38" s="4" t="str">
        <f t="shared" ca="1" si="79"/>
        <v>NO</v>
      </c>
      <c r="AZ38" s="140">
        <f t="shared" ca="1" si="22"/>
        <v>6</v>
      </c>
      <c r="BA38" s="4" t="str">
        <f t="shared" ca="1" si="80"/>
        <v>Nessuno</v>
      </c>
      <c r="BB38" s="140">
        <f t="shared" ca="1" si="23"/>
        <v>0</v>
      </c>
      <c r="BC38" s="4" t="str">
        <f t="shared" ca="1" si="81"/>
        <v>SI</v>
      </c>
      <c r="BD38" s="140">
        <f t="shared" ca="1" si="24"/>
        <v>0</v>
      </c>
      <c r="BE38" s="4" t="str">
        <f t="shared" ca="1" si="82"/>
        <v>Accesso remoto mediante  VPN</v>
      </c>
      <c r="BF38" s="140">
        <f t="shared" ca="1" si="25"/>
        <v>10</v>
      </c>
      <c r="BG38" s="4" t="str">
        <f t="shared" ca="1" si="83"/>
        <v>SI</v>
      </c>
      <c r="BH38" s="140">
        <f t="shared" ca="1" si="26"/>
        <v>6</v>
      </c>
      <c r="BI38" s="4" t="str">
        <f t="shared" ca="1" si="84"/>
        <v>SI</v>
      </c>
      <c r="BJ38" s="140">
        <f t="shared" ca="1" si="27"/>
        <v>4</v>
      </c>
      <c r="BK38" s="4" t="str">
        <f t="shared" ca="1" si="85"/>
        <v>SI</v>
      </c>
      <c r="BL38" s="140">
        <f t="shared" ca="1" si="28"/>
        <v>10</v>
      </c>
      <c r="BM38" s="4" t="str">
        <f t="shared" ca="1" si="86"/>
        <v>Sì, centralizzato</v>
      </c>
      <c r="BN38" s="140">
        <f t="shared" ca="1" si="29"/>
        <v>10</v>
      </c>
      <c r="BO38" s="203" t="str">
        <f t="shared" ca="1" si="87"/>
        <v>ok</v>
      </c>
      <c r="BP38" s="4" t="str">
        <f t="shared" ca="1" si="88"/>
        <v>SI</v>
      </c>
      <c r="BQ38" s="140">
        <f t="shared" ca="1" si="30"/>
        <v>10</v>
      </c>
      <c r="BR38" s="4" t="str">
        <f t="shared" ca="1" si="88"/>
        <v>Sì, solo per le applicazioni più importanti</v>
      </c>
      <c r="BS38" s="140">
        <f t="shared" ca="1" si="31"/>
        <v>6</v>
      </c>
      <c r="BT38" s="4" t="str">
        <f t="shared" ca="1" si="88"/>
        <v>Sì, solo per le applicazioni più importanti</v>
      </c>
      <c r="BU38" s="140">
        <f t="shared" ca="1" si="32"/>
        <v>6</v>
      </c>
      <c r="BV38" s="4" t="str">
        <f t="shared" ca="1" si="88"/>
        <v>SI</v>
      </c>
      <c r="BW38" s="140">
        <f t="shared" ca="1" si="33"/>
        <v>10</v>
      </c>
      <c r="BX38" s="4" t="str">
        <f t="shared" ca="1" si="88"/>
        <v>SI</v>
      </c>
      <c r="BY38" s="140">
        <f t="shared" ca="1" si="34"/>
        <v>10</v>
      </c>
      <c r="BZ38" s="4" t="str">
        <f t="shared" ca="1" si="89"/>
        <v>SI</v>
      </c>
      <c r="CA38" s="140">
        <f t="shared" ca="1" si="35"/>
        <v>10</v>
      </c>
      <c r="CB38" s="4" t="str">
        <f t="shared" ca="1" si="90"/>
        <v>SI</v>
      </c>
      <c r="CC38" s="140">
        <f t="shared" ca="1" si="36"/>
        <v>10</v>
      </c>
      <c r="CD38" s="4" t="str">
        <f t="shared" ca="1" si="91"/>
        <v>SI</v>
      </c>
      <c r="CE38" s="140">
        <f t="shared" ca="1" si="37"/>
        <v>10</v>
      </c>
      <c r="CF38" s="4" t="str">
        <f t="shared" ca="1" si="92"/>
        <v>NO</v>
      </c>
      <c r="CG38" s="140">
        <f t="shared" ca="1" si="38"/>
        <v>10</v>
      </c>
      <c r="CH38" s="4" t="str">
        <f t="shared" ca="1" si="93"/>
        <v>Rilevate &lt; 10</v>
      </c>
      <c r="CI38" s="140">
        <f t="shared" ca="1" si="39"/>
        <v>2</v>
      </c>
      <c r="CJ38" s="4" t="b">
        <f t="shared" ca="1" si="94"/>
        <v>0</v>
      </c>
      <c r="CK38" s="140">
        <f t="shared" ca="1" si="40"/>
        <v>0</v>
      </c>
      <c r="CL38" s="4" t="b">
        <f t="shared" ca="1" si="95"/>
        <v>0</v>
      </c>
      <c r="CM38" s="140">
        <f t="shared" ca="1" si="41"/>
        <v>0</v>
      </c>
      <c r="CN38" s="4" t="b">
        <f t="shared" ca="1" si="96"/>
        <v>0</v>
      </c>
      <c r="CO38" s="140">
        <f t="shared" ca="1" si="42"/>
        <v>0</v>
      </c>
      <c r="CP38" s="4" t="b">
        <f t="shared" ca="1" si="97"/>
        <v>0</v>
      </c>
      <c r="CQ38" s="140">
        <f t="shared" ca="1" si="43"/>
        <v>0</v>
      </c>
      <c r="CR38" s="203" t="str">
        <f t="shared" ca="1" si="98"/>
        <v>ok</v>
      </c>
      <c r="CS38" s="4" t="str">
        <f t="shared" ca="1" si="99"/>
        <v>SI</v>
      </c>
      <c r="CT38" s="140">
        <f t="shared" ca="1" si="44"/>
        <v>10</v>
      </c>
      <c r="CU38" s="4" t="str">
        <f t="shared" ca="1" si="99"/>
        <v>SI</v>
      </c>
      <c r="CV38" s="140">
        <f t="shared" ca="1" si="45"/>
        <v>10</v>
      </c>
      <c r="CW38" s="4" t="str">
        <f t="shared" ca="1" si="99"/>
        <v>Sì, tutti</v>
      </c>
      <c r="CX38" s="140">
        <f t="shared" ca="1" si="46"/>
        <v>10</v>
      </c>
      <c r="CY38" s="4" t="str">
        <f t="shared" ca="1" si="99"/>
        <v>SI</v>
      </c>
      <c r="CZ38" s="140">
        <f t="shared" ca="1" si="47"/>
        <v>10</v>
      </c>
      <c r="DA38" s="4" t="str">
        <f t="shared" ca="1" si="99"/>
        <v>SI</v>
      </c>
      <c r="DB38" s="140">
        <f t="shared" ca="1" si="48"/>
        <v>10</v>
      </c>
      <c r="DC38" s="4" t="str">
        <f t="shared" ca="1" si="100"/>
        <v>SI</v>
      </c>
      <c r="DD38" s="140">
        <f t="shared" ca="1" si="49"/>
        <v>10</v>
      </c>
      <c r="DE38" s="4" t="str">
        <f t="shared" ca="1" si="101"/>
        <v>SI</v>
      </c>
      <c r="DF38" s="140">
        <f t="shared" ca="1" si="50"/>
        <v>10</v>
      </c>
      <c r="DG38" s="4" t="str">
        <f t="shared" ca="1" si="102"/>
        <v>SI</v>
      </c>
      <c r="DH38" s="140">
        <f t="shared" ca="1" si="51"/>
        <v>6</v>
      </c>
      <c r="DI38" s="4" t="str">
        <f t="shared" ca="1" si="103"/>
        <v>Sì</v>
      </c>
      <c r="DJ38" s="140">
        <f t="shared" ca="1" si="52"/>
        <v>4</v>
      </c>
      <c r="DK38" s="4" t="str">
        <f t="shared" ca="1" si="104"/>
        <v>Solo personale interno</v>
      </c>
      <c r="DL38" s="140">
        <f t="shared" ca="1" si="53"/>
        <v>10</v>
      </c>
      <c r="DM38" s="4" t="str">
        <f t="shared" ca="1" si="105"/>
        <v>Non previsto audit</v>
      </c>
      <c r="DN38" s="140">
        <f t="shared" ca="1" si="54"/>
        <v>0</v>
      </c>
      <c r="DO38" s="4" t="str">
        <f t="shared" ca="1" si="106"/>
        <v>--</v>
      </c>
      <c r="DP38" s="140">
        <f t="shared" ca="1" si="55"/>
        <v>0</v>
      </c>
      <c r="DQ38" s="4" t="str">
        <f t="shared" ca="1" si="107"/>
        <v>SI</v>
      </c>
      <c r="DR38" s="140">
        <f t="shared" ca="1" si="56"/>
        <v>4</v>
      </c>
      <c r="DS38" s="80" t="str">
        <f t="shared" ca="1" si="108"/>
        <v>--</v>
      </c>
      <c r="DT38" s="140">
        <f t="shared" ca="1" si="57"/>
        <v>0</v>
      </c>
      <c r="DU38" s="4" t="str">
        <f t="shared" ca="1" si="109"/>
        <v>Sì, con copertura analisi rischi totale</v>
      </c>
      <c r="DV38" s="140">
        <f t="shared" ca="1" si="114"/>
        <v>10</v>
      </c>
      <c r="DW38" s="4" t="str">
        <f t="shared" ca="1" si="110"/>
        <v>SI</v>
      </c>
      <c r="DX38" s="140">
        <f t="shared" ca="1" si="58"/>
        <v>10</v>
      </c>
      <c r="DY38" s="4" t="str">
        <f t="shared" ca="1" si="111"/>
        <v>SI</v>
      </c>
      <c r="DZ38" s="140">
        <f t="shared" ca="1" si="59"/>
        <v>4</v>
      </c>
      <c r="EA38" s="80" t="str">
        <f t="shared" ca="1" si="112"/>
        <v>Compresa tra il 30 % e il 50 %</v>
      </c>
      <c r="EB38" s="140">
        <f t="shared" ca="1" si="60"/>
        <v>6</v>
      </c>
      <c r="EC38" s="4">
        <f t="shared" ca="1" si="61"/>
        <v>389</v>
      </c>
    </row>
    <row r="39" spans="1:146">
      <c r="A39" s="363" t="str">
        <f t="shared" ca="1" si="0"/>
        <v>Ministero dell'interno - Affari Interni e Territoriali - Demografici</v>
      </c>
      <c r="B39" s="50">
        <f ca="1">VLOOKUP( TRIM(A39), Classificazione!$A$5:$B$71, 2, FALSE)</f>
        <v>703</v>
      </c>
      <c r="C39" s="364">
        <f ca="1">VLOOKUP(TRIM(A39), Classificazione!$A$5:$L$71, 12, FALSE)</f>
        <v>1000</v>
      </c>
      <c r="D39" s="4" t="str">
        <f t="shared" ca="1" si="62"/>
        <v>Completamente centralizzato</v>
      </c>
      <c r="E39" s="140">
        <f t="shared" ca="1" si="113"/>
        <v>6</v>
      </c>
      <c r="F39" s="4" t="str">
        <f t="shared" ca="1" si="62"/>
        <v>SI</v>
      </c>
      <c r="G39" s="140">
        <f t="shared" ca="1" si="115"/>
        <v>10</v>
      </c>
      <c r="H39" s="4" t="str">
        <f t="shared" ca="1" si="62"/>
        <v>--</v>
      </c>
      <c r="I39" s="140">
        <f t="shared" ca="1" si="63"/>
        <v>0</v>
      </c>
      <c r="J39" s="4" t="b">
        <f t="shared" ca="1" si="62"/>
        <v>0</v>
      </c>
      <c r="K39" s="140">
        <f t="shared" ca="1" si="64"/>
        <v>0</v>
      </c>
      <c r="L39" s="4" t="b">
        <f t="shared" ca="1" si="62"/>
        <v>0</v>
      </c>
      <c r="M39" s="140">
        <f t="shared" ca="1" si="2"/>
        <v>0</v>
      </c>
      <c r="N39" s="4" t="b">
        <f t="shared" ca="1" si="65"/>
        <v>0</v>
      </c>
      <c r="O39" s="140">
        <f t="shared" ca="1" si="3"/>
        <v>0</v>
      </c>
      <c r="P39" s="4" t="b">
        <f t="shared" ca="1" si="66"/>
        <v>0</v>
      </c>
      <c r="Q39" s="140">
        <f t="shared" ca="1" si="4"/>
        <v>0</v>
      </c>
      <c r="R39" s="4" t="str">
        <f t="shared" ca="1" si="67"/>
        <v>UserId/Password</v>
      </c>
      <c r="S39" s="140">
        <f t="shared" ca="1" si="5"/>
        <v>2</v>
      </c>
      <c r="T39" s="4" t="str">
        <f t="shared" ca="1" si="68"/>
        <v>SI</v>
      </c>
      <c r="U39" s="140">
        <f t="shared" ca="1" si="6"/>
        <v>2</v>
      </c>
      <c r="V39" s="4" t="str">
        <f t="shared" ca="1" si="69"/>
        <v>SI</v>
      </c>
      <c r="W39" s="140">
        <f t="shared" ca="1" si="7"/>
        <v>2</v>
      </c>
      <c r="X39" s="4" t="str">
        <f t="shared" ca="1" si="70"/>
        <v>SI</v>
      </c>
      <c r="Y39" s="140">
        <f t="shared" ca="1" si="8"/>
        <v>4</v>
      </c>
      <c r="Z39" s="4" t="str">
        <f t="shared" ca="1" si="71"/>
        <v>Ogni mese</v>
      </c>
      <c r="AA39" s="140">
        <f t="shared" ca="1" si="116"/>
        <v>6</v>
      </c>
      <c r="AB39" s="4" t="str">
        <f t="shared" ca="1" si="72"/>
        <v>NO</v>
      </c>
      <c r="AC39" s="140">
        <f t="shared" ca="1" si="10"/>
        <v>0</v>
      </c>
      <c r="AD39" s="4" t="str">
        <f t="shared" ca="1" si="73"/>
        <v>Esistono postazioni mobili o supporti dati rimuovibili con sistemi di prevenzione degli accessi</v>
      </c>
      <c r="AE39" s="140">
        <f t="shared" ca="1" si="11"/>
        <v>10</v>
      </c>
      <c r="AF39" s="4" t="str">
        <f t="shared" ca="1" si="74"/>
        <v>SI</v>
      </c>
      <c r="AG39" s="140">
        <f t="shared" ca="1" si="12"/>
        <v>6</v>
      </c>
      <c r="AH39" s="4" t="str">
        <f t="shared" ca="1" si="75"/>
        <v>SI</v>
      </c>
      <c r="AI39" s="140">
        <f t="shared" ca="1" si="13"/>
        <v>4</v>
      </c>
      <c r="AJ39" s="4" t="str">
        <f t="shared" ca="1" si="76"/>
        <v>SI</v>
      </c>
      <c r="AK39" s="140">
        <f t="shared" ca="1" si="14"/>
        <v>10</v>
      </c>
      <c r="AL39" s="203" t="str">
        <f t="shared" ca="1" si="15"/>
        <v>ok</v>
      </c>
      <c r="AM39" s="4" t="str">
        <f t="shared" ca="1" si="77"/>
        <v>SI</v>
      </c>
      <c r="AN39" s="140">
        <f t="shared" ca="1" si="16"/>
        <v>10</v>
      </c>
      <c r="AO39" s="4" t="str">
        <f t="shared" ca="1" si="77"/>
        <v>SI</v>
      </c>
      <c r="AP39" s="140">
        <f t="shared" ca="1" si="17"/>
        <v>10</v>
      </c>
      <c r="AQ39" s="4" t="str">
        <f t="shared" ca="1" si="77"/>
        <v>SI</v>
      </c>
      <c r="AR39" s="140">
        <f t="shared" ca="1" si="18"/>
        <v>10</v>
      </c>
      <c r="AS39" s="4" t="b">
        <f t="shared" ca="1" si="77"/>
        <v>1</v>
      </c>
      <c r="AT39" s="140">
        <f t="shared" ca="1" si="19"/>
        <v>5</v>
      </c>
      <c r="AU39" s="4" t="b">
        <f t="shared" ca="1" si="77"/>
        <v>0</v>
      </c>
      <c r="AV39" s="140">
        <f t="shared" ca="1" si="20"/>
        <v>0</v>
      </c>
      <c r="AW39" s="4" t="b">
        <f t="shared" ca="1" si="78"/>
        <v>0</v>
      </c>
      <c r="AX39" s="140">
        <f t="shared" ca="1" si="21"/>
        <v>0</v>
      </c>
      <c r="AY39" s="4" t="str">
        <f t="shared" ca="1" si="79"/>
        <v>NO</v>
      </c>
      <c r="AZ39" s="140">
        <f t="shared" ca="1" si="22"/>
        <v>6</v>
      </c>
      <c r="BA39" s="4" t="str">
        <f t="shared" ca="1" si="80"/>
        <v>Nessuno</v>
      </c>
      <c r="BB39" s="140">
        <f t="shared" ca="1" si="23"/>
        <v>0</v>
      </c>
      <c r="BC39" s="4" t="str">
        <f t="shared" ca="1" si="81"/>
        <v>NO</v>
      </c>
      <c r="BD39" s="140">
        <f t="shared" ca="1" si="24"/>
        <v>6</v>
      </c>
      <c r="BE39" s="4" t="str">
        <f t="shared" ca="1" si="82"/>
        <v>--</v>
      </c>
      <c r="BF39" s="140">
        <f t="shared" ca="1" si="25"/>
        <v>0</v>
      </c>
      <c r="BG39" s="4" t="str">
        <f t="shared" ca="1" si="83"/>
        <v>SI</v>
      </c>
      <c r="BH39" s="140">
        <f t="shared" ca="1" si="26"/>
        <v>6</v>
      </c>
      <c r="BI39" s="4" t="str">
        <f t="shared" ca="1" si="84"/>
        <v>SI</v>
      </c>
      <c r="BJ39" s="140">
        <f t="shared" ca="1" si="27"/>
        <v>4</v>
      </c>
      <c r="BK39" s="4" t="str">
        <f t="shared" ca="1" si="85"/>
        <v>--</v>
      </c>
      <c r="BL39" s="140">
        <f t="shared" ca="1" si="28"/>
        <v>0</v>
      </c>
      <c r="BM39" s="4" t="str">
        <f t="shared" ca="1" si="86"/>
        <v>Sì, centralizzato</v>
      </c>
      <c r="BN39" s="140">
        <f t="shared" ca="1" si="29"/>
        <v>10</v>
      </c>
      <c r="BO39" s="203" t="str">
        <f t="shared" ca="1" si="87"/>
        <v>ok</v>
      </c>
      <c r="BP39" s="4" t="str">
        <f t="shared" ca="1" si="88"/>
        <v>SI</v>
      </c>
      <c r="BQ39" s="140">
        <f t="shared" ca="1" si="30"/>
        <v>10</v>
      </c>
      <c r="BR39" s="4" t="str">
        <f t="shared" ca="1" si="88"/>
        <v>Sì, solo per le applicazioni più importanti</v>
      </c>
      <c r="BS39" s="140">
        <f t="shared" ca="1" si="31"/>
        <v>6</v>
      </c>
      <c r="BT39" s="4" t="str">
        <f t="shared" ca="1" si="88"/>
        <v>--</v>
      </c>
      <c r="BU39" s="140">
        <f t="shared" ca="1" si="32"/>
        <v>0</v>
      </c>
      <c r="BV39" s="4" t="str">
        <f t="shared" ca="1" si="88"/>
        <v>SI</v>
      </c>
      <c r="BW39" s="140">
        <f t="shared" ca="1" si="33"/>
        <v>10</v>
      </c>
      <c r="BX39" s="4" t="str">
        <f t="shared" ca="1" si="88"/>
        <v>--</v>
      </c>
      <c r="BY39" s="140">
        <f t="shared" ca="1" si="34"/>
        <v>0</v>
      </c>
      <c r="BZ39" s="4" t="str">
        <f t="shared" ca="1" si="89"/>
        <v>--</v>
      </c>
      <c r="CA39" s="140">
        <f t="shared" ca="1" si="35"/>
        <v>0</v>
      </c>
      <c r="CB39" s="4" t="str">
        <f t="shared" ca="1" si="90"/>
        <v>SI</v>
      </c>
      <c r="CC39" s="140">
        <f t="shared" ca="1" si="36"/>
        <v>10</v>
      </c>
      <c r="CD39" s="4" t="str">
        <f t="shared" ca="1" si="91"/>
        <v>SI</v>
      </c>
      <c r="CE39" s="140">
        <f t="shared" ca="1" si="37"/>
        <v>10</v>
      </c>
      <c r="CF39" s="4" t="str">
        <f t="shared" ca="1" si="92"/>
        <v>NO</v>
      </c>
      <c r="CG39" s="140">
        <f t="shared" ca="1" si="38"/>
        <v>10</v>
      </c>
      <c r="CH39" s="4" t="str">
        <f t="shared" ca="1" si="93"/>
        <v>Rilevate &lt; 10</v>
      </c>
      <c r="CI39" s="140">
        <f t="shared" ca="1" si="39"/>
        <v>2</v>
      </c>
      <c r="CJ39" s="4" t="b">
        <f t="shared" ca="1" si="94"/>
        <v>0</v>
      </c>
      <c r="CK39" s="140">
        <f t="shared" ca="1" si="40"/>
        <v>0</v>
      </c>
      <c r="CL39" s="4" t="b">
        <f t="shared" ca="1" si="95"/>
        <v>0</v>
      </c>
      <c r="CM39" s="140">
        <f t="shared" ca="1" si="41"/>
        <v>0</v>
      </c>
      <c r="CN39" s="4" t="b">
        <f t="shared" ca="1" si="96"/>
        <v>0</v>
      </c>
      <c r="CO39" s="140">
        <f t="shared" ca="1" si="42"/>
        <v>0</v>
      </c>
      <c r="CP39" s="4" t="b">
        <f t="shared" ca="1" si="97"/>
        <v>0</v>
      </c>
      <c r="CQ39" s="140">
        <f t="shared" ca="1" si="43"/>
        <v>0</v>
      </c>
      <c r="CR39" s="203" t="str">
        <f t="shared" ca="1" si="98"/>
        <v>ok</v>
      </c>
      <c r="CS39" s="4" t="str">
        <f t="shared" ca="1" si="99"/>
        <v>NO</v>
      </c>
      <c r="CT39" s="140">
        <f t="shared" ca="1" si="44"/>
        <v>0</v>
      </c>
      <c r="CU39" s="4" t="str">
        <f t="shared" ca="1" si="99"/>
        <v>--</v>
      </c>
      <c r="CV39" s="140">
        <f t="shared" ca="1" si="45"/>
        <v>0</v>
      </c>
      <c r="CW39" s="4" t="str">
        <f t="shared" ca="1" si="99"/>
        <v>--</v>
      </c>
      <c r="CX39" s="140">
        <f t="shared" ca="1" si="46"/>
        <v>0</v>
      </c>
      <c r="CY39" s="4" t="str">
        <f t="shared" ca="1" si="99"/>
        <v>--</v>
      </c>
      <c r="CZ39" s="140">
        <f t="shared" ca="1" si="47"/>
        <v>0</v>
      </c>
      <c r="DA39" s="4" t="str">
        <f t="shared" ca="1" si="99"/>
        <v>--</v>
      </c>
      <c r="DB39" s="140">
        <f t="shared" ca="1" si="48"/>
        <v>0</v>
      </c>
      <c r="DC39" s="4" t="str">
        <f t="shared" ca="1" si="100"/>
        <v>SI</v>
      </c>
      <c r="DD39" s="140">
        <f t="shared" ca="1" si="49"/>
        <v>10</v>
      </c>
      <c r="DE39" s="4" t="str">
        <f t="shared" ca="1" si="101"/>
        <v>SI</v>
      </c>
      <c r="DF39" s="140">
        <f t="shared" ca="1" si="50"/>
        <v>10</v>
      </c>
      <c r="DG39" s="4" t="str">
        <f t="shared" ca="1" si="102"/>
        <v>SI</v>
      </c>
      <c r="DH39" s="140">
        <f t="shared" ca="1" si="51"/>
        <v>6</v>
      </c>
      <c r="DI39" s="4" t="str">
        <f t="shared" ca="1" si="103"/>
        <v>Sì</v>
      </c>
      <c r="DJ39" s="140">
        <f t="shared" ca="1" si="52"/>
        <v>4</v>
      </c>
      <c r="DK39" s="4" t="str">
        <f t="shared" ca="1" si="104"/>
        <v>Solo personale interno</v>
      </c>
      <c r="DL39" s="140">
        <f t="shared" ca="1" si="53"/>
        <v>10</v>
      </c>
      <c r="DM39" s="4" t="str">
        <f t="shared" ca="1" si="105"/>
        <v>Non previsto audit</v>
      </c>
      <c r="DN39" s="140">
        <f t="shared" ca="1" si="54"/>
        <v>0</v>
      </c>
      <c r="DO39" s="4" t="str">
        <f t="shared" ca="1" si="106"/>
        <v>--</v>
      </c>
      <c r="DP39" s="140">
        <f t="shared" ca="1" si="55"/>
        <v>0</v>
      </c>
      <c r="DQ39" s="4" t="str">
        <f t="shared" ca="1" si="107"/>
        <v>SI</v>
      </c>
      <c r="DR39" s="140">
        <f t="shared" ca="1" si="56"/>
        <v>4</v>
      </c>
      <c r="DS39" s="80" t="str">
        <f t="shared" ca="1" si="108"/>
        <v>--</v>
      </c>
      <c r="DT39" s="140">
        <f t="shared" ca="1" si="57"/>
        <v>0</v>
      </c>
      <c r="DU39" s="4" t="str">
        <f t="shared" ca="1" si="109"/>
        <v>Sì, con copertura analisi rischi totale</v>
      </c>
      <c r="DV39" s="140">
        <f t="shared" ca="1" si="114"/>
        <v>10</v>
      </c>
      <c r="DW39" s="4" t="str">
        <f t="shared" ca="1" si="110"/>
        <v>NO</v>
      </c>
      <c r="DX39" s="140">
        <f t="shared" ca="1" si="58"/>
        <v>0</v>
      </c>
      <c r="DY39" s="4" t="str">
        <f t="shared" ca="1" si="111"/>
        <v>NO</v>
      </c>
      <c r="DZ39" s="140">
        <f t="shared" ca="1" si="59"/>
        <v>0</v>
      </c>
      <c r="EA39" s="80" t="str">
        <f t="shared" ca="1" si="112"/>
        <v>Inferiore al 10 %</v>
      </c>
      <c r="EB39" s="140">
        <f t="shared" ca="1" si="60"/>
        <v>2</v>
      </c>
      <c r="EC39" s="4">
        <f t="shared" ca="1" si="61"/>
        <v>243</v>
      </c>
    </row>
    <row r="40" spans="1:146">
      <c r="A40" s="363" t="str">
        <f t="shared" ca="1" si="0"/>
        <v>Ministero dell'interno - Affari Interni e Territoriali - Elettorale</v>
      </c>
      <c r="B40" s="50">
        <f ca="1">VLOOKUP( TRIM(A40), Classificazione!$A$5:$B$71, 2, FALSE)</f>
        <v>707</v>
      </c>
      <c r="C40" s="364">
        <f ca="1">VLOOKUP(TRIM(A40), Classificazione!$A$5:$L$71, 12, FALSE)</f>
        <v>1000</v>
      </c>
      <c r="D40" s="4" t="str">
        <f t="shared" ca="1" si="62"/>
        <v>Completamente centralizzato</v>
      </c>
      <c r="E40" s="140">
        <f t="shared" ca="1" si="113"/>
        <v>6</v>
      </c>
      <c r="F40" s="4" t="str">
        <f t="shared" ca="1" si="62"/>
        <v>SI</v>
      </c>
      <c r="G40" s="140">
        <f t="shared" ca="1" si="115"/>
        <v>10</v>
      </c>
      <c r="H40" s="4" t="str">
        <f t="shared" ca="1" si="62"/>
        <v>SI</v>
      </c>
      <c r="I40" s="140">
        <f t="shared" ca="1" si="63"/>
        <v>10</v>
      </c>
      <c r="J40" s="4" t="b">
        <f t="shared" ca="1" si="62"/>
        <v>1</v>
      </c>
      <c r="K40" s="140">
        <f t="shared" ca="1" si="64"/>
        <v>5</v>
      </c>
      <c r="L40" s="4" t="b">
        <f t="shared" ca="1" si="62"/>
        <v>1</v>
      </c>
      <c r="M40" s="140">
        <f t="shared" ca="1" si="2"/>
        <v>5</v>
      </c>
      <c r="N40" s="4" t="b">
        <f t="shared" ca="1" si="65"/>
        <v>1</v>
      </c>
      <c r="O40" s="140">
        <f t="shared" ca="1" si="3"/>
        <v>3</v>
      </c>
      <c r="P40" s="4" t="b">
        <f t="shared" ca="1" si="66"/>
        <v>0</v>
      </c>
      <c r="Q40" s="140">
        <f t="shared" ca="1" si="4"/>
        <v>0</v>
      </c>
      <c r="R40" s="4" t="str">
        <f t="shared" ca="1" si="67"/>
        <v>UserId/Password</v>
      </c>
      <c r="S40" s="140">
        <f t="shared" ca="1" si="5"/>
        <v>2</v>
      </c>
      <c r="T40" s="4" t="str">
        <f t="shared" ca="1" si="68"/>
        <v>SI</v>
      </c>
      <c r="U40" s="140">
        <f t="shared" ca="1" si="6"/>
        <v>2</v>
      </c>
      <c r="V40" s="4" t="str">
        <f t="shared" ca="1" si="69"/>
        <v>SI</v>
      </c>
      <c r="W40" s="140">
        <f t="shared" ca="1" si="7"/>
        <v>2</v>
      </c>
      <c r="X40" s="4" t="str">
        <f t="shared" ca="1" si="70"/>
        <v>SI</v>
      </c>
      <c r="Y40" s="140">
        <f t="shared" ca="1" si="8"/>
        <v>4</v>
      </c>
      <c r="Z40" s="4" t="str">
        <f t="shared" ca="1" si="71"/>
        <v>Ogni mese</v>
      </c>
      <c r="AA40" s="140">
        <f t="shared" ca="1" si="116"/>
        <v>6</v>
      </c>
      <c r="AB40" s="4" t="str">
        <f t="shared" ca="1" si="72"/>
        <v>NO</v>
      </c>
      <c r="AC40" s="140">
        <f t="shared" ca="1" si="10"/>
        <v>0</v>
      </c>
      <c r="AD40" s="4" t="str">
        <f t="shared" ca="1" si="73"/>
        <v>Esistono postazioni mobili o supporti dati rimuovibili con sistemi di prevenzione degli accessi</v>
      </c>
      <c r="AE40" s="140">
        <f t="shared" ca="1" si="11"/>
        <v>10</v>
      </c>
      <c r="AF40" s="4" t="str">
        <f t="shared" ca="1" si="74"/>
        <v>SI</v>
      </c>
      <c r="AG40" s="140">
        <f t="shared" ca="1" si="12"/>
        <v>6</v>
      </c>
      <c r="AH40" s="4" t="str">
        <f t="shared" ca="1" si="75"/>
        <v>SI</v>
      </c>
      <c r="AI40" s="140">
        <f t="shared" ca="1" si="13"/>
        <v>4</v>
      </c>
      <c r="AJ40" s="4" t="str">
        <f t="shared" ca="1" si="76"/>
        <v>SI</v>
      </c>
      <c r="AK40" s="140">
        <f t="shared" ca="1" si="14"/>
        <v>10</v>
      </c>
      <c r="AL40" s="203" t="str">
        <f t="shared" ca="1" si="15"/>
        <v>ok</v>
      </c>
      <c r="AM40" s="4" t="str">
        <f t="shared" ca="1" si="77"/>
        <v>SI</v>
      </c>
      <c r="AN40" s="140">
        <f t="shared" ca="1" si="16"/>
        <v>10</v>
      </c>
      <c r="AO40" s="4" t="str">
        <f t="shared" ca="1" si="77"/>
        <v>SI</v>
      </c>
      <c r="AP40" s="140">
        <f t="shared" ca="1" si="17"/>
        <v>10</v>
      </c>
      <c r="AQ40" s="4" t="str">
        <f t="shared" ca="1" si="77"/>
        <v>SI</v>
      </c>
      <c r="AR40" s="140">
        <f t="shared" ca="1" si="18"/>
        <v>10</v>
      </c>
      <c r="AS40" s="4" t="b">
        <f t="shared" ca="1" si="77"/>
        <v>1</v>
      </c>
      <c r="AT40" s="140">
        <f t="shared" ca="1" si="19"/>
        <v>5</v>
      </c>
      <c r="AU40" s="4" t="b">
        <f t="shared" ca="1" si="77"/>
        <v>1</v>
      </c>
      <c r="AV40" s="140">
        <f t="shared" ca="1" si="20"/>
        <v>5</v>
      </c>
      <c r="AW40" s="4" t="b">
        <f t="shared" ca="1" si="78"/>
        <v>0</v>
      </c>
      <c r="AX40" s="140">
        <f t="shared" ca="1" si="21"/>
        <v>0</v>
      </c>
      <c r="AY40" s="4" t="str">
        <f t="shared" ca="1" si="79"/>
        <v>NO</v>
      </c>
      <c r="AZ40" s="140">
        <f t="shared" ca="1" si="22"/>
        <v>6</v>
      </c>
      <c r="BA40" s="4" t="str">
        <f t="shared" ca="1" si="80"/>
        <v>Nessuno</v>
      </c>
      <c r="BB40" s="140">
        <f t="shared" ca="1" si="23"/>
        <v>0</v>
      </c>
      <c r="BC40" s="4" t="str">
        <f t="shared" ca="1" si="81"/>
        <v>SI</v>
      </c>
      <c r="BD40" s="140">
        <f t="shared" ca="1" si="24"/>
        <v>0</v>
      </c>
      <c r="BE40" s="4" t="str">
        <f t="shared" ca="1" si="82"/>
        <v>Accesso remoto mediante  VPN</v>
      </c>
      <c r="BF40" s="140">
        <f t="shared" ca="1" si="25"/>
        <v>10</v>
      </c>
      <c r="BG40" s="4" t="str">
        <f t="shared" ca="1" si="83"/>
        <v>SI</v>
      </c>
      <c r="BH40" s="140">
        <f t="shared" ca="1" si="26"/>
        <v>6</v>
      </c>
      <c r="BI40" s="4" t="str">
        <f t="shared" ca="1" si="84"/>
        <v>SI</v>
      </c>
      <c r="BJ40" s="140">
        <f t="shared" ca="1" si="27"/>
        <v>4</v>
      </c>
      <c r="BK40" s="4" t="str">
        <f t="shared" ca="1" si="85"/>
        <v>SI</v>
      </c>
      <c r="BL40" s="140">
        <f t="shared" ca="1" si="28"/>
        <v>10</v>
      </c>
      <c r="BM40" s="4" t="str">
        <f t="shared" ca="1" si="86"/>
        <v>Sì, centralizzato</v>
      </c>
      <c r="BN40" s="140">
        <f t="shared" ca="1" si="29"/>
        <v>10</v>
      </c>
      <c r="BO40" s="203" t="str">
        <f t="shared" ca="1" si="87"/>
        <v>ok</v>
      </c>
      <c r="BP40" s="4" t="str">
        <f t="shared" ca="1" si="88"/>
        <v>NO</v>
      </c>
      <c r="BQ40" s="140">
        <f t="shared" ca="1" si="30"/>
        <v>0</v>
      </c>
      <c r="BR40" s="4" t="str">
        <f t="shared" ca="1" si="88"/>
        <v>Sì, solo per le applicazioni più importanti</v>
      </c>
      <c r="BS40" s="140">
        <f t="shared" ca="1" si="31"/>
        <v>6</v>
      </c>
      <c r="BT40" s="4" t="str">
        <f t="shared" ca="1" si="88"/>
        <v>Sì, solo per le applicazioni più importanti</v>
      </c>
      <c r="BU40" s="140">
        <f t="shared" ca="1" si="32"/>
        <v>6</v>
      </c>
      <c r="BV40" s="4" t="str">
        <f t="shared" ca="1" si="88"/>
        <v>SI</v>
      </c>
      <c r="BW40" s="140">
        <f t="shared" ca="1" si="33"/>
        <v>10</v>
      </c>
      <c r="BX40" s="4" t="str">
        <f t="shared" ca="1" si="88"/>
        <v>SI</v>
      </c>
      <c r="BY40" s="140">
        <f t="shared" ca="1" si="34"/>
        <v>10</v>
      </c>
      <c r="BZ40" s="4" t="str">
        <f t="shared" ca="1" si="89"/>
        <v>SI</v>
      </c>
      <c r="CA40" s="140">
        <f t="shared" ca="1" si="35"/>
        <v>10</v>
      </c>
      <c r="CB40" s="4" t="str">
        <f t="shared" ca="1" si="90"/>
        <v>SI</v>
      </c>
      <c r="CC40" s="140">
        <f t="shared" ca="1" si="36"/>
        <v>10</v>
      </c>
      <c r="CD40" s="4" t="str">
        <f t="shared" ca="1" si="91"/>
        <v>SI</v>
      </c>
      <c r="CE40" s="140">
        <f t="shared" ca="1" si="37"/>
        <v>10</v>
      </c>
      <c r="CF40" s="4" t="str">
        <f t="shared" ca="1" si="92"/>
        <v>NO</v>
      </c>
      <c r="CG40" s="140">
        <f t="shared" ca="1" si="38"/>
        <v>10</v>
      </c>
      <c r="CH40" s="4" t="str">
        <f t="shared" ca="1" si="93"/>
        <v>Rilevate &lt; 10</v>
      </c>
      <c r="CI40" s="140">
        <f t="shared" ca="1" si="39"/>
        <v>2</v>
      </c>
      <c r="CJ40" s="4" t="b">
        <f t="shared" ca="1" si="94"/>
        <v>0</v>
      </c>
      <c r="CK40" s="140">
        <f t="shared" ca="1" si="40"/>
        <v>0</v>
      </c>
      <c r="CL40" s="4" t="b">
        <f t="shared" ca="1" si="95"/>
        <v>0</v>
      </c>
      <c r="CM40" s="140">
        <f t="shared" ca="1" si="41"/>
        <v>0</v>
      </c>
      <c r="CN40" s="4" t="b">
        <f t="shared" ca="1" si="96"/>
        <v>0</v>
      </c>
      <c r="CO40" s="140">
        <f t="shared" ca="1" si="42"/>
        <v>0</v>
      </c>
      <c r="CP40" s="4" t="b">
        <f t="shared" ca="1" si="97"/>
        <v>0</v>
      </c>
      <c r="CQ40" s="140">
        <f t="shared" ca="1" si="43"/>
        <v>0</v>
      </c>
      <c r="CR40" s="203" t="str">
        <f t="shared" ca="1" si="98"/>
        <v>ok</v>
      </c>
      <c r="CS40" s="4" t="str">
        <f t="shared" ca="1" si="99"/>
        <v>SI</v>
      </c>
      <c r="CT40" s="140">
        <f t="shared" ca="1" si="44"/>
        <v>10</v>
      </c>
      <c r="CU40" s="4" t="str">
        <f t="shared" ca="1" si="99"/>
        <v>SI</v>
      </c>
      <c r="CV40" s="140">
        <f t="shared" ca="1" si="45"/>
        <v>10</v>
      </c>
      <c r="CW40" s="4" t="str">
        <f t="shared" ca="1" si="99"/>
        <v>Sì, tutti</v>
      </c>
      <c r="CX40" s="140">
        <f t="shared" ca="1" si="46"/>
        <v>10</v>
      </c>
      <c r="CY40" s="4" t="str">
        <f t="shared" ca="1" si="99"/>
        <v>SI</v>
      </c>
      <c r="CZ40" s="140">
        <f t="shared" ca="1" si="47"/>
        <v>10</v>
      </c>
      <c r="DA40" s="4" t="str">
        <f t="shared" ca="1" si="99"/>
        <v>SI</v>
      </c>
      <c r="DB40" s="140">
        <f t="shared" ca="1" si="48"/>
        <v>10</v>
      </c>
      <c r="DC40" s="4" t="str">
        <f t="shared" ca="1" si="100"/>
        <v>SI</v>
      </c>
      <c r="DD40" s="140">
        <f t="shared" ca="1" si="49"/>
        <v>10</v>
      </c>
      <c r="DE40" s="4" t="str">
        <f t="shared" ca="1" si="101"/>
        <v>SI</v>
      </c>
      <c r="DF40" s="140">
        <f t="shared" ca="1" si="50"/>
        <v>10</v>
      </c>
      <c r="DG40" s="4" t="str">
        <f t="shared" ca="1" si="102"/>
        <v>SI</v>
      </c>
      <c r="DH40" s="140">
        <f t="shared" ca="1" si="51"/>
        <v>6</v>
      </c>
      <c r="DI40" s="4" t="str">
        <f t="shared" ca="1" si="103"/>
        <v>Sì</v>
      </c>
      <c r="DJ40" s="140">
        <f t="shared" ca="1" si="52"/>
        <v>4</v>
      </c>
      <c r="DK40" s="4" t="str">
        <f t="shared" ca="1" si="104"/>
        <v>Solo personale interno</v>
      </c>
      <c r="DL40" s="140">
        <f t="shared" ca="1" si="53"/>
        <v>10</v>
      </c>
      <c r="DM40" s="4" t="str">
        <f t="shared" ca="1" si="105"/>
        <v>Non previsto audit</v>
      </c>
      <c r="DN40" s="140">
        <f t="shared" ca="1" si="54"/>
        <v>0</v>
      </c>
      <c r="DO40" s="4" t="str">
        <f t="shared" ca="1" si="106"/>
        <v>--</v>
      </c>
      <c r="DP40" s="140">
        <f t="shared" ca="1" si="55"/>
        <v>0</v>
      </c>
      <c r="DQ40" s="4" t="str">
        <f t="shared" ca="1" si="107"/>
        <v>SI</v>
      </c>
      <c r="DR40" s="140">
        <f t="shared" ca="1" si="56"/>
        <v>4</v>
      </c>
      <c r="DS40" s="80" t="str">
        <f t="shared" ca="1" si="108"/>
        <v>--</v>
      </c>
      <c r="DT40" s="140">
        <f t="shared" ca="1" si="57"/>
        <v>0</v>
      </c>
      <c r="DU40" s="4" t="str">
        <f t="shared" ca="1" si="109"/>
        <v>Sì, con copertura analisi rischi totale</v>
      </c>
      <c r="DV40" s="140">
        <f t="shared" ca="1" si="114"/>
        <v>10</v>
      </c>
      <c r="DW40" s="4" t="str">
        <f t="shared" ca="1" si="110"/>
        <v>SI</v>
      </c>
      <c r="DX40" s="140">
        <f t="shared" ca="1" si="58"/>
        <v>10</v>
      </c>
      <c r="DY40" s="4" t="str">
        <f t="shared" ca="1" si="111"/>
        <v>SI</v>
      </c>
      <c r="DZ40" s="140">
        <f t="shared" ca="1" si="59"/>
        <v>4</v>
      </c>
      <c r="EA40" s="80" t="str">
        <f t="shared" ca="1" si="112"/>
        <v>Compresa tra il 30 % e il 50 %</v>
      </c>
      <c r="EB40" s="140">
        <f t="shared" ca="1" si="60"/>
        <v>6</v>
      </c>
      <c r="EC40" s="4">
        <f t="shared" ca="1" si="61"/>
        <v>369</v>
      </c>
    </row>
    <row r="41" spans="1:146">
      <c r="A41" s="363" t="str">
        <f t="shared" ca="1" si="0"/>
        <v>Ministero dell'interno - Politiche Personale</v>
      </c>
      <c r="B41" s="50">
        <f ca="1">VLOOKUP( TRIM(A41), Classificazione!$A$5:$B$71, 2, FALSE)</f>
        <v>712</v>
      </c>
      <c r="C41" s="364">
        <f ca="1">VLOOKUP(TRIM(A41), Classificazione!$A$5:$L$71, 12, FALSE)</f>
        <v>1000</v>
      </c>
      <c r="D41" s="4" t="str">
        <f t="shared" ca="1" si="62"/>
        <v>Completamente centralizzato</v>
      </c>
      <c r="E41" s="140">
        <f t="shared" ca="1" si="113"/>
        <v>6</v>
      </c>
      <c r="F41" s="4" t="str">
        <f t="shared" ca="1" si="62"/>
        <v>SI</v>
      </c>
      <c r="G41" s="140">
        <f t="shared" ca="1" si="115"/>
        <v>10</v>
      </c>
      <c r="H41" s="4" t="str">
        <f t="shared" ca="1" si="62"/>
        <v>SI</v>
      </c>
      <c r="I41" s="140">
        <f t="shared" ca="1" si="63"/>
        <v>10</v>
      </c>
      <c r="J41" s="4" t="b">
        <f t="shared" ca="1" si="62"/>
        <v>0</v>
      </c>
      <c r="K41" s="140">
        <f t="shared" ca="1" si="64"/>
        <v>0</v>
      </c>
      <c r="L41" s="4" t="b">
        <f t="shared" ca="1" si="62"/>
        <v>1</v>
      </c>
      <c r="M41" s="140">
        <f t="shared" ca="1" si="2"/>
        <v>5</v>
      </c>
      <c r="N41" s="4" t="b">
        <f t="shared" ca="1" si="65"/>
        <v>1</v>
      </c>
      <c r="O41" s="140">
        <f t="shared" ca="1" si="3"/>
        <v>3</v>
      </c>
      <c r="P41" s="4" t="b">
        <f t="shared" ca="1" si="66"/>
        <v>0</v>
      </c>
      <c r="Q41" s="140">
        <f t="shared" ca="1" si="4"/>
        <v>0</v>
      </c>
      <c r="R41" s="4" t="str">
        <f t="shared" ca="1" si="67"/>
        <v>UserId/Password</v>
      </c>
      <c r="S41" s="140">
        <f t="shared" ca="1" si="5"/>
        <v>2</v>
      </c>
      <c r="T41" s="4" t="str">
        <f t="shared" ca="1" si="68"/>
        <v>SI</v>
      </c>
      <c r="U41" s="140">
        <f t="shared" ca="1" si="6"/>
        <v>2</v>
      </c>
      <c r="V41" s="4" t="str">
        <f t="shared" ca="1" si="69"/>
        <v>SI</v>
      </c>
      <c r="W41" s="140">
        <f t="shared" ca="1" si="7"/>
        <v>2</v>
      </c>
      <c r="X41" s="4" t="str">
        <f t="shared" ca="1" si="70"/>
        <v>SI</v>
      </c>
      <c r="Y41" s="140">
        <f t="shared" ca="1" si="8"/>
        <v>4</v>
      </c>
      <c r="Z41" s="4" t="str">
        <f t="shared" ca="1" si="71"/>
        <v>Ogni mese</v>
      </c>
      <c r="AA41" s="140">
        <f t="shared" ca="1" si="116"/>
        <v>6</v>
      </c>
      <c r="AB41" s="4" t="str">
        <f t="shared" ca="1" si="72"/>
        <v>SI</v>
      </c>
      <c r="AC41" s="140">
        <f t="shared" ca="1" si="10"/>
        <v>10</v>
      </c>
      <c r="AD41" s="4" t="str">
        <f t="shared" ca="1" si="73"/>
        <v>Esistono postazioni mobili o supporti dati rimuovibili con sistemi di prevenzione degli accessi</v>
      </c>
      <c r="AE41" s="140">
        <f t="shared" ca="1" si="11"/>
        <v>10</v>
      </c>
      <c r="AF41" s="4" t="str">
        <f t="shared" ca="1" si="74"/>
        <v>SI</v>
      </c>
      <c r="AG41" s="140">
        <f t="shared" ca="1" si="12"/>
        <v>6</v>
      </c>
      <c r="AH41" s="4" t="str">
        <f t="shared" ca="1" si="75"/>
        <v>NO</v>
      </c>
      <c r="AI41" s="140">
        <f t="shared" ca="1" si="13"/>
        <v>0</v>
      </c>
      <c r="AJ41" s="4" t="str">
        <f t="shared" ca="1" si="76"/>
        <v>SI</v>
      </c>
      <c r="AK41" s="140">
        <f t="shared" ca="1" si="14"/>
        <v>10</v>
      </c>
      <c r="AL41" s="203" t="str">
        <f t="shared" ca="1" si="15"/>
        <v>ok</v>
      </c>
      <c r="AM41" s="4" t="str">
        <f t="shared" ca="1" si="77"/>
        <v>SI</v>
      </c>
      <c r="AN41" s="140">
        <f t="shared" ca="1" si="16"/>
        <v>10</v>
      </c>
      <c r="AO41" s="4" t="str">
        <f t="shared" ca="1" si="77"/>
        <v>SI</v>
      </c>
      <c r="AP41" s="140">
        <f t="shared" ca="1" si="17"/>
        <v>10</v>
      </c>
      <c r="AQ41" s="4" t="str">
        <f t="shared" ca="1" si="77"/>
        <v>SI</v>
      </c>
      <c r="AR41" s="140">
        <f t="shared" ca="1" si="18"/>
        <v>10</v>
      </c>
      <c r="AS41" s="4" t="b">
        <f t="shared" ca="1" si="77"/>
        <v>1</v>
      </c>
      <c r="AT41" s="140">
        <f t="shared" ca="1" si="19"/>
        <v>5</v>
      </c>
      <c r="AU41" s="4" t="b">
        <f t="shared" ca="1" si="77"/>
        <v>1</v>
      </c>
      <c r="AV41" s="140">
        <f t="shared" ca="1" si="20"/>
        <v>5</v>
      </c>
      <c r="AW41" s="4" t="b">
        <f t="shared" ca="1" si="78"/>
        <v>0</v>
      </c>
      <c r="AX41" s="140">
        <f t="shared" ca="1" si="21"/>
        <v>0</v>
      </c>
      <c r="AY41" s="4" t="str">
        <f t="shared" ca="1" si="79"/>
        <v>NO</v>
      </c>
      <c r="AZ41" s="140">
        <f t="shared" ca="1" si="22"/>
        <v>6</v>
      </c>
      <c r="BA41" s="4" t="str">
        <f t="shared" ca="1" si="80"/>
        <v>Nessuno</v>
      </c>
      <c r="BB41" s="140">
        <f t="shared" ca="1" si="23"/>
        <v>0</v>
      </c>
      <c r="BC41" s="4" t="str">
        <f t="shared" ca="1" si="81"/>
        <v>SI</v>
      </c>
      <c r="BD41" s="140">
        <f t="shared" ca="1" si="24"/>
        <v>0</v>
      </c>
      <c r="BE41" s="4" t="str">
        <f t="shared" ca="1" si="82"/>
        <v>Accesso remoto mediante  VPN</v>
      </c>
      <c r="BF41" s="140">
        <f t="shared" ca="1" si="25"/>
        <v>10</v>
      </c>
      <c r="BG41" s="4" t="str">
        <f t="shared" ca="1" si="83"/>
        <v>SI</v>
      </c>
      <c r="BH41" s="140">
        <f t="shared" ca="1" si="26"/>
        <v>6</v>
      </c>
      <c r="BI41" s="4" t="str">
        <f t="shared" ca="1" si="84"/>
        <v>SI</v>
      </c>
      <c r="BJ41" s="140">
        <f t="shared" ca="1" si="27"/>
        <v>4</v>
      </c>
      <c r="BK41" s="4" t="str">
        <f t="shared" ca="1" si="85"/>
        <v>SI</v>
      </c>
      <c r="BL41" s="140">
        <f t="shared" ca="1" si="28"/>
        <v>10</v>
      </c>
      <c r="BM41" s="4" t="str">
        <f t="shared" ca="1" si="86"/>
        <v>Sì, centralizzato</v>
      </c>
      <c r="BN41" s="140">
        <f t="shared" ca="1" si="29"/>
        <v>10</v>
      </c>
      <c r="BO41" s="203" t="str">
        <f t="shared" ca="1" si="87"/>
        <v>ok</v>
      </c>
      <c r="BP41" s="4" t="str">
        <f t="shared" ca="1" si="88"/>
        <v>NO</v>
      </c>
      <c r="BQ41" s="140">
        <f t="shared" ca="1" si="30"/>
        <v>0</v>
      </c>
      <c r="BR41" s="4" t="str">
        <f t="shared" ca="1" si="88"/>
        <v>Sì, solo per le applicazioni più importanti</v>
      </c>
      <c r="BS41" s="140">
        <f t="shared" ca="1" si="31"/>
        <v>6</v>
      </c>
      <c r="BT41" s="4" t="str">
        <f t="shared" ca="1" si="88"/>
        <v>Sì, solo per le applicazioni più importanti</v>
      </c>
      <c r="BU41" s="140">
        <f t="shared" ca="1" si="32"/>
        <v>6</v>
      </c>
      <c r="BV41" s="4" t="str">
        <f t="shared" ca="1" si="88"/>
        <v>SI</v>
      </c>
      <c r="BW41" s="140">
        <f t="shared" ca="1" si="33"/>
        <v>10</v>
      </c>
      <c r="BX41" s="4" t="str">
        <f t="shared" ca="1" si="88"/>
        <v>--</v>
      </c>
      <c r="BY41" s="140">
        <f t="shared" ca="1" si="34"/>
        <v>0</v>
      </c>
      <c r="BZ41" s="4" t="str">
        <f t="shared" ca="1" si="89"/>
        <v>--</v>
      </c>
      <c r="CA41" s="140">
        <f t="shared" ca="1" si="35"/>
        <v>0</v>
      </c>
      <c r="CB41" s="4" t="str">
        <f t="shared" ca="1" si="90"/>
        <v>SI</v>
      </c>
      <c r="CC41" s="140">
        <f t="shared" ca="1" si="36"/>
        <v>10</v>
      </c>
      <c r="CD41" s="4" t="str">
        <f t="shared" ca="1" si="91"/>
        <v>SI</v>
      </c>
      <c r="CE41" s="140">
        <f t="shared" ca="1" si="37"/>
        <v>10</v>
      </c>
      <c r="CF41" s="4" t="str">
        <f t="shared" ca="1" si="92"/>
        <v>NO</v>
      </c>
      <c r="CG41" s="140">
        <f t="shared" ca="1" si="38"/>
        <v>10</v>
      </c>
      <c r="CH41" s="4" t="str">
        <f t="shared" ca="1" si="93"/>
        <v>Rilevate &lt; 10</v>
      </c>
      <c r="CI41" s="140">
        <f t="shared" ca="1" si="39"/>
        <v>2</v>
      </c>
      <c r="CJ41" s="4" t="b">
        <f t="shared" ca="1" si="94"/>
        <v>0</v>
      </c>
      <c r="CK41" s="140">
        <f t="shared" ca="1" si="40"/>
        <v>0</v>
      </c>
      <c r="CL41" s="4" t="b">
        <f t="shared" ca="1" si="95"/>
        <v>0</v>
      </c>
      <c r="CM41" s="140">
        <f t="shared" ca="1" si="41"/>
        <v>0</v>
      </c>
      <c r="CN41" s="4" t="b">
        <f t="shared" ca="1" si="96"/>
        <v>0</v>
      </c>
      <c r="CO41" s="140">
        <f t="shared" ca="1" si="42"/>
        <v>0</v>
      </c>
      <c r="CP41" s="4" t="b">
        <f t="shared" ca="1" si="97"/>
        <v>0</v>
      </c>
      <c r="CQ41" s="140">
        <f t="shared" ca="1" si="43"/>
        <v>0</v>
      </c>
      <c r="CR41" s="203" t="str">
        <f t="shared" ca="1" si="98"/>
        <v>ok</v>
      </c>
      <c r="CS41" s="4" t="str">
        <f t="shared" ca="1" si="99"/>
        <v>NO</v>
      </c>
      <c r="CT41" s="140">
        <f t="shared" ca="1" si="44"/>
        <v>0</v>
      </c>
      <c r="CU41" s="4" t="str">
        <f t="shared" ca="1" si="99"/>
        <v>NO</v>
      </c>
      <c r="CV41" s="140">
        <f t="shared" ca="1" si="45"/>
        <v>0</v>
      </c>
      <c r="CW41" s="4" t="str">
        <f t="shared" ca="1" si="99"/>
        <v>--</v>
      </c>
      <c r="CX41" s="140">
        <f t="shared" ca="1" si="46"/>
        <v>0</v>
      </c>
      <c r="CY41" s="4" t="str">
        <f t="shared" ca="1" si="99"/>
        <v>SI</v>
      </c>
      <c r="CZ41" s="140">
        <f t="shared" ca="1" si="47"/>
        <v>10</v>
      </c>
      <c r="DA41" s="4" t="str">
        <f t="shared" ca="1" si="99"/>
        <v>NO</v>
      </c>
      <c r="DB41" s="140">
        <f t="shared" ca="1" si="48"/>
        <v>0</v>
      </c>
      <c r="DC41" s="4" t="str">
        <f t="shared" ca="1" si="100"/>
        <v>NO</v>
      </c>
      <c r="DD41" s="140">
        <f t="shared" ca="1" si="49"/>
        <v>0</v>
      </c>
      <c r="DE41" s="4" t="str">
        <f t="shared" ca="1" si="101"/>
        <v>--</v>
      </c>
      <c r="DF41" s="140">
        <f t="shared" ca="1" si="50"/>
        <v>0</v>
      </c>
      <c r="DG41" s="4" t="str">
        <f t="shared" ca="1" si="102"/>
        <v>SI</v>
      </c>
      <c r="DH41" s="140">
        <f t="shared" ca="1" si="51"/>
        <v>6</v>
      </c>
      <c r="DI41" s="4" t="str">
        <f t="shared" ca="1" si="103"/>
        <v>Sì</v>
      </c>
      <c r="DJ41" s="140">
        <f t="shared" ca="1" si="52"/>
        <v>4</v>
      </c>
      <c r="DK41" s="4" t="str">
        <f t="shared" ca="1" si="104"/>
        <v>Solo personale interno</v>
      </c>
      <c r="DL41" s="140">
        <f t="shared" ca="1" si="53"/>
        <v>10</v>
      </c>
      <c r="DM41" s="4" t="str">
        <f t="shared" ca="1" si="105"/>
        <v>Non previsto audit</v>
      </c>
      <c r="DN41" s="140">
        <f t="shared" ca="1" si="54"/>
        <v>0</v>
      </c>
      <c r="DO41" s="4" t="str">
        <f t="shared" ca="1" si="106"/>
        <v>--</v>
      </c>
      <c r="DP41" s="140">
        <f t="shared" ca="1" si="55"/>
        <v>0</v>
      </c>
      <c r="DQ41" s="4" t="str">
        <f t="shared" ca="1" si="107"/>
        <v>--</v>
      </c>
      <c r="DR41" s="140">
        <f t="shared" ca="1" si="56"/>
        <v>0</v>
      </c>
      <c r="DS41" s="80" t="str">
        <f t="shared" ca="1" si="108"/>
        <v>--</v>
      </c>
      <c r="DT41" s="140">
        <f t="shared" ca="1" si="57"/>
        <v>0</v>
      </c>
      <c r="DU41" s="4" t="str">
        <f t="shared" ca="1" si="109"/>
        <v>Sì, con copertura analisi rischi parziale</v>
      </c>
      <c r="DV41" s="140">
        <f t="shared" ca="1" si="114"/>
        <v>8</v>
      </c>
      <c r="DW41" s="4" t="str">
        <f t="shared" ca="1" si="110"/>
        <v>SI</v>
      </c>
      <c r="DX41" s="140">
        <f t="shared" ca="1" si="58"/>
        <v>10</v>
      </c>
      <c r="DY41" s="4" t="str">
        <f t="shared" ca="1" si="111"/>
        <v>NO</v>
      </c>
      <c r="DZ41" s="140">
        <f t="shared" ca="1" si="59"/>
        <v>0</v>
      </c>
      <c r="EA41" s="80" t="str">
        <f t="shared" ca="1" si="112"/>
        <v>Inferiore al 10 %</v>
      </c>
      <c r="EB41" s="140">
        <f t="shared" ca="1" si="60"/>
        <v>2</v>
      </c>
      <c r="EC41" s="4">
        <f t="shared" ca="1" si="61"/>
        <v>276</v>
      </c>
    </row>
    <row r="42" spans="1:146">
      <c r="A42" s="363" t="str">
        <f t="shared" ca="1" si="0"/>
        <v>Ministero dell'interno - Libertà Civili e Immigrazione</v>
      </c>
      <c r="B42" s="50">
        <f ca="1">VLOOKUP( TRIM(A42), Classificazione!$A$5:$B$71, 2, FALSE)</f>
        <v>705</v>
      </c>
      <c r="C42" s="364">
        <f ca="1">VLOOKUP(TRIM(A42), Classificazione!$A$5:$L$71, 12, FALSE)</f>
        <v>1000</v>
      </c>
      <c r="D42" s="4" t="str">
        <f t="shared" ca="1" si="62"/>
        <v>Completamente centralizzato</v>
      </c>
      <c r="E42" s="140">
        <f t="shared" ca="1" si="113"/>
        <v>6</v>
      </c>
      <c r="F42" s="4" t="str">
        <f t="shared" ca="1" si="62"/>
        <v>SI</v>
      </c>
      <c r="G42" s="140">
        <f t="shared" ca="1" si="115"/>
        <v>10</v>
      </c>
      <c r="H42" s="4" t="str">
        <f t="shared" ca="1" si="62"/>
        <v>SI</v>
      </c>
      <c r="I42" s="140">
        <f t="shared" ca="1" si="63"/>
        <v>10</v>
      </c>
      <c r="J42" s="4" t="b">
        <f t="shared" ca="1" si="62"/>
        <v>1</v>
      </c>
      <c r="K42" s="140">
        <f t="shared" ca="1" si="64"/>
        <v>5</v>
      </c>
      <c r="L42" s="4" t="b">
        <f t="shared" ca="1" si="62"/>
        <v>1</v>
      </c>
      <c r="M42" s="140">
        <f t="shared" ca="1" si="2"/>
        <v>5</v>
      </c>
      <c r="N42" s="4" t="b">
        <f t="shared" ca="1" si="65"/>
        <v>1</v>
      </c>
      <c r="O42" s="140">
        <f t="shared" ca="1" si="3"/>
        <v>3</v>
      </c>
      <c r="P42" s="4" t="b">
        <f t="shared" ca="1" si="66"/>
        <v>0</v>
      </c>
      <c r="Q42" s="140">
        <f t="shared" ca="1" si="4"/>
        <v>0</v>
      </c>
      <c r="R42" s="4" t="str">
        <f t="shared" ca="1" si="67"/>
        <v>UserId/Password</v>
      </c>
      <c r="S42" s="140">
        <f t="shared" ca="1" si="5"/>
        <v>2</v>
      </c>
      <c r="T42" s="4" t="str">
        <f t="shared" ca="1" si="68"/>
        <v>SI</v>
      </c>
      <c r="U42" s="140">
        <f t="shared" ca="1" si="6"/>
        <v>2</v>
      </c>
      <c r="V42" s="4" t="str">
        <f t="shared" ca="1" si="69"/>
        <v>SI</v>
      </c>
      <c r="W42" s="140">
        <f t="shared" ca="1" si="7"/>
        <v>2</v>
      </c>
      <c r="X42" s="4" t="str">
        <f t="shared" ca="1" si="70"/>
        <v>SI</v>
      </c>
      <c r="Y42" s="140">
        <f t="shared" ca="1" si="8"/>
        <v>4</v>
      </c>
      <c r="Z42" s="4" t="str">
        <f t="shared" ca="1" si="71"/>
        <v>Automaticamente</v>
      </c>
      <c r="AA42" s="140">
        <f t="shared" ca="1" si="116"/>
        <v>10</v>
      </c>
      <c r="AB42" s="4" t="str">
        <f t="shared" ca="1" si="72"/>
        <v>SI</v>
      </c>
      <c r="AC42" s="140">
        <f t="shared" ca="1" si="10"/>
        <v>10</v>
      </c>
      <c r="AD42" s="4" t="str">
        <f t="shared" ca="1" si="73"/>
        <v>N.R.</v>
      </c>
      <c r="AE42" s="140">
        <f t="shared" ca="1" si="11"/>
        <v>0</v>
      </c>
      <c r="AF42" s="4" t="str">
        <f t="shared" ca="1" si="74"/>
        <v>SI</v>
      </c>
      <c r="AG42" s="140">
        <f t="shared" ca="1" si="12"/>
        <v>6</v>
      </c>
      <c r="AH42" s="4" t="str">
        <f t="shared" ca="1" si="75"/>
        <v>SI</v>
      </c>
      <c r="AI42" s="140">
        <f t="shared" ca="1" si="13"/>
        <v>4</v>
      </c>
      <c r="AJ42" s="4" t="str">
        <f t="shared" ca="1" si="76"/>
        <v>SI</v>
      </c>
      <c r="AK42" s="140">
        <f t="shared" ca="1" si="14"/>
        <v>10</v>
      </c>
      <c r="AL42" s="203" t="str">
        <f t="shared" ca="1" si="15"/>
        <v>ok</v>
      </c>
      <c r="AM42" s="4" t="str">
        <f t="shared" ca="1" si="77"/>
        <v>SI</v>
      </c>
      <c r="AN42" s="140">
        <f t="shared" ca="1" si="16"/>
        <v>10</v>
      </c>
      <c r="AO42" s="4" t="str">
        <f t="shared" ca="1" si="77"/>
        <v>SI</v>
      </c>
      <c r="AP42" s="140">
        <f t="shared" ca="1" si="17"/>
        <v>10</v>
      </c>
      <c r="AQ42" s="4" t="str">
        <f t="shared" ca="1" si="77"/>
        <v>SI</v>
      </c>
      <c r="AR42" s="140">
        <f t="shared" ca="1" si="18"/>
        <v>10</v>
      </c>
      <c r="AS42" s="4" t="b">
        <f t="shared" ca="1" si="77"/>
        <v>1</v>
      </c>
      <c r="AT42" s="140">
        <f t="shared" ca="1" si="19"/>
        <v>5</v>
      </c>
      <c r="AU42" s="4" t="b">
        <f t="shared" ca="1" si="77"/>
        <v>0</v>
      </c>
      <c r="AV42" s="140">
        <f t="shared" ca="1" si="20"/>
        <v>0</v>
      </c>
      <c r="AW42" s="4" t="b">
        <f t="shared" ca="1" si="78"/>
        <v>0</v>
      </c>
      <c r="AX42" s="140">
        <f t="shared" ca="1" si="21"/>
        <v>0</v>
      </c>
      <c r="AY42" s="4" t="str">
        <f t="shared" ca="1" si="79"/>
        <v>--</v>
      </c>
      <c r="AZ42" s="140">
        <f t="shared" ca="1" si="22"/>
        <v>0</v>
      </c>
      <c r="BA42" s="4" t="str">
        <f t="shared" ca="1" si="80"/>
        <v>Nessuno</v>
      </c>
      <c r="BB42" s="140">
        <f t="shared" ca="1" si="23"/>
        <v>0</v>
      </c>
      <c r="BC42" s="4" t="str">
        <f t="shared" ca="1" si="81"/>
        <v>NO</v>
      </c>
      <c r="BD42" s="140">
        <f t="shared" ca="1" si="24"/>
        <v>6</v>
      </c>
      <c r="BE42" s="4" t="str">
        <f t="shared" ca="1" si="82"/>
        <v>--</v>
      </c>
      <c r="BF42" s="140">
        <f t="shared" ca="1" si="25"/>
        <v>0</v>
      </c>
      <c r="BG42" s="4" t="str">
        <f t="shared" ca="1" si="83"/>
        <v>SI</v>
      </c>
      <c r="BH42" s="140">
        <f t="shared" ca="1" si="26"/>
        <v>6</v>
      </c>
      <c r="BI42" s="4" t="str">
        <f t="shared" ca="1" si="84"/>
        <v>SI</v>
      </c>
      <c r="BJ42" s="140">
        <f t="shared" ca="1" si="27"/>
        <v>4</v>
      </c>
      <c r="BK42" s="4" t="str">
        <f t="shared" ca="1" si="85"/>
        <v>--</v>
      </c>
      <c r="BL42" s="140">
        <f t="shared" ca="1" si="28"/>
        <v>0</v>
      </c>
      <c r="BM42" s="4" t="str">
        <f t="shared" ca="1" si="86"/>
        <v>Sì, centralizzato</v>
      </c>
      <c r="BN42" s="140">
        <f t="shared" ca="1" si="29"/>
        <v>10</v>
      </c>
      <c r="BO42" s="203" t="str">
        <f t="shared" ca="1" si="87"/>
        <v>ok</v>
      </c>
      <c r="BP42" s="4" t="str">
        <f t="shared" ca="1" si="88"/>
        <v>SI</v>
      </c>
      <c r="BQ42" s="140">
        <f t="shared" ca="1" si="30"/>
        <v>10</v>
      </c>
      <c r="BR42" s="4" t="str">
        <f t="shared" ca="1" si="88"/>
        <v>--</v>
      </c>
      <c r="BS42" s="140">
        <f t="shared" ca="1" si="31"/>
        <v>0</v>
      </c>
      <c r="BT42" s="4" t="str">
        <f t="shared" ca="1" si="88"/>
        <v>--</v>
      </c>
      <c r="BU42" s="140">
        <f t="shared" ca="1" si="32"/>
        <v>0</v>
      </c>
      <c r="BV42" s="4" t="str">
        <f t="shared" ca="1" si="88"/>
        <v>--</v>
      </c>
      <c r="BW42" s="140">
        <f t="shared" ca="1" si="33"/>
        <v>0</v>
      </c>
      <c r="BX42" s="4" t="str">
        <f t="shared" ca="1" si="88"/>
        <v>SI</v>
      </c>
      <c r="BY42" s="140">
        <f t="shared" ca="1" si="34"/>
        <v>10</v>
      </c>
      <c r="BZ42" s="4" t="str">
        <f t="shared" ca="1" si="89"/>
        <v>SI</v>
      </c>
      <c r="CA42" s="140">
        <f t="shared" ca="1" si="35"/>
        <v>10</v>
      </c>
      <c r="CB42" s="4" t="str">
        <f t="shared" ca="1" si="90"/>
        <v>SI</v>
      </c>
      <c r="CC42" s="140">
        <f t="shared" ca="1" si="36"/>
        <v>10</v>
      </c>
      <c r="CD42" s="4" t="str">
        <f t="shared" ca="1" si="91"/>
        <v>SI</v>
      </c>
      <c r="CE42" s="140">
        <f t="shared" ca="1" si="37"/>
        <v>10</v>
      </c>
      <c r="CF42" s="4" t="str">
        <f t="shared" ca="1" si="92"/>
        <v>--</v>
      </c>
      <c r="CG42" s="140">
        <f t="shared" ca="1" si="38"/>
        <v>0</v>
      </c>
      <c r="CH42" s="4" t="str">
        <f t="shared" ca="1" si="93"/>
        <v>Rilevate &lt; 10</v>
      </c>
      <c r="CI42" s="140">
        <f t="shared" ca="1" si="39"/>
        <v>2</v>
      </c>
      <c r="CJ42" s="4" t="b">
        <f t="shared" ca="1" si="94"/>
        <v>0</v>
      </c>
      <c r="CK42" s="140">
        <f t="shared" ca="1" si="40"/>
        <v>0</v>
      </c>
      <c r="CL42" s="4" t="b">
        <f t="shared" ca="1" si="95"/>
        <v>0</v>
      </c>
      <c r="CM42" s="140">
        <f t="shared" ca="1" si="41"/>
        <v>0</v>
      </c>
      <c r="CN42" s="4" t="b">
        <f t="shared" ca="1" si="96"/>
        <v>0</v>
      </c>
      <c r="CO42" s="140">
        <f t="shared" ca="1" si="42"/>
        <v>0</v>
      </c>
      <c r="CP42" s="4" t="b">
        <f t="shared" ca="1" si="97"/>
        <v>0</v>
      </c>
      <c r="CQ42" s="140">
        <f t="shared" ca="1" si="43"/>
        <v>0</v>
      </c>
      <c r="CR42" s="203" t="str">
        <f t="shared" ca="1" si="98"/>
        <v>ok</v>
      </c>
      <c r="CS42" s="4" t="str">
        <f t="shared" ca="1" si="99"/>
        <v>SI</v>
      </c>
      <c r="CT42" s="140">
        <f t="shared" ca="1" si="44"/>
        <v>10</v>
      </c>
      <c r="CU42" s="4" t="str">
        <f t="shared" ca="1" si="99"/>
        <v>SI</v>
      </c>
      <c r="CV42" s="140">
        <f t="shared" ca="1" si="45"/>
        <v>10</v>
      </c>
      <c r="CW42" s="4" t="str">
        <f t="shared" ca="1" si="99"/>
        <v>Sì, alcuni</v>
      </c>
      <c r="CX42" s="140">
        <f t="shared" ca="1" si="46"/>
        <v>6</v>
      </c>
      <c r="CY42" s="4" t="str">
        <f t="shared" ca="1" si="99"/>
        <v>NO</v>
      </c>
      <c r="CZ42" s="140">
        <f t="shared" ca="1" si="47"/>
        <v>0</v>
      </c>
      <c r="DA42" s="4" t="str">
        <f t="shared" ca="1" si="99"/>
        <v>SI</v>
      </c>
      <c r="DB42" s="140">
        <f t="shared" ca="1" si="48"/>
        <v>10</v>
      </c>
      <c r="DC42" s="4" t="str">
        <f t="shared" ca="1" si="100"/>
        <v>SI</v>
      </c>
      <c r="DD42" s="140">
        <f t="shared" ca="1" si="49"/>
        <v>10</v>
      </c>
      <c r="DE42" s="4" t="str">
        <f t="shared" ca="1" si="101"/>
        <v>SI</v>
      </c>
      <c r="DF42" s="140">
        <f t="shared" ca="1" si="50"/>
        <v>10</v>
      </c>
      <c r="DG42" s="4" t="str">
        <f t="shared" ca="1" si="102"/>
        <v>SI</v>
      </c>
      <c r="DH42" s="140">
        <f t="shared" ca="1" si="51"/>
        <v>6</v>
      </c>
      <c r="DI42" s="4" t="str">
        <f t="shared" ca="1" si="103"/>
        <v>Sì</v>
      </c>
      <c r="DJ42" s="140">
        <f t="shared" ca="1" si="52"/>
        <v>4</v>
      </c>
      <c r="DK42" s="4" t="str">
        <f t="shared" ca="1" si="104"/>
        <v>Solo personale interno</v>
      </c>
      <c r="DL42" s="140">
        <f t="shared" ca="1" si="53"/>
        <v>10</v>
      </c>
      <c r="DM42" s="4" t="str">
        <f t="shared" ca="1" si="105"/>
        <v>Non previsto audit</v>
      </c>
      <c r="DN42" s="140">
        <f t="shared" ca="1" si="54"/>
        <v>0</v>
      </c>
      <c r="DO42" s="4" t="str">
        <f t="shared" ca="1" si="106"/>
        <v>--</v>
      </c>
      <c r="DP42" s="140">
        <f t="shared" ca="1" si="55"/>
        <v>0</v>
      </c>
      <c r="DQ42" s="4" t="str">
        <f t="shared" ca="1" si="107"/>
        <v>NO</v>
      </c>
      <c r="DR42" s="140">
        <f t="shared" ca="1" si="56"/>
        <v>0</v>
      </c>
      <c r="DS42" s="80" t="str">
        <f t="shared" ca="1" si="108"/>
        <v>--</v>
      </c>
      <c r="DT42" s="140">
        <f t="shared" ca="1" si="57"/>
        <v>0</v>
      </c>
      <c r="DU42" s="4" t="str">
        <f t="shared" ca="1" si="109"/>
        <v>Sì, con copertura analisi rischi parziale</v>
      </c>
      <c r="DV42" s="140">
        <f t="shared" ca="1" si="114"/>
        <v>8</v>
      </c>
      <c r="DW42" s="4" t="str">
        <f t="shared" ca="1" si="110"/>
        <v>SI</v>
      </c>
      <c r="DX42" s="140">
        <f t="shared" ca="1" si="58"/>
        <v>10</v>
      </c>
      <c r="DY42" s="4" t="str">
        <f t="shared" ca="1" si="111"/>
        <v>SI</v>
      </c>
      <c r="DZ42" s="140">
        <f t="shared" ca="1" si="59"/>
        <v>4</v>
      </c>
      <c r="EA42" s="80" t="str">
        <f t="shared" ca="1" si="112"/>
        <v>Maggiore del 50%</v>
      </c>
      <c r="EB42" s="140">
        <f t="shared" ca="1" si="60"/>
        <v>8</v>
      </c>
      <c r="EC42" s="4">
        <f t="shared" ca="1" si="61"/>
        <v>308</v>
      </c>
    </row>
    <row r="43" spans="1:146">
      <c r="A43" s="363" t="str">
        <f t="shared" ca="1" si="0"/>
        <v>Ministero dell'interno - Vigili del  Fuoco</v>
      </c>
      <c r="B43" s="50">
        <f ca="1">VLOOKUP( TRIM(A43), Classificazione!$A$5:$B$71, 2, FALSE)</f>
        <v>711</v>
      </c>
      <c r="C43" s="364">
        <f ca="1">VLOOKUP(TRIM(A43), Classificazione!$A$5:$L$71, 12, FALSE)</f>
        <v>1000</v>
      </c>
      <c r="D43" s="4" t="str">
        <f t="shared" ca="1" si="62"/>
        <v>Parzialmente centralizzato</v>
      </c>
      <c r="E43" s="140">
        <f t="shared" ca="1" si="113"/>
        <v>8</v>
      </c>
      <c r="F43" s="4" t="str">
        <f t="shared" ca="1" si="62"/>
        <v>SI</v>
      </c>
      <c r="G43" s="140">
        <f t="shared" ca="1" si="115"/>
        <v>10</v>
      </c>
      <c r="H43" s="4" t="str">
        <f t="shared" ca="1" si="62"/>
        <v>SI</v>
      </c>
      <c r="I43" s="140">
        <f t="shared" ca="1" si="63"/>
        <v>10</v>
      </c>
      <c r="J43" s="4" t="b">
        <f t="shared" ca="1" si="62"/>
        <v>0</v>
      </c>
      <c r="K43" s="140">
        <f t="shared" ca="1" si="64"/>
        <v>0</v>
      </c>
      <c r="L43" s="4" t="b">
        <f t="shared" ca="1" si="62"/>
        <v>1</v>
      </c>
      <c r="M43" s="140">
        <f t="shared" ca="1" si="2"/>
        <v>5</v>
      </c>
      <c r="N43" s="4" t="b">
        <f t="shared" ca="1" si="65"/>
        <v>0</v>
      </c>
      <c r="O43" s="140">
        <f t="shared" ca="1" si="3"/>
        <v>0</v>
      </c>
      <c r="P43" s="4" t="b">
        <f t="shared" ca="1" si="66"/>
        <v>0</v>
      </c>
      <c r="Q43" s="140">
        <f t="shared" ca="1" si="4"/>
        <v>0</v>
      </c>
      <c r="R43" s="4" t="str">
        <f t="shared" ca="1" si="67"/>
        <v>UserId/Password</v>
      </c>
      <c r="S43" s="140">
        <f t="shared" ca="1" si="5"/>
        <v>2</v>
      </c>
      <c r="T43" s="4" t="str">
        <f t="shared" ca="1" si="68"/>
        <v>SI</v>
      </c>
      <c r="U43" s="140">
        <f t="shared" ca="1" si="6"/>
        <v>2</v>
      </c>
      <c r="V43" s="4" t="str">
        <f t="shared" ca="1" si="69"/>
        <v>SI</v>
      </c>
      <c r="W43" s="140">
        <f t="shared" ca="1" si="7"/>
        <v>2</v>
      </c>
      <c r="X43" s="4" t="str">
        <f t="shared" ca="1" si="70"/>
        <v>SI</v>
      </c>
      <c r="Y43" s="140">
        <f t="shared" ca="1" si="8"/>
        <v>4</v>
      </c>
      <c r="Z43" s="4" t="str">
        <f t="shared" ca="1" si="71"/>
        <v>Automaticamente</v>
      </c>
      <c r="AA43" s="140">
        <f t="shared" ca="1" si="116"/>
        <v>10</v>
      </c>
      <c r="AB43" s="4" t="str">
        <f t="shared" ca="1" si="72"/>
        <v>SI</v>
      </c>
      <c r="AC43" s="140">
        <f t="shared" ca="1" si="10"/>
        <v>10</v>
      </c>
      <c r="AD43" s="4" t="str">
        <f t="shared" ca="1" si="73"/>
        <v>N.R.</v>
      </c>
      <c r="AE43" s="140">
        <f t="shared" ca="1" si="11"/>
        <v>0</v>
      </c>
      <c r="AF43" s="4" t="str">
        <f t="shared" ca="1" si="74"/>
        <v>SI</v>
      </c>
      <c r="AG43" s="140">
        <f t="shared" ca="1" si="12"/>
        <v>6</v>
      </c>
      <c r="AH43" s="4" t="str">
        <f t="shared" ca="1" si="75"/>
        <v>SI</v>
      </c>
      <c r="AI43" s="140">
        <f t="shared" ca="1" si="13"/>
        <v>4</v>
      </c>
      <c r="AJ43" s="4" t="str">
        <f t="shared" ca="1" si="76"/>
        <v>SI</v>
      </c>
      <c r="AK43" s="140">
        <f t="shared" ca="1" si="14"/>
        <v>10</v>
      </c>
      <c r="AL43" s="203" t="str">
        <f t="shared" ca="1" si="15"/>
        <v>ok</v>
      </c>
      <c r="AM43" s="4" t="str">
        <f t="shared" ca="1" si="77"/>
        <v>SI</v>
      </c>
      <c r="AN43" s="140">
        <f t="shared" ca="1" si="16"/>
        <v>10</v>
      </c>
      <c r="AO43" s="4" t="str">
        <f t="shared" ca="1" si="77"/>
        <v>SI</v>
      </c>
      <c r="AP43" s="140">
        <f t="shared" ca="1" si="17"/>
        <v>10</v>
      </c>
      <c r="AQ43" s="4" t="str">
        <f t="shared" ca="1" si="77"/>
        <v>SI</v>
      </c>
      <c r="AR43" s="140">
        <f t="shared" ca="1" si="18"/>
        <v>10</v>
      </c>
      <c r="AS43" s="4" t="b">
        <f t="shared" ca="1" si="77"/>
        <v>1</v>
      </c>
      <c r="AT43" s="140">
        <f t="shared" ca="1" si="19"/>
        <v>5</v>
      </c>
      <c r="AU43" s="4" t="b">
        <f t="shared" ca="1" si="77"/>
        <v>0</v>
      </c>
      <c r="AV43" s="140">
        <f t="shared" ca="1" si="20"/>
        <v>0</v>
      </c>
      <c r="AW43" s="4" t="b">
        <f t="shared" ca="1" si="78"/>
        <v>0</v>
      </c>
      <c r="AX43" s="140">
        <f t="shared" ca="1" si="21"/>
        <v>0</v>
      </c>
      <c r="AY43" s="4" t="str">
        <f t="shared" ca="1" si="79"/>
        <v>NO</v>
      </c>
      <c r="AZ43" s="140">
        <f t="shared" ca="1" si="22"/>
        <v>6</v>
      </c>
      <c r="BA43" s="4" t="str">
        <f t="shared" ca="1" si="80"/>
        <v>Nessuno</v>
      </c>
      <c r="BB43" s="140">
        <f t="shared" ca="1" si="23"/>
        <v>0</v>
      </c>
      <c r="BC43" s="4" t="str">
        <f t="shared" ca="1" si="81"/>
        <v>SI</v>
      </c>
      <c r="BD43" s="140">
        <f t="shared" ca="1" si="24"/>
        <v>0</v>
      </c>
      <c r="BE43" s="4" t="str">
        <f t="shared" ca="1" si="82"/>
        <v>Accesso remoto mediante  VPN</v>
      </c>
      <c r="BF43" s="140">
        <f t="shared" ca="1" si="25"/>
        <v>10</v>
      </c>
      <c r="BG43" s="4" t="str">
        <f t="shared" ca="1" si="83"/>
        <v>SI</v>
      </c>
      <c r="BH43" s="140">
        <f t="shared" ca="1" si="26"/>
        <v>6</v>
      </c>
      <c r="BI43" s="4" t="str">
        <f t="shared" ca="1" si="84"/>
        <v>SI</v>
      </c>
      <c r="BJ43" s="140">
        <f t="shared" ca="1" si="27"/>
        <v>4</v>
      </c>
      <c r="BK43" s="4" t="str">
        <f t="shared" ca="1" si="85"/>
        <v>SI</v>
      </c>
      <c r="BL43" s="140">
        <f t="shared" ca="1" si="28"/>
        <v>10</v>
      </c>
      <c r="BM43" s="4" t="str">
        <f t="shared" ca="1" si="86"/>
        <v>Sì, centralizzato</v>
      </c>
      <c r="BN43" s="140">
        <f t="shared" ca="1" si="29"/>
        <v>10</v>
      </c>
      <c r="BO43" s="203" t="str">
        <f t="shared" ca="1" si="87"/>
        <v>ok</v>
      </c>
      <c r="BP43" s="4" t="str">
        <f t="shared" ca="1" si="88"/>
        <v>NO</v>
      </c>
      <c r="BQ43" s="140">
        <f t="shared" ca="1" si="30"/>
        <v>0</v>
      </c>
      <c r="BR43" s="4" t="str">
        <f t="shared" ca="1" si="88"/>
        <v>Sì, solo per le applicazioni più importanti</v>
      </c>
      <c r="BS43" s="140">
        <f t="shared" ca="1" si="31"/>
        <v>6</v>
      </c>
      <c r="BT43" s="4" t="str">
        <f t="shared" ca="1" si="88"/>
        <v>Sì, solo per le applicazioni più importanti</v>
      </c>
      <c r="BU43" s="140">
        <f t="shared" ca="1" si="32"/>
        <v>6</v>
      </c>
      <c r="BV43" s="4" t="str">
        <f t="shared" ca="1" si="88"/>
        <v>SI</v>
      </c>
      <c r="BW43" s="140">
        <f t="shared" ca="1" si="33"/>
        <v>10</v>
      </c>
      <c r="BX43" s="4" t="str">
        <f t="shared" ca="1" si="88"/>
        <v>SI</v>
      </c>
      <c r="BY43" s="140">
        <f t="shared" ca="1" si="34"/>
        <v>10</v>
      </c>
      <c r="BZ43" s="4" t="str">
        <f t="shared" ca="1" si="89"/>
        <v>SI</v>
      </c>
      <c r="CA43" s="140">
        <f t="shared" ca="1" si="35"/>
        <v>10</v>
      </c>
      <c r="CB43" s="4" t="str">
        <f t="shared" ca="1" si="90"/>
        <v>SI</v>
      </c>
      <c r="CC43" s="140">
        <f t="shared" ca="1" si="36"/>
        <v>10</v>
      </c>
      <c r="CD43" s="4" t="str">
        <f t="shared" ca="1" si="91"/>
        <v>SI</v>
      </c>
      <c r="CE43" s="140">
        <f t="shared" ca="1" si="37"/>
        <v>10</v>
      </c>
      <c r="CF43" s="4" t="str">
        <f t="shared" ca="1" si="92"/>
        <v>NO</v>
      </c>
      <c r="CG43" s="140">
        <f t="shared" ca="1" si="38"/>
        <v>10</v>
      </c>
      <c r="CH43" s="4" t="str">
        <f t="shared" ca="1" si="93"/>
        <v>Rilevate &lt; 10</v>
      </c>
      <c r="CI43" s="140">
        <f t="shared" ca="1" si="39"/>
        <v>2</v>
      </c>
      <c r="CJ43" s="4" t="b">
        <f t="shared" ca="1" si="94"/>
        <v>0</v>
      </c>
      <c r="CK43" s="140">
        <f t="shared" ca="1" si="40"/>
        <v>0</v>
      </c>
      <c r="CL43" s="4" t="b">
        <f t="shared" ca="1" si="95"/>
        <v>0</v>
      </c>
      <c r="CM43" s="140">
        <f t="shared" ca="1" si="41"/>
        <v>0</v>
      </c>
      <c r="CN43" s="4" t="b">
        <f t="shared" ca="1" si="96"/>
        <v>0</v>
      </c>
      <c r="CO43" s="140">
        <f t="shared" ca="1" si="42"/>
        <v>0</v>
      </c>
      <c r="CP43" s="4" t="b">
        <f t="shared" ca="1" si="97"/>
        <v>0</v>
      </c>
      <c r="CQ43" s="140">
        <f t="shared" ca="1" si="43"/>
        <v>0</v>
      </c>
      <c r="CR43" s="203" t="str">
        <f t="shared" ca="1" si="98"/>
        <v>ok</v>
      </c>
      <c r="CS43" s="4" t="str">
        <f t="shared" ca="1" si="99"/>
        <v>SI</v>
      </c>
      <c r="CT43" s="140">
        <f t="shared" ca="1" si="44"/>
        <v>10</v>
      </c>
      <c r="CU43" s="4" t="str">
        <f t="shared" ca="1" si="99"/>
        <v>SI</v>
      </c>
      <c r="CV43" s="140">
        <f t="shared" ca="1" si="45"/>
        <v>10</v>
      </c>
      <c r="CW43" s="4" t="str">
        <f t="shared" ca="1" si="99"/>
        <v>Sì, tutti</v>
      </c>
      <c r="CX43" s="140">
        <f t="shared" ca="1" si="46"/>
        <v>10</v>
      </c>
      <c r="CY43" s="4" t="str">
        <f t="shared" ca="1" si="99"/>
        <v>SI</v>
      </c>
      <c r="CZ43" s="140">
        <f t="shared" ca="1" si="47"/>
        <v>10</v>
      </c>
      <c r="DA43" s="4" t="str">
        <f t="shared" ca="1" si="99"/>
        <v>SI</v>
      </c>
      <c r="DB43" s="140">
        <f t="shared" ca="1" si="48"/>
        <v>10</v>
      </c>
      <c r="DC43" s="4" t="str">
        <f t="shared" ca="1" si="100"/>
        <v>SI</v>
      </c>
      <c r="DD43" s="140">
        <f t="shared" ca="1" si="49"/>
        <v>10</v>
      </c>
      <c r="DE43" s="4" t="str">
        <f t="shared" ca="1" si="101"/>
        <v>SI</v>
      </c>
      <c r="DF43" s="140">
        <f t="shared" ca="1" si="50"/>
        <v>10</v>
      </c>
      <c r="DG43" s="4" t="str">
        <f t="shared" ca="1" si="102"/>
        <v>SI</v>
      </c>
      <c r="DH43" s="140">
        <f t="shared" ca="1" si="51"/>
        <v>6</v>
      </c>
      <c r="DI43" s="4" t="str">
        <f t="shared" ca="1" si="103"/>
        <v>Sì</v>
      </c>
      <c r="DJ43" s="140">
        <f t="shared" ca="1" si="52"/>
        <v>4</v>
      </c>
      <c r="DK43" s="4" t="str">
        <f t="shared" ca="1" si="104"/>
        <v>Solo personale interno</v>
      </c>
      <c r="DL43" s="140">
        <f t="shared" ca="1" si="53"/>
        <v>10</v>
      </c>
      <c r="DM43" s="4" t="str">
        <f t="shared" ca="1" si="105"/>
        <v>Non previsto audit</v>
      </c>
      <c r="DN43" s="140">
        <f t="shared" ca="1" si="54"/>
        <v>0</v>
      </c>
      <c r="DO43" s="4" t="str">
        <f t="shared" ca="1" si="106"/>
        <v>--</v>
      </c>
      <c r="DP43" s="140">
        <f t="shared" ca="1" si="55"/>
        <v>0</v>
      </c>
      <c r="DQ43" s="4" t="str">
        <f t="shared" ca="1" si="107"/>
        <v>NO</v>
      </c>
      <c r="DR43" s="140">
        <f t="shared" ca="1" si="56"/>
        <v>0</v>
      </c>
      <c r="DS43" s="80" t="str">
        <f t="shared" ca="1" si="108"/>
        <v>--</v>
      </c>
      <c r="DT43" s="140">
        <f t="shared" ca="1" si="57"/>
        <v>0</v>
      </c>
      <c r="DU43" s="4" t="str">
        <f t="shared" ca="1" si="109"/>
        <v>Sì, con copertura analisi rischi parziale</v>
      </c>
      <c r="DV43" s="140">
        <f t="shared" ca="1" si="114"/>
        <v>8</v>
      </c>
      <c r="DW43" s="4" t="str">
        <f t="shared" ca="1" si="110"/>
        <v>SI</v>
      </c>
      <c r="DX43" s="140">
        <f t="shared" ca="1" si="58"/>
        <v>10</v>
      </c>
      <c r="DY43" s="4" t="str">
        <f t="shared" ca="1" si="111"/>
        <v>NO</v>
      </c>
      <c r="DZ43" s="140">
        <f t="shared" ca="1" si="59"/>
        <v>0</v>
      </c>
      <c r="EA43" s="80" t="str">
        <f t="shared" ca="1" si="112"/>
        <v>Inferiore al 10 %</v>
      </c>
      <c r="EB43" s="140">
        <f t="shared" ca="1" si="60"/>
        <v>2</v>
      </c>
      <c r="EC43" s="4">
        <f t="shared" ca="1" si="61"/>
        <v>348</v>
      </c>
    </row>
    <row r="44" spans="1:146">
      <c r="A44" s="363" t="str">
        <f t="shared" ca="1" si="0"/>
        <v>Ministero dell'interno - P.S. CED PS</v>
      </c>
      <c r="B44" s="50">
        <f ca="1">VLOOKUP( TRIM(A44), Classificazione!$A$5:$B$71, 2, FALSE)</f>
        <v>710</v>
      </c>
      <c r="C44" s="364">
        <f ca="1">VLOOKUP(TRIM(A44), Classificazione!$A$5:$L$71, 12, FALSE)</f>
        <v>1000</v>
      </c>
      <c r="D44" s="4" t="str">
        <f t="shared" ca="1" si="62"/>
        <v>Completamente centralizzato</v>
      </c>
      <c r="E44" s="140">
        <f t="shared" ca="1" si="113"/>
        <v>6</v>
      </c>
      <c r="F44" s="4" t="str">
        <f t="shared" ca="1" si="62"/>
        <v>SI</v>
      </c>
      <c r="G44" s="140">
        <f t="shared" ca="1" si="115"/>
        <v>10</v>
      </c>
      <c r="H44" s="4" t="str">
        <f t="shared" ca="1" si="62"/>
        <v>SI</v>
      </c>
      <c r="I44" s="140">
        <f t="shared" ca="1" si="63"/>
        <v>10</v>
      </c>
      <c r="J44" s="4" t="b">
        <f t="shared" ca="1" si="62"/>
        <v>1</v>
      </c>
      <c r="K44" s="140">
        <f t="shared" ca="1" si="64"/>
        <v>5</v>
      </c>
      <c r="L44" s="4" t="b">
        <f t="shared" ca="1" si="62"/>
        <v>0</v>
      </c>
      <c r="M44" s="140">
        <f t="shared" ca="1" si="2"/>
        <v>0</v>
      </c>
      <c r="N44" s="4" t="b">
        <f t="shared" ca="1" si="65"/>
        <v>0</v>
      </c>
      <c r="O44" s="140">
        <f t="shared" ca="1" si="3"/>
        <v>0</v>
      </c>
      <c r="P44" s="4" t="b">
        <f t="shared" ca="1" si="66"/>
        <v>0</v>
      </c>
      <c r="Q44" s="140">
        <f t="shared" ca="1" si="4"/>
        <v>0</v>
      </c>
      <c r="R44" s="4" t="str">
        <f t="shared" ca="1" si="67"/>
        <v>UserId/Password</v>
      </c>
      <c r="S44" s="140">
        <f t="shared" ca="1" si="5"/>
        <v>2</v>
      </c>
      <c r="T44" s="4" t="str">
        <f t="shared" ca="1" si="68"/>
        <v>SI</v>
      </c>
      <c r="U44" s="140">
        <f t="shared" ca="1" si="6"/>
        <v>2</v>
      </c>
      <c r="V44" s="4" t="str">
        <f t="shared" ca="1" si="69"/>
        <v>SI</v>
      </c>
      <c r="W44" s="140">
        <f t="shared" ca="1" si="7"/>
        <v>2</v>
      </c>
      <c r="X44" s="4" t="str">
        <f t="shared" ca="1" si="70"/>
        <v>SI</v>
      </c>
      <c r="Y44" s="140">
        <f t="shared" ca="1" si="8"/>
        <v>4</v>
      </c>
      <c r="Z44" s="4" t="str">
        <f t="shared" ca="1" si="71"/>
        <v>Automaticamente</v>
      </c>
      <c r="AA44" s="140">
        <f t="shared" ca="1" si="116"/>
        <v>10</v>
      </c>
      <c r="AB44" s="4" t="str">
        <f t="shared" ca="1" si="72"/>
        <v>SI</v>
      </c>
      <c r="AC44" s="140">
        <f t="shared" ca="1" si="10"/>
        <v>10</v>
      </c>
      <c r="AD44" s="4" t="str">
        <f t="shared" ca="1" si="73"/>
        <v>Non esistono postazioni mobili o impiego di supporti dati rimuovibili</v>
      </c>
      <c r="AE44" s="140">
        <f t="shared" ca="1" si="11"/>
        <v>6</v>
      </c>
      <c r="AF44" s="4" t="str">
        <f t="shared" ca="1" si="74"/>
        <v>SI</v>
      </c>
      <c r="AG44" s="140">
        <f t="shared" ca="1" si="12"/>
        <v>6</v>
      </c>
      <c r="AH44" s="4" t="str">
        <f t="shared" ca="1" si="75"/>
        <v>NO</v>
      </c>
      <c r="AI44" s="140">
        <f t="shared" ca="1" si="13"/>
        <v>0</v>
      </c>
      <c r="AJ44" s="4" t="str">
        <f t="shared" ca="1" si="76"/>
        <v>SI</v>
      </c>
      <c r="AK44" s="140">
        <f t="shared" ca="1" si="14"/>
        <v>10</v>
      </c>
      <c r="AL44" s="203" t="str">
        <f t="shared" ca="1" si="15"/>
        <v>ok</v>
      </c>
      <c r="AM44" s="4" t="str">
        <f t="shared" ca="1" si="77"/>
        <v>SI</v>
      </c>
      <c r="AN44" s="140">
        <f t="shared" ca="1" si="16"/>
        <v>10</v>
      </c>
      <c r="AO44" s="4" t="str">
        <f t="shared" ca="1" si="77"/>
        <v>SI</v>
      </c>
      <c r="AP44" s="140">
        <f t="shared" ca="1" si="17"/>
        <v>10</v>
      </c>
      <c r="AQ44" s="4" t="str">
        <f t="shared" ca="1" si="77"/>
        <v>SI</v>
      </c>
      <c r="AR44" s="140">
        <f t="shared" ca="1" si="18"/>
        <v>10</v>
      </c>
      <c r="AS44" s="4" t="b">
        <f t="shared" ca="1" si="77"/>
        <v>1</v>
      </c>
      <c r="AT44" s="140">
        <f t="shared" ca="1" si="19"/>
        <v>5</v>
      </c>
      <c r="AU44" s="4" t="b">
        <f t="shared" ca="1" si="77"/>
        <v>1</v>
      </c>
      <c r="AV44" s="140">
        <f t="shared" ca="1" si="20"/>
        <v>5</v>
      </c>
      <c r="AW44" s="4" t="b">
        <f t="shared" ca="1" si="78"/>
        <v>0</v>
      </c>
      <c r="AX44" s="140">
        <f t="shared" ca="1" si="21"/>
        <v>0</v>
      </c>
      <c r="AY44" s="4" t="str">
        <f t="shared" ca="1" si="79"/>
        <v>NO</v>
      </c>
      <c r="AZ44" s="140">
        <f t="shared" ca="1" si="22"/>
        <v>6</v>
      </c>
      <c r="BA44" s="4" t="str">
        <f t="shared" ca="1" si="80"/>
        <v>Nessuno</v>
      </c>
      <c r="BB44" s="140">
        <f t="shared" ca="1" si="23"/>
        <v>0</v>
      </c>
      <c r="BC44" s="4" t="str">
        <f t="shared" ca="1" si="81"/>
        <v>SI</v>
      </c>
      <c r="BD44" s="140">
        <f t="shared" ca="1" si="24"/>
        <v>0</v>
      </c>
      <c r="BE44" s="4" t="str">
        <f t="shared" ca="1" si="82"/>
        <v>Accesso remoto mediante  VPN</v>
      </c>
      <c r="BF44" s="140">
        <f t="shared" ca="1" si="25"/>
        <v>10</v>
      </c>
      <c r="BG44" s="4" t="str">
        <f t="shared" ca="1" si="83"/>
        <v>SI</v>
      </c>
      <c r="BH44" s="140">
        <f t="shared" ca="1" si="26"/>
        <v>6</v>
      </c>
      <c r="BI44" s="4" t="str">
        <f t="shared" ca="1" si="84"/>
        <v>SI</v>
      </c>
      <c r="BJ44" s="140">
        <f t="shared" ca="1" si="27"/>
        <v>4</v>
      </c>
      <c r="BK44" s="4" t="str">
        <f t="shared" ca="1" si="85"/>
        <v>SI</v>
      </c>
      <c r="BL44" s="140">
        <f t="shared" ca="1" si="28"/>
        <v>10</v>
      </c>
      <c r="BM44" s="4" t="str">
        <f t="shared" ca="1" si="86"/>
        <v>Sì, centralizzato</v>
      </c>
      <c r="BN44" s="140">
        <f t="shared" ca="1" si="29"/>
        <v>10</v>
      </c>
      <c r="BO44" s="203" t="str">
        <f t="shared" ca="1" si="87"/>
        <v>ok</v>
      </c>
      <c r="BP44" s="4" t="str">
        <f t="shared" ca="1" si="88"/>
        <v>NO</v>
      </c>
      <c r="BQ44" s="140">
        <f t="shared" ca="1" si="30"/>
        <v>0</v>
      </c>
      <c r="BR44" s="4" t="str">
        <f t="shared" ca="1" si="88"/>
        <v>Sì, senza specificazione della copertura</v>
      </c>
      <c r="BS44" s="140">
        <f t="shared" ca="1" si="31"/>
        <v>10</v>
      </c>
      <c r="BT44" s="4" t="str">
        <f t="shared" ca="1" si="88"/>
        <v>No</v>
      </c>
      <c r="BU44" s="140">
        <f t="shared" ca="1" si="32"/>
        <v>0</v>
      </c>
      <c r="BV44" s="4" t="str">
        <f t="shared" ca="1" si="88"/>
        <v>SI</v>
      </c>
      <c r="BW44" s="140">
        <f t="shared" ca="1" si="33"/>
        <v>10</v>
      </c>
      <c r="BX44" s="4" t="str">
        <f t="shared" ca="1" si="88"/>
        <v>SI</v>
      </c>
      <c r="BY44" s="140">
        <f t="shared" ca="1" si="34"/>
        <v>10</v>
      </c>
      <c r="BZ44" s="4" t="str">
        <f t="shared" ca="1" si="89"/>
        <v>SI</v>
      </c>
      <c r="CA44" s="140">
        <f t="shared" ca="1" si="35"/>
        <v>10</v>
      </c>
      <c r="CB44" s="4" t="str">
        <f t="shared" ca="1" si="90"/>
        <v>SI</v>
      </c>
      <c r="CC44" s="140">
        <f t="shared" ca="1" si="36"/>
        <v>10</v>
      </c>
      <c r="CD44" s="4" t="str">
        <f t="shared" ca="1" si="91"/>
        <v>SI</v>
      </c>
      <c r="CE44" s="140">
        <f t="shared" ca="1" si="37"/>
        <v>10</v>
      </c>
      <c r="CF44" s="4" t="str">
        <f t="shared" ca="1" si="92"/>
        <v>NO</v>
      </c>
      <c r="CG44" s="140">
        <f t="shared" ca="1" si="38"/>
        <v>10</v>
      </c>
      <c r="CH44" s="4" t="str">
        <f t="shared" ca="1" si="93"/>
        <v>Rilevate &lt; 10</v>
      </c>
      <c r="CI44" s="140">
        <f t="shared" ca="1" si="39"/>
        <v>2</v>
      </c>
      <c r="CJ44" s="4" t="b">
        <f t="shared" ca="1" si="94"/>
        <v>0</v>
      </c>
      <c r="CK44" s="140">
        <f t="shared" ca="1" si="40"/>
        <v>0</v>
      </c>
      <c r="CL44" s="4" t="b">
        <f t="shared" ca="1" si="95"/>
        <v>0</v>
      </c>
      <c r="CM44" s="140">
        <f t="shared" ca="1" si="41"/>
        <v>0</v>
      </c>
      <c r="CN44" s="4" t="b">
        <f t="shared" ca="1" si="96"/>
        <v>0</v>
      </c>
      <c r="CO44" s="140">
        <f t="shared" ca="1" si="42"/>
        <v>0</v>
      </c>
      <c r="CP44" s="4" t="b">
        <f t="shared" ca="1" si="97"/>
        <v>0</v>
      </c>
      <c r="CQ44" s="140">
        <f t="shared" ca="1" si="43"/>
        <v>0</v>
      </c>
      <c r="CR44" s="203" t="str">
        <f t="shared" ca="1" si="98"/>
        <v>ok</v>
      </c>
      <c r="CS44" s="4" t="str">
        <f t="shared" ca="1" si="99"/>
        <v>SI</v>
      </c>
      <c r="CT44" s="140">
        <f t="shared" ca="1" si="44"/>
        <v>10</v>
      </c>
      <c r="CU44" s="4" t="str">
        <f t="shared" ca="1" si="99"/>
        <v>SI</v>
      </c>
      <c r="CV44" s="140">
        <f t="shared" ca="1" si="45"/>
        <v>10</v>
      </c>
      <c r="CW44" s="4" t="str">
        <f t="shared" ca="1" si="99"/>
        <v>Sì, tutti</v>
      </c>
      <c r="CX44" s="140">
        <f t="shared" ca="1" si="46"/>
        <v>10</v>
      </c>
      <c r="CY44" s="4" t="str">
        <f t="shared" ca="1" si="99"/>
        <v>SI</v>
      </c>
      <c r="CZ44" s="140">
        <f t="shared" ca="1" si="47"/>
        <v>10</v>
      </c>
      <c r="DA44" s="4" t="str">
        <f t="shared" ca="1" si="99"/>
        <v>NO</v>
      </c>
      <c r="DB44" s="140">
        <f t="shared" ca="1" si="48"/>
        <v>0</v>
      </c>
      <c r="DC44" s="4" t="str">
        <f t="shared" ca="1" si="100"/>
        <v>SI</v>
      </c>
      <c r="DD44" s="140">
        <f t="shared" ca="1" si="49"/>
        <v>10</v>
      </c>
      <c r="DE44" s="4" t="str">
        <f t="shared" ca="1" si="101"/>
        <v>SI</v>
      </c>
      <c r="DF44" s="140">
        <f t="shared" ca="1" si="50"/>
        <v>10</v>
      </c>
      <c r="DG44" s="4" t="str">
        <f t="shared" ca="1" si="102"/>
        <v>SI</v>
      </c>
      <c r="DH44" s="140">
        <f t="shared" ca="1" si="51"/>
        <v>6</v>
      </c>
      <c r="DI44" s="4" t="str">
        <f t="shared" ca="1" si="103"/>
        <v>Sì</v>
      </c>
      <c r="DJ44" s="140">
        <f t="shared" ca="1" si="52"/>
        <v>4</v>
      </c>
      <c r="DK44" s="4" t="str">
        <f t="shared" ca="1" si="104"/>
        <v>Solo personale interno</v>
      </c>
      <c r="DL44" s="140">
        <f t="shared" ca="1" si="53"/>
        <v>10</v>
      </c>
      <c r="DM44" s="4" t="str">
        <f t="shared" ca="1" si="105"/>
        <v>Non previsto audit</v>
      </c>
      <c r="DN44" s="140">
        <f t="shared" ca="1" si="54"/>
        <v>0</v>
      </c>
      <c r="DO44" s="4" t="str">
        <f t="shared" ca="1" si="106"/>
        <v>--</v>
      </c>
      <c r="DP44" s="140">
        <f t="shared" ca="1" si="55"/>
        <v>0</v>
      </c>
      <c r="DQ44" s="4" t="str">
        <f t="shared" ca="1" si="107"/>
        <v>NO</v>
      </c>
      <c r="DR44" s="140">
        <f t="shared" ca="1" si="56"/>
        <v>0</v>
      </c>
      <c r="DS44" s="80" t="str">
        <f t="shared" ca="1" si="108"/>
        <v>--</v>
      </c>
      <c r="DT44" s="140">
        <f t="shared" ca="1" si="57"/>
        <v>0</v>
      </c>
      <c r="DU44" s="4" t="str">
        <f t="shared" ca="1" si="109"/>
        <v>Sì, con copertura analisi rischi totale</v>
      </c>
      <c r="DV44" s="140">
        <f t="shared" ca="1" si="114"/>
        <v>10</v>
      </c>
      <c r="DW44" s="4" t="str">
        <f t="shared" ca="1" si="110"/>
        <v>SI</v>
      </c>
      <c r="DX44" s="140">
        <f t="shared" ca="1" si="58"/>
        <v>10</v>
      </c>
      <c r="DY44" s="4" t="str">
        <f t="shared" ca="1" si="111"/>
        <v>SI</v>
      </c>
      <c r="DZ44" s="140">
        <f t="shared" ca="1" si="59"/>
        <v>4</v>
      </c>
      <c r="EA44" s="80" t="str">
        <f t="shared" ca="1" si="112"/>
        <v>Maggiore del 50%</v>
      </c>
      <c r="EB44" s="140">
        <f t="shared" ca="1" si="60"/>
        <v>8</v>
      </c>
      <c r="EC44" s="4">
        <f t="shared" ca="1" si="61"/>
        <v>353</v>
      </c>
    </row>
    <row r="45" spans="1:146">
      <c r="A45" s="363" t="str">
        <f t="shared" ca="1" si="0"/>
        <v xml:space="preserve">Ministero delle infrastrutture e dei trasporti                                            </v>
      </c>
      <c r="B45" s="50">
        <f ca="1">VLOOKUP( TRIM(A45), Classificazione!$A$5:$B$71, 2, FALSE)</f>
        <v>75</v>
      </c>
      <c r="C45" s="364">
        <f ca="1">VLOOKUP(TRIM(A45), Classificazione!$A$5:$L$71, 12, FALSE)</f>
        <v>9032</v>
      </c>
      <c r="D45" s="4" t="str">
        <f t="shared" ca="1" si="62"/>
        <v>Completamente centralizzato</v>
      </c>
      <c r="E45" s="140">
        <f t="shared" ca="1" si="113"/>
        <v>6</v>
      </c>
      <c r="F45" s="4" t="str">
        <f t="shared" ca="1" si="62"/>
        <v>SI</v>
      </c>
      <c r="G45" s="140">
        <f t="shared" ca="1" si="115"/>
        <v>10</v>
      </c>
      <c r="H45" s="4" t="str">
        <f t="shared" ca="1" si="62"/>
        <v>SI</v>
      </c>
      <c r="I45" s="140">
        <f t="shared" ca="1" si="63"/>
        <v>10</v>
      </c>
      <c r="J45" s="4" t="b">
        <f t="shared" ca="1" si="62"/>
        <v>0</v>
      </c>
      <c r="K45" s="140">
        <f t="shared" ca="1" si="64"/>
        <v>0</v>
      </c>
      <c r="L45" s="4" t="b">
        <f t="shared" ca="1" si="62"/>
        <v>1</v>
      </c>
      <c r="M45" s="140">
        <f t="shared" ca="1" si="2"/>
        <v>5</v>
      </c>
      <c r="N45" s="4" t="b">
        <f t="shared" ca="1" si="65"/>
        <v>1</v>
      </c>
      <c r="O45" s="140">
        <f t="shared" ca="1" si="3"/>
        <v>3</v>
      </c>
      <c r="P45" s="4" t="b">
        <f t="shared" ca="1" si="66"/>
        <v>0</v>
      </c>
      <c r="Q45" s="140">
        <f t="shared" ca="1" si="4"/>
        <v>0</v>
      </c>
      <c r="R45" s="4" t="str">
        <f t="shared" ca="1" si="67"/>
        <v>UserId/Password</v>
      </c>
      <c r="S45" s="140">
        <f t="shared" ca="1" si="5"/>
        <v>2</v>
      </c>
      <c r="T45" s="4" t="str">
        <f t="shared" ca="1" si="68"/>
        <v>SI</v>
      </c>
      <c r="U45" s="140">
        <f t="shared" ca="1" si="6"/>
        <v>2</v>
      </c>
      <c r="V45" s="4" t="str">
        <f t="shared" ca="1" si="69"/>
        <v>SI</v>
      </c>
      <c r="W45" s="140">
        <f t="shared" ca="1" si="7"/>
        <v>2</v>
      </c>
      <c r="X45" s="4" t="str">
        <f t="shared" ca="1" si="70"/>
        <v>SI</v>
      </c>
      <c r="Y45" s="140">
        <f t="shared" ca="1" si="8"/>
        <v>4</v>
      </c>
      <c r="Z45" s="4" t="str">
        <f t="shared" ca="1" si="71"/>
        <v>Ogni mese</v>
      </c>
      <c r="AA45" s="140">
        <f t="shared" ca="1" si="116"/>
        <v>6</v>
      </c>
      <c r="AB45" s="4" t="str">
        <f t="shared" ca="1" si="72"/>
        <v>SI</v>
      </c>
      <c r="AC45" s="140">
        <f t="shared" ca="1" si="10"/>
        <v>10</v>
      </c>
      <c r="AD45" s="4" t="str">
        <f t="shared" ca="1" si="73"/>
        <v>Esistono postazioni mobili o supporti dati rimuovibili senza sistemi di prevenzione degli accessi</v>
      </c>
      <c r="AE45" s="140">
        <f t="shared" ca="1" si="11"/>
        <v>0</v>
      </c>
      <c r="AF45" s="4" t="str">
        <f t="shared" ca="1" si="74"/>
        <v>SI</v>
      </c>
      <c r="AG45" s="140">
        <f t="shared" ca="1" si="12"/>
        <v>6</v>
      </c>
      <c r="AH45" s="4" t="str">
        <f t="shared" ca="1" si="75"/>
        <v>SI</v>
      </c>
      <c r="AI45" s="140">
        <f t="shared" ca="1" si="13"/>
        <v>4</v>
      </c>
      <c r="AJ45" s="4" t="str">
        <f t="shared" ca="1" si="76"/>
        <v>SI</v>
      </c>
      <c r="AK45" s="140">
        <f t="shared" ca="1" si="14"/>
        <v>10</v>
      </c>
      <c r="AL45" s="203" t="str">
        <f t="shared" ca="1" si="15"/>
        <v>ok</v>
      </c>
      <c r="AM45" s="4" t="str">
        <f t="shared" ca="1" si="77"/>
        <v>SI</v>
      </c>
      <c r="AN45" s="140">
        <f t="shared" ca="1" si="16"/>
        <v>10</v>
      </c>
      <c r="AO45" s="4" t="str">
        <f t="shared" ca="1" si="77"/>
        <v>SI</v>
      </c>
      <c r="AP45" s="140">
        <f t="shared" ca="1" si="17"/>
        <v>10</v>
      </c>
      <c r="AQ45" s="4" t="str">
        <f t="shared" ca="1" si="77"/>
        <v>NO</v>
      </c>
      <c r="AR45" s="140">
        <f t="shared" ca="1" si="18"/>
        <v>0</v>
      </c>
      <c r="AS45" s="4" t="b">
        <f t="shared" ca="1" si="77"/>
        <v>1</v>
      </c>
      <c r="AT45" s="140">
        <f t="shared" ca="1" si="19"/>
        <v>5</v>
      </c>
      <c r="AU45" s="4" t="b">
        <f t="shared" ca="1" si="77"/>
        <v>1</v>
      </c>
      <c r="AV45" s="140">
        <f t="shared" ca="1" si="20"/>
        <v>5</v>
      </c>
      <c r="AW45" s="4" t="b">
        <f t="shared" ca="1" si="78"/>
        <v>0</v>
      </c>
      <c r="AX45" s="140">
        <f t="shared" ca="1" si="21"/>
        <v>0</v>
      </c>
      <c r="AY45" s="4" t="str">
        <f t="shared" ca="1" si="79"/>
        <v>SI</v>
      </c>
      <c r="AZ45" s="140">
        <f t="shared" ca="1" si="22"/>
        <v>0</v>
      </c>
      <c r="BA45" s="4" t="str">
        <f t="shared" ca="1" si="80"/>
        <v>WPA</v>
      </c>
      <c r="BB45" s="140">
        <f t="shared" ca="1" si="23"/>
        <v>10</v>
      </c>
      <c r="BC45" s="4" t="str">
        <f t="shared" ca="1" si="81"/>
        <v>SI</v>
      </c>
      <c r="BD45" s="140">
        <f t="shared" ca="1" si="24"/>
        <v>0</v>
      </c>
      <c r="BE45" s="4" t="str">
        <f t="shared" ca="1" si="82"/>
        <v>Accesso remoto mediante  VPN</v>
      </c>
      <c r="BF45" s="140">
        <f t="shared" ca="1" si="25"/>
        <v>10</v>
      </c>
      <c r="BG45" s="4" t="str">
        <f t="shared" ca="1" si="83"/>
        <v>SI</v>
      </c>
      <c r="BH45" s="140">
        <f t="shared" ca="1" si="26"/>
        <v>6</v>
      </c>
      <c r="BI45" s="4" t="str">
        <f t="shared" ca="1" si="84"/>
        <v>SI</v>
      </c>
      <c r="BJ45" s="140">
        <f t="shared" ca="1" si="27"/>
        <v>4</v>
      </c>
      <c r="BK45" s="4" t="str">
        <f t="shared" ca="1" si="85"/>
        <v>SI</v>
      </c>
      <c r="BL45" s="140">
        <f t="shared" ca="1" si="28"/>
        <v>10</v>
      </c>
      <c r="BM45" s="4" t="str">
        <f t="shared" ca="1" si="86"/>
        <v>Sì, centralizzato</v>
      </c>
      <c r="BN45" s="140">
        <f t="shared" ca="1" si="29"/>
        <v>10</v>
      </c>
      <c r="BO45" s="203" t="str">
        <f t="shared" ca="1" si="87"/>
        <v>ok</v>
      </c>
      <c r="BP45" s="4" t="str">
        <f t="shared" ca="1" si="88"/>
        <v>SI</v>
      </c>
      <c r="BQ45" s="140">
        <f t="shared" ca="1" si="30"/>
        <v>10</v>
      </c>
      <c r="BR45" s="4" t="str">
        <f t="shared" ca="1" si="88"/>
        <v>Sì, solo per le applicazioni più importanti</v>
      </c>
      <c r="BS45" s="140">
        <f t="shared" ca="1" si="31"/>
        <v>6</v>
      </c>
      <c r="BT45" s="4" t="str">
        <f t="shared" ca="1" si="88"/>
        <v>Sì, senza specificazione della copertura</v>
      </c>
      <c r="BU45" s="140">
        <f t="shared" ca="1" si="32"/>
        <v>10</v>
      </c>
      <c r="BV45" s="4" t="str">
        <f t="shared" ca="1" si="88"/>
        <v>SI</v>
      </c>
      <c r="BW45" s="140">
        <f t="shared" ca="1" si="33"/>
        <v>10</v>
      </c>
      <c r="BX45" s="4" t="str">
        <f t="shared" ca="1" si="88"/>
        <v>SI</v>
      </c>
      <c r="BY45" s="140">
        <f t="shared" ca="1" si="34"/>
        <v>10</v>
      </c>
      <c r="BZ45" s="4" t="str">
        <f t="shared" ca="1" si="89"/>
        <v>SI</v>
      </c>
      <c r="CA45" s="140">
        <f t="shared" ca="1" si="35"/>
        <v>10</v>
      </c>
      <c r="CB45" s="4" t="str">
        <f t="shared" ca="1" si="90"/>
        <v>SI</v>
      </c>
      <c r="CC45" s="140">
        <f t="shared" ca="1" si="36"/>
        <v>10</v>
      </c>
      <c r="CD45" s="4" t="str">
        <f t="shared" ca="1" si="91"/>
        <v>SI</v>
      </c>
      <c r="CE45" s="140">
        <f t="shared" ca="1" si="37"/>
        <v>10</v>
      </c>
      <c r="CF45" s="4" t="str">
        <f t="shared" ca="1" si="92"/>
        <v>NO</v>
      </c>
      <c r="CG45" s="140">
        <f t="shared" ca="1" si="38"/>
        <v>10</v>
      </c>
      <c r="CH45" s="4" t="str">
        <f t="shared" ca="1" si="93"/>
        <v>Rilevate &lt; 10</v>
      </c>
      <c r="CI45" s="140">
        <f t="shared" ca="1" si="39"/>
        <v>2</v>
      </c>
      <c r="CJ45" s="4" t="b">
        <f t="shared" ca="1" si="94"/>
        <v>0</v>
      </c>
      <c r="CK45" s="140">
        <f t="shared" ca="1" si="40"/>
        <v>0</v>
      </c>
      <c r="CL45" s="4" t="b">
        <f t="shared" ca="1" si="95"/>
        <v>0</v>
      </c>
      <c r="CM45" s="140">
        <f t="shared" ca="1" si="41"/>
        <v>0</v>
      </c>
      <c r="CN45" s="4" t="b">
        <f t="shared" ca="1" si="96"/>
        <v>0</v>
      </c>
      <c r="CO45" s="140">
        <f t="shared" ca="1" si="42"/>
        <v>0</v>
      </c>
      <c r="CP45" s="4" t="b">
        <f t="shared" ca="1" si="97"/>
        <v>0</v>
      </c>
      <c r="CQ45" s="140">
        <f t="shared" ca="1" si="43"/>
        <v>0</v>
      </c>
      <c r="CR45" s="203" t="str">
        <f t="shared" ca="1" si="98"/>
        <v>ok</v>
      </c>
      <c r="CS45" s="4" t="str">
        <f t="shared" ca="1" si="99"/>
        <v>SI</v>
      </c>
      <c r="CT45" s="140">
        <f t="shared" ca="1" si="44"/>
        <v>10</v>
      </c>
      <c r="CU45" s="4" t="str">
        <f t="shared" ca="1" si="99"/>
        <v>SI</v>
      </c>
      <c r="CV45" s="140">
        <f t="shared" ca="1" si="45"/>
        <v>10</v>
      </c>
      <c r="CW45" s="4" t="str">
        <f t="shared" ca="1" si="99"/>
        <v>Sì, alcuni</v>
      </c>
      <c r="CX45" s="140">
        <f t="shared" ca="1" si="46"/>
        <v>6</v>
      </c>
      <c r="CY45" s="4" t="str">
        <f t="shared" ca="1" si="99"/>
        <v>SI</v>
      </c>
      <c r="CZ45" s="140">
        <f t="shared" ca="1" si="47"/>
        <v>10</v>
      </c>
      <c r="DA45" s="4" t="str">
        <f t="shared" ca="1" si="99"/>
        <v>NO</v>
      </c>
      <c r="DB45" s="140">
        <f t="shared" ca="1" si="48"/>
        <v>0</v>
      </c>
      <c r="DC45" s="4" t="str">
        <f t="shared" ca="1" si="100"/>
        <v>SI</v>
      </c>
      <c r="DD45" s="140">
        <f t="shared" ca="1" si="49"/>
        <v>10</v>
      </c>
      <c r="DE45" s="4" t="str">
        <f t="shared" ca="1" si="101"/>
        <v>SI</v>
      </c>
      <c r="DF45" s="140">
        <f t="shared" ca="1" si="50"/>
        <v>10</v>
      </c>
      <c r="DG45" s="4" t="str">
        <f t="shared" ca="1" si="102"/>
        <v>SI</v>
      </c>
      <c r="DH45" s="140">
        <f t="shared" ca="1" si="51"/>
        <v>6</v>
      </c>
      <c r="DI45" s="4" t="str">
        <f t="shared" ca="1" si="103"/>
        <v>Sì</v>
      </c>
      <c r="DJ45" s="140">
        <f t="shared" ca="1" si="52"/>
        <v>4</v>
      </c>
      <c r="DK45" s="4" t="str">
        <f t="shared" ca="1" si="104"/>
        <v>Solo personale interno</v>
      </c>
      <c r="DL45" s="140">
        <f t="shared" ca="1" si="53"/>
        <v>10</v>
      </c>
      <c r="DM45" s="4" t="str">
        <f t="shared" ca="1" si="105"/>
        <v>Non previsto audit</v>
      </c>
      <c r="DN45" s="140">
        <f t="shared" ca="1" si="54"/>
        <v>0</v>
      </c>
      <c r="DO45" s="4" t="str">
        <f t="shared" ca="1" si="106"/>
        <v>--</v>
      </c>
      <c r="DP45" s="140">
        <f t="shared" ca="1" si="55"/>
        <v>0</v>
      </c>
      <c r="DQ45" s="4" t="str">
        <f t="shared" ca="1" si="107"/>
        <v>NO</v>
      </c>
      <c r="DR45" s="140">
        <f t="shared" ca="1" si="56"/>
        <v>0</v>
      </c>
      <c r="DS45" s="80" t="str">
        <f t="shared" ca="1" si="108"/>
        <v>--</v>
      </c>
      <c r="DT45" s="140">
        <f t="shared" ca="1" si="57"/>
        <v>0</v>
      </c>
      <c r="DU45" s="4" t="str">
        <f t="shared" ca="1" si="109"/>
        <v>Sì, con copertura analisi rischi parziale</v>
      </c>
      <c r="DV45" s="140">
        <f t="shared" ca="1" si="114"/>
        <v>8</v>
      </c>
      <c r="DW45" s="4" t="str">
        <f t="shared" ca="1" si="110"/>
        <v>SI</v>
      </c>
      <c r="DX45" s="140">
        <f t="shared" ca="1" si="58"/>
        <v>10</v>
      </c>
      <c r="DY45" s="4" t="str">
        <f t="shared" ca="1" si="111"/>
        <v>NO</v>
      </c>
      <c r="DZ45" s="140">
        <f t="shared" ca="1" si="59"/>
        <v>0</v>
      </c>
      <c r="EA45" s="80" t="str">
        <f t="shared" ca="1" si="112"/>
        <v>Inferiore al 10 %</v>
      </c>
      <c r="EB45" s="140">
        <f t="shared" ca="1" si="60"/>
        <v>2</v>
      </c>
      <c r="EC45" s="4">
        <f t="shared" ca="1" si="61"/>
        <v>344</v>
      </c>
    </row>
    <row r="46" spans="1:146">
      <c r="A46" s="363" t="str">
        <f t="shared" ca="1" si="0"/>
        <v xml:space="preserve">Ministero dell'istruzione, università e ricerca                                               </v>
      </c>
      <c r="B46" s="50">
        <f ca="1">VLOOKUP( TRIM(A46), Classificazione!$A$5:$B$71, 2, FALSE)</f>
        <v>17</v>
      </c>
      <c r="C46" s="364">
        <f ca="1">VLOOKUP(TRIM(A46), Classificazione!$A$5:$L$71, 12, FALSE)</f>
        <v>6082</v>
      </c>
      <c r="D46" s="4" t="str">
        <f t="shared" ca="1" si="62"/>
        <v>Parzialmente centralizzato</v>
      </c>
      <c r="E46" s="140">
        <f t="shared" ca="1" si="113"/>
        <v>8</v>
      </c>
      <c r="F46" s="4" t="str">
        <f t="shared" ca="1" si="62"/>
        <v>SI</v>
      </c>
      <c r="G46" s="140">
        <f t="shared" ca="1" si="115"/>
        <v>10</v>
      </c>
      <c r="H46" s="4" t="str">
        <f t="shared" ca="1" si="62"/>
        <v>SI</v>
      </c>
      <c r="I46" s="140">
        <f t="shared" ca="1" si="63"/>
        <v>10</v>
      </c>
      <c r="J46" s="4" t="b">
        <f t="shared" ca="1" si="62"/>
        <v>0</v>
      </c>
      <c r="K46" s="140">
        <f t="shared" ca="1" si="64"/>
        <v>0</v>
      </c>
      <c r="L46" s="4" t="b">
        <f t="shared" ca="1" si="62"/>
        <v>1</v>
      </c>
      <c r="M46" s="140">
        <f t="shared" ca="1" si="2"/>
        <v>5</v>
      </c>
      <c r="N46" s="4" t="b">
        <f t="shared" ca="1" si="65"/>
        <v>0</v>
      </c>
      <c r="O46" s="140">
        <f t="shared" ca="1" si="3"/>
        <v>0</v>
      </c>
      <c r="P46" s="4" t="b">
        <f t="shared" ca="1" si="66"/>
        <v>0</v>
      </c>
      <c r="Q46" s="140">
        <f t="shared" ca="1" si="4"/>
        <v>0</v>
      </c>
      <c r="R46" s="4" t="str">
        <f t="shared" ca="1" si="67"/>
        <v>UserId/Password</v>
      </c>
      <c r="S46" s="140">
        <f t="shared" ca="1" si="5"/>
        <v>2</v>
      </c>
      <c r="T46" s="4" t="str">
        <f t="shared" ca="1" si="68"/>
        <v>SI</v>
      </c>
      <c r="U46" s="140">
        <f t="shared" ca="1" si="6"/>
        <v>2</v>
      </c>
      <c r="V46" s="4" t="str">
        <f t="shared" ca="1" si="69"/>
        <v>SI</v>
      </c>
      <c r="W46" s="140">
        <f t="shared" ca="1" si="7"/>
        <v>2</v>
      </c>
      <c r="X46" s="4" t="str">
        <f t="shared" ca="1" si="70"/>
        <v>SI</v>
      </c>
      <c r="Y46" s="140">
        <f t="shared" ca="1" si="8"/>
        <v>4</v>
      </c>
      <c r="Z46" s="4" t="str">
        <f t="shared" ca="1" si="71"/>
        <v>Ogni settimana</v>
      </c>
      <c r="AA46" s="140">
        <f t="shared" ca="1" si="116"/>
        <v>8</v>
      </c>
      <c r="AB46" s="4" t="str">
        <f t="shared" ca="1" si="72"/>
        <v>SI</v>
      </c>
      <c r="AC46" s="140">
        <f t="shared" ca="1" si="10"/>
        <v>10</v>
      </c>
      <c r="AD46" s="4" t="str">
        <f t="shared" ca="1" si="73"/>
        <v>Esistono postazioni mobili o supporti dati rimuovibili con sistemi di prevenzione degli accessi</v>
      </c>
      <c r="AE46" s="140">
        <f t="shared" ca="1" si="11"/>
        <v>10</v>
      </c>
      <c r="AF46" s="4" t="str">
        <f t="shared" ca="1" si="74"/>
        <v>SI</v>
      </c>
      <c r="AG46" s="140">
        <f t="shared" ca="1" si="12"/>
        <v>6</v>
      </c>
      <c r="AH46" s="4" t="str">
        <f t="shared" ca="1" si="75"/>
        <v>SI</v>
      </c>
      <c r="AI46" s="140">
        <f t="shared" ca="1" si="13"/>
        <v>4</v>
      </c>
      <c r="AJ46" s="4" t="str">
        <f t="shared" ca="1" si="76"/>
        <v>SI</v>
      </c>
      <c r="AK46" s="140">
        <f t="shared" ca="1" si="14"/>
        <v>10</v>
      </c>
      <c r="AL46" s="203" t="str">
        <f t="shared" ca="1" si="15"/>
        <v>ok</v>
      </c>
      <c r="AM46" s="4" t="str">
        <f t="shared" ca="1" si="77"/>
        <v>SI</v>
      </c>
      <c r="AN46" s="140">
        <f t="shared" ca="1" si="16"/>
        <v>10</v>
      </c>
      <c r="AO46" s="4" t="str">
        <f t="shared" ca="1" si="77"/>
        <v>SI</v>
      </c>
      <c r="AP46" s="140">
        <f t="shared" ca="1" si="17"/>
        <v>10</v>
      </c>
      <c r="AQ46" s="4" t="str">
        <f t="shared" ca="1" si="77"/>
        <v>SI</v>
      </c>
      <c r="AR46" s="140">
        <f t="shared" ca="1" si="18"/>
        <v>10</v>
      </c>
      <c r="AS46" s="4" t="b">
        <f t="shared" ca="1" si="77"/>
        <v>1</v>
      </c>
      <c r="AT46" s="140">
        <f t="shared" ca="1" si="19"/>
        <v>5</v>
      </c>
      <c r="AU46" s="4" t="b">
        <f t="shared" ca="1" si="77"/>
        <v>1</v>
      </c>
      <c r="AV46" s="140">
        <f t="shared" ca="1" si="20"/>
        <v>5</v>
      </c>
      <c r="AW46" s="4" t="b">
        <f t="shared" ca="1" si="78"/>
        <v>0</v>
      </c>
      <c r="AX46" s="140">
        <f t="shared" ca="1" si="21"/>
        <v>0</v>
      </c>
      <c r="AY46" s="4" t="str">
        <f t="shared" ca="1" si="79"/>
        <v>NO</v>
      </c>
      <c r="AZ46" s="140">
        <f t="shared" ca="1" si="22"/>
        <v>6</v>
      </c>
      <c r="BA46" s="4" t="str">
        <f t="shared" ca="1" si="80"/>
        <v>Nessuno</v>
      </c>
      <c r="BB46" s="140">
        <f t="shared" ca="1" si="23"/>
        <v>0</v>
      </c>
      <c r="BC46" s="4" t="str">
        <f t="shared" ca="1" si="81"/>
        <v>SI</v>
      </c>
      <c r="BD46" s="140">
        <f t="shared" ca="1" si="24"/>
        <v>0</v>
      </c>
      <c r="BE46" s="4" t="str">
        <f t="shared" ca="1" si="82"/>
        <v>Accesso remoto mediante  VPN</v>
      </c>
      <c r="BF46" s="140">
        <f t="shared" ca="1" si="25"/>
        <v>10</v>
      </c>
      <c r="BG46" s="4" t="str">
        <f t="shared" ca="1" si="83"/>
        <v>SI</v>
      </c>
      <c r="BH46" s="140">
        <f t="shared" ca="1" si="26"/>
        <v>6</v>
      </c>
      <c r="BI46" s="4" t="str">
        <f t="shared" ca="1" si="84"/>
        <v>SI</v>
      </c>
      <c r="BJ46" s="140">
        <f t="shared" ca="1" si="27"/>
        <v>4</v>
      </c>
      <c r="BK46" s="4" t="str">
        <f t="shared" ca="1" si="85"/>
        <v>SI</v>
      </c>
      <c r="BL46" s="140">
        <f t="shared" ca="1" si="28"/>
        <v>10</v>
      </c>
      <c r="BM46" s="4" t="str">
        <f t="shared" ca="1" si="86"/>
        <v>Sì, non centralizzato</v>
      </c>
      <c r="BN46" s="140">
        <f t="shared" ca="1" si="29"/>
        <v>6</v>
      </c>
      <c r="BO46" s="203" t="str">
        <f t="shared" ca="1" si="87"/>
        <v>ok</v>
      </c>
      <c r="BP46" s="4" t="str">
        <f t="shared" ca="1" si="88"/>
        <v>SI</v>
      </c>
      <c r="BQ46" s="140">
        <f t="shared" ca="1" si="30"/>
        <v>10</v>
      </c>
      <c r="BR46" s="4" t="str">
        <f t="shared" ca="1" si="88"/>
        <v>Sì, solo per le applicazioni più importanti</v>
      </c>
      <c r="BS46" s="140">
        <f t="shared" ca="1" si="31"/>
        <v>6</v>
      </c>
      <c r="BT46" s="4" t="str">
        <f t="shared" ca="1" si="88"/>
        <v>Sì, solo per le applicazioni più importanti</v>
      </c>
      <c r="BU46" s="140">
        <f t="shared" ca="1" si="32"/>
        <v>6</v>
      </c>
      <c r="BV46" s="4" t="str">
        <f t="shared" ca="1" si="88"/>
        <v>SI</v>
      </c>
      <c r="BW46" s="140">
        <f t="shared" ca="1" si="33"/>
        <v>10</v>
      </c>
      <c r="BX46" s="4" t="str">
        <f t="shared" ca="1" si="88"/>
        <v>SI</v>
      </c>
      <c r="BY46" s="140">
        <f t="shared" ca="1" si="34"/>
        <v>10</v>
      </c>
      <c r="BZ46" s="4" t="str">
        <f t="shared" ca="1" si="89"/>
        <v>SI</v>
      </c>
      <c r="CA46" s="140">
        <f t="shared" ca="1" si="35"/>
        <v>10</v>
      </c>
      <c r="CB46" s="4" t="str">
        <f t="shared" ca="1" si="90"/>
        <v>SI</v>
      </c>
      <c r="CC46" s="140">
        <f t="shared" ca="1" si="36"/>
        <v>10</v>
      </c>
      <c r="CD46" s="4" t="str">
        <f t="shared" ca="1" si="91"/>
        <v>SI</v>
      </c>
      <c r="CE46" s="140">
        <f t="shared" ca="1" si="37"/>
        <v>10</v>
      </c>
      <c r="CF46" s="4" t="str">
        <f t="shared" ca="1" si="92"/>
        <v>NO</v>
      </c>
      <c r="CG46" s="140">
        <f t="shared" ca="1" si="38"/>
        <v>10</v>
      </c>
      <c r="CH46" s="4" t="str">
        <f t="shared" ca="1" si="93"/>
        <v>Rilevate &lt; 10</v>
      </c>
      <c r="CI46" s="140">
        <f t="shared" ca="1" si="39"/>
        <v>2</v>
      </c>
      <c r="CJ46" s="4" t="b">
        <f t="shared" ca="1" si="94"/>
        <v>0</v>
      </c>
      <c r="CK46" s="140">
        <f t="shared" ca="1" si="40"/>
        <v>0</v>
      </c>
      <c r="CL46" s="4" t="b">
        <f t="shared" ca="1" si="95"/>
        <v>0</v>
      </c>
      <c r="CM46" s="140">
        <f t="shared" ca="1" si="41"/>
        <v>0</v>
      </c>
      <c r="CN46" s="4" t="b">
        <f t="shared" ca="1" si="96"/>
        <v>0</v>
      </c>
      <c r="CO46" s="140">
        <f t="shared" ca="1" si="42"/>
        <v>0</v>
      </c>
      <c r="CP46" s="4" t="b">
        <f t="shared" ca="1" si="97"/>
        <v>0</v>
      </c>
      <c r="CQ46" s="140">
        <f t="shared" ca="1" si="43"/>
        <v>0</v>
      </c>
      <c r="CR46" s="203" t="str">
        <f t="shared" ca="1" si="98"/>
        <v>ok</v>
      </c>
      <c r="CS46" s="4" t="str">
        <f t="shared" ca="1" si="99"/>
        <v>--</v>
      </c>
      <c r="CT46" s="140">
        <f t="shared" ca="1" si="44"/>
        <v>0</v>
      </c>
      <c r="CU46" s="4" t="str">
        <f t="shared" ca="1" si="99"/>
        <v>--</v>
      </c>
      <c r="CV46" s="140">
        <f t="shared" ca="1" si="45"/>
        <v>0</v>
      </c>
      <c r="CW46" s="4" t="str">
        <f t="shared" ca="1" si="99"/>
        <v>--</v>
      </c>
      <c r="CX46" s="140">
        <f t="shared" ca="1" si="46"/>
        <v>0</v>
      </c>
      <c r="CY46" s="4" t="str">
        <f t="shared" ca="1" si="99"/>
        <v>--</v>
      </c>
      <c r="CZ46" s="140">
        <f t="shared" ca="1" si="47"/>
        <v>0</v>
      </c>
      <c r="DA46" s="4" t="str">
        <f t="shared" ca="1" si="99"/>
        <v>--</v>
      </c>
      <c r="DB46" s="140">
        <f t="shared" ca="1" si="48"/>
        <v>0</v>
      </c>
      <c r="DC46" s="4" t="str">
        <f t="shared" ca="1" si="100"/>
        <v>--</v>
      </c>
      <c r="DD46" s="140">
        <f t="shared" ca="1" si="49"/>
        <v>0</v>
      </c>
      <c r="DE46" s="4" t="str">
        <f t="shared" ca="1" si="101"/>
        <v>--</v>
      </c>
      <c r="DF46" s="140">
        <f t="shared" ca="1" si="50"/>
        <v>0</v>
      </c>
      <c r="DG46" s="4" t="str">
        <f t="shared" ca="1" si="102"/>
        <v>--</v>
      </c>
      <c r="DH46" s="140">
        <f t="shared" ca="1" si="51"/>
        <v>0</v>
      </c>
      <c r="DI46" s="4" t="str">
        <f t="shared" ca="1" si="103"/>
        <v>--</v>
      </c>
      <c r="DJ46" s="140">
        <f t="shared" ca="1" si="52"/>
        <v>0</v>
      </c>
      <c r="DK46" s="4" t="str">
        <f t="shared" ca="1" si="104"/>
        <v>--</v>
      </c>
      <c r="DL46" s="140">
        <f t="shared" ca="1" si="53"/>
        <v>0</v>
      </c>
      <c r="DM46" s="4" t="str">
        <f t="shared" ca="1" si="105"/>
        <v>Non previsto audit</v>
      </c>
      <c r="DN46" s="140">
        <f t="shared" ca="1" si="54"/>
        <v>0</v>
      </c>
      <c r="DO46" s="4" t="str">
        <f t="shared" ca="1" si="106"/>
        <v>--</v>
      </c>
      <c r="DP46" s="140">
        <f t="shared" ca="1" si="55"/>
        <v>0</v>
      </c>
      <c r="DQ46" s="4" t="str">
        <f t="shared" ca="1" si="107"/>
        <v>--</v>
      </c>
      <c r="DR46" s="140">
        <f t="shared" ca="1" si="56"/>
        <v>0</v>
      </c>
      <c r="DS46" s="80" t="str">
        <f t="shared" ca="1" si="108"/>
        <v>--</v>
      </c>
      <c r="DT46" s="140">
        <f t="shared" ca="1" si="57"/>
        <v>0</v>
      </c>
      <c r="DU46" s="4" t="str">
        <f t="shared" ca="1" si="109"/>
        <v>--</v>
      </c>
      <c r="DV46" s="140">
        <f t="shared" ca="1" si="114"/>
        <v>0</v>
      </c>
      <c r="DW46" s="4" t="str">
        <f t="shared" ca="1" si="110"/>
        <v>--</v>
      </c>
      <c r="DX46" s="140">
        <f t="shared" ca="1" si="58"/>
        <v>0</v>
      </c>
      <c r="DY46" s="4" t="str">
        <f t="shared" ca="1" si="111"/>
        <v>--</v>
      </c>
      <c r="DZ46" s="140">
        <f t="shared" ca="1" si="59"/>
        <v>0</v>
      </c>
      <c r="EA46" s="80" t="str">
        <f t="shared" ca="1" si="112"/>
        <v>Inferiore al 10 %</v>
      </c>
      <c r="EB46" s="140">
        <f t="shared" ca="1" si="60"/>
        <v>2</v>
      </c>
      <c r="EC46" s="4">
        <f t="shared" ca="1" si="61"/>
        <v>259</v>
      </c>
    </row>
    <row r="47" spans="1:146">
      <c r="A47" s="363" t="str">
        <f t="shared" ca="1" si="0"/>
        <v xml:space="preserve">Ministero delle politiche agricole e forestali                                        </v>
      </c>
      <c r="B47" s="50">
        <f ca="1">VLOOKUP( TRIM(A47), Classificazione!$A$5:$B$71, 2, FALSE)</f>
        <v>111</v>
      </c>
      <c r="C47" s="364">
        <f ca="1">VLOOKUP(TRIM(A47), Classificazione!$A$5:$L$71, 12, FALSE)</f>
        <v>1612</v>
      </c>
      <c r="D47" s="4" t="str">
        <f t="shared" ca="1" si="62"/>
        <v>Completamente centralizzato</v>
      </c>
      <c r="E47" s="140">
        <f t="shared" ca="1" si="113"/>
        <v>6</v>
      </c>
      <c r="F47" s="4" t="str">
        <f t="shared" ca="1" si="62"/>
        <v>SI</v>
      </c>
      <c r="G47" s="140">
        <f t="shared" ca="1" si="115"/>
        <v>10</v>
      </c>
      <c r="H47" s="4" t="str">
        <f t="shared" ca="1" si="62"/>
        <v>--</v>
      </c>
      <c r="I47" s="140">
        <f t="shared" ca="1" si="63"/>
        <v>0</v>
      </c>
      <c r="J47" s="4" t="b">
        <f t="shared" ca="1" si="62"/>
        <v>0</v>
      </c>
      <c r="K47" s="140">
        <f t="shared" ca="1" si="64"/>
        <v>0</v>
      </c>
      <c r="L47" s="4" t="b">
        <f t="shared" ca="1" si="62"/>
        <v>0</v>
      </c>
      <c r="M47" s="140">
        <f t="shared" ca="1" si="2"/>
        <v>0</v>
      </c>
      <c r="N47" s="4" t="b">
        <f t="shared" ca="1" si="65"/>
        <v>0</v>
      </c>
      <c r="O47" s="140">
        <f t="shared" ca="1" si="3"/>
        <v>0</v>
      </c>
      <c r="P47" s="4" t="b">
        <f t="shared" ca="1" si="66"/>
        <v>0</v>
      </c>
      <c r="Q47" s="140">
        <f t="shared" ca="1" si="4"/>
        <v>0</v>
      </c>
      <c r="R47" s="4" t="str">
        <f t="shared" ca="1" si="67"/>
        <v>UserId/Password</v>
      </c>
      <c r="S47" s="140">
        <f t="shared" ca="1" si="5"/>
        <v>2</v>
      </c>
      <c r="T47" s="4" t="str">
        <f t="shared" ca="1" si="68"/>
        <v>SI</v>
      </c>
      <c r="U47" s="140">
        <f t="shared" ca="1" si="6"/>
        <v>2</v>
      </c>
      <c r="V47" s="4" t="str">
        <f t="shared" ca="1" si="69"/>
        <v>SI</v>
      </c>
      <c r="W47" s="140">
        <f t="shared" ca="1" si="7"/>
        <v>2</v>
      </c>
      <c r="X47" s="4" t="str">
        <f t="shared" ca="1" si="70"/>
        <v>SI</v>
      </c>
      <c r="Y47" s="140">
        <f t="shared" ca="1" si="8"/>
        <v>4</v>
      </c>
      <c r="Z47" s="4" t="str">
        <f t="shared" ca="1" si="71"/>
        <v>Automaticamente</v>
      </c>
      <c r="AA47" s="140">
        <f t="shared" ca="1" si="116"/>
        <v>10</v>
      </c>
      <c r="AB47" s="4" t="str">
        <f t="shared" ca="1" si="72"/>
        <v>NO</v>
      </c>
      <c r="AC47" s="140">
        <f t="shared" ca="1" si="10"/>
        <v>0</v>
      </c>
      <c r="AD47" s="4" t="str">
        <f t="shared" ca="1" si="73"/>
        <v>Non esistono postazioni mobili o impiego di supporti dati rimuovibili</v>
      </c>
      <c r="AE47" s="140">
        <f t="shared" ca="1" si="11"/>
        <v>6</v>
      </c>
      <c r="AF47" s="4" t="str">
        <f t="shared" ca="1" si="74"/>
        <v>SI</v>
      </c>
      <c r="AG47" s="140">
        <f t="shared" ca="1" si="12"/>
        <v>6</v>
      </c>
      <c r="AH47" s="4" t="str">
        <f t="shared" ca="1" si="75"/>
        <v>SI</v>
      </c>
      <c r="AI47" s="140">
        <f t="shared" ca="1" si="13"/>
        <v>4</v>
      </c>
      <c r="AJ47" s="4" t="str">
        <f t="shared" ca="1" si="76"/>
        <v>SI</v>
      </c>
      <c r="AK47" s="140">
        <f t="shared" ca="1" si="14"/>
        <v>10</v>
      </c>
      <c r="AL47" s="203" t="str">
        <f t="shared" ca="1" si="15"/>
        <v>ok</v>
      </c>
      <c r="AM47" s="4" t="str">
        <f t="shared" ca="1" si="77"/>
        <v>SI</v>
      </c>
      <c r="AN47" s="140">
        <f t="shared" ca="1" si="16"/>
        <v>10</v>
      </c>
      <c r="AO47" s="4" t="str">
        <f t="shared" ca="1" si="77"/>
        <v>SI</v>
      </c>
      <c r="AP47" s="140">
        <f t="shared" ca="1" si="17"/>
        <v>10</v>
      </c>
      <c r="AQ47" s="4" t="str">
        <f t="shared" ca="1" si="77"/>
        <v>SI</v>
      </c>
      <c r="AR47" s="140">
        <f t="shared" ca="1" si="18"/>
        <v>10</v>
      </c>
      <c r="AS47" s="4" t="b">
        <f t="shared" ca="1" si="77"/>
        <v>1</v>
      </c>
      <c r="AT47" s="140">
        <f t="shared" ca="1" si="19"/>
        <v>5</v>
      </c>
      <c r="AU47" s="4" t="b">
        <f t="shared" ca="1" si="77"/>
        <v>1</v>
      </c>
      <c r="AV47" s="140">
        <f t="shared" ca="1" si="20"/>
        <v>5</v>
      </c>
      <c r="AW47" s="4" t="b">
        <f t="shared" ca="1" si="78"/>
        <v>0</v>
      </c>
      <c r="AX47" s="140">
        <f t="shared" ca="1" si="21"/>
        <v>0</v>
      </c>
      <c r="AY47" s="4" t="str">
        <f t="shared" ca="1" si="79"/>
        <v>NO</v>
      </c>
      <c r="AZ47" s="140">
        <f t="shared" ca="1" si="22"/>
        <v>6</v>
      </c>
      <c r="BA47" s="4" t="str">
        <f t="shared" ca="1" si="80"/>
        <v>Nessuno</v>
      </c>
      <c r="BB47" s="140">
        <f t="shared" ca="1" si="23"/>
        <v>0</v>
      </c>
      <c r="BC47" s="4" t="str">
        <f t="shared" ca="1" si="81"/>
        <v>SI</v>
      </c>
      <c r="BD47" s="140">
        <f t="shared" ca="1" si="24"/>
        <v>0</v>
      </c>
      <c r="BE47" s="4" t="str">
        <f t="shared" ca="1" si="82"/>
        <v>Accesso remoto mediante  VPN</v>
      </c>
      <c r="BF47" s="140">
        <f t="shared" ca="1" si="25"/>
        <v>10</v>
      </c>
      <c r="BG47" s="4" t="str">
        <f t="shared" ca="1" si="83"/>
        <v>SI</v>
      </c>
      <c r="BH47" s="140">
        <f t="shared" ca="1" si="26"/>
        <v>6</v>
      </c>
      <c r="BI47" s="4" t="str">
        <f t="shared" ca="1" si="84"/>
        <v>SI</v>
      </c>
      <c r="BJ47" s="140">
        <f t="shared" ca="1" si="27"/>
        <v>4</v>
      </c>
      <c r="BK47" s="4" t="str">
        <f t="shared" ca="1" si="85"/>
        <v>SI</v>
      </c>
      <c r="BL47" s="140">
        <f t="shared" ca="1" si="28"/>
        <v>10</v>
      </c>
      <c r="BM47" s="4" t="str">
        <f t="shared" ca="1" si="86"/>
        <v>Sì, centralizzato</v>
      </c>
      <c r="BN47" s="140">
        <f t="shared" ca="1" si="29"/>
        <v>10</v>
      </c>
      <c r="BO47" s="203" t="str">
        <f t="shared" ca="1" si="87"/>
        <v>ok</v>
      </c>
      <c r="BP47" s="4" t="str">
        <f t="shared" ca="1" si="88"/>
        <v>SI</v>
      </c>
      <c r="BQ47" s="140">
        <f t="shared" ca="1" si="30"/>
        <v>10</v>
      </c>
      <c r="BR47" s="4" t="str">
        <f t="shared" ca="1" si="88"/>
        <v>Sì, senza specificazione della copertura</v>
      </c>
      <c r="BS47" s="140">
        <f t="shared" ca="1" si="31"/>
        <v>10</v>
      </c>
      <c r="BT47" s="4" t="str">
        <f t="shared" ca="1" si="88"/>
        <v>Sì, senza specificazione della copertura</v>
      </c>
      <c r="BU47" s="140">
        <f t="shared" ca="1" si="32"/>
        <v>10</v>
      </c>
      <c r="BV47" s="4" t="str">
        <f t="shared" ca="1" si="88"/>
        <v>SI</v>
      </c>
      <c r="BW47" s="140">
        <f t="shared" ca="1" si="33"/>
        <v>10</v>
      </c>
      <c r="BX47" s="4" t="str">
        <f t="shared" ca="1" si="88"/>
        <v>SI</v>
      </c>
      <c r="BY47" s="140">
        <f t="shared" ca="1" si="34"/>
        <v>10</v>
      </c>
      <c r="BZ47" s="4" t="str">
        <f t="shared" ca="1" si="89"/>
        <v>NO</v>
      </c>
      <c r="CA47" s="140">
        <f t="shared" ca="1" si="35"/>
        <v>0</v>
      </c>
      <c r="CB47" s="4" t="str">
        <f t="shared" ca="1" si="90"/>
        <v>SI</v>
      </c>
      <c r="CC47" s="140">
        <f t="shared" ca="1" si="36"/>
        <v>10</v>
      </c>
      <c r="CD47" s="4" t="str">
        <f t="shared" ca="1" si="91"/>
        <v>NO</v>
      </c>
      <c r="CE47" s="140">
        <f t="shared" ca="1" si="37"/>
        <v>0</v>
      </c>
      <c r="CF47" s="4" t="str">
        <f t="shared" ca="1" si="92"/>
        <v>NO</v>
      </c>
      <c r="CG47" s="140">
        <f t="shared" ca="1" si="38"/>
        <v>10</v>
      </c>
      <c r="CH47" s="4" t="str">
        <f t="shared" ca="1" si="93"/>
        <v>Rilevate &lt; 10</v>
      </c>
      <c r="CI47" s="140">
        <f t="shared" ca="1" si="39"/>
        <v>2</v>
      </c>
      <c r="CJ47" s="4" t="b">
        <f t="shared" ca="1" si="94"/>
        <v>0</v>
      </c>
      <c r="CK47" s="140">
        <f t="shared" ca="1" si="40"/>
        <v>0</v>
      </c>
      <c r="CL47" s="4" t="b">
        <f t="shared" ca="1" si="95"/>
        <v>0</v>
      </c>
      <c r="CM47" s="140">
        <f t="shared" ca="1" si="41"/>
        <v>0</v>
      </c>
      <c r="CN47" s="4" t="b">
        <f t="shared" ca="1" si="96"/>
        <v>0</v>
      </c>
      <c r="CO47" s="140">
        <f t="shared" ca="1" si="42"/>
        <v>0</v>
      </c>
      <c r="CP47" s="4" t="b">
        <f t="shared" ca="1" si="97"/>
        <v>0</v>
      </c>
      <c r="CQ47" s="140">
        <f t="shared" ca="1" si="43"/>
        <v>0</v>
      </c>
      <c r="CR47" s="203" t="str">
        <f t="shared" ca="1" si="98"/>
        <v>ok</v>
      </c>
      <c r="CS47" s="4" t="str">
        <f t="shared" ca="1" si="99"/>
        <v>--</v>
      </c>
      <c r="CT47" s="140">
        <f t="shared" ca="1" si="44"/>
        <v>0</v>
      </c>
      <c r="CU47" s="4" t="str">
        <f t="shared" ca="1" si="99"/>
        <v>SI</v>
      </c>
      <c r="CV47" s="140">
        <f t="shared" ca="1" si="45"/>
        <v>10</v>
      </c>
      <c r="CW47" s="4" t="str">
        <f t="shared" ca="1" si="99"/>
        <v>--</v>
      </c>
      <c r="CX47" s="140">
        <f t="shared" ca="1" si="46"/>
        <v>0</v>
      </c>
      <c r="CY47" s="4" t="str">
        <f t="shared" ca="1" si="99"/>
        <v>SI</v>
      </c>
      <c r="CZ47" s="140">
        <f t="shared" ca="1" si="47"/>
        <v>10</v>
      </c>
      <c r="DA47" s="4" t="str">
        <f t="shared" ca="1" si="99"/>
        <v>SI</v>
      </c>
      <c r="DB47" s="140">
        <f t="shared" ca="1" si="48"/>
        <v>10</v>
      </c>
      <c r="DC47" s="4" t="str">
        <f t="shared" ca="1" si="100"/>
        <v>SI</v>
      </c>
      <c r="DD47" s="140">
        <f t="shared" ca="1" si="49"/>
        <v>10</v>
      </c>
      <c r="DE47" s="4" t="str">
        <f t="shared" ca="1" si="101"/>
        <v>SI</v>
      </c>
      <c r="DF47" s="140">
        <f t="shared" ca="1" si="50"/>
        <v>10</v>
      </c>
      <c r="DG47" s="4" t="str">
        <f t="shared" ca="1" si="102"/>
        <v>SI</v>
      </c>
      <c r="DH47" s="140">
        <f t="shared" ca="1" si="51"/>
        <v>6</v>
      </c>
      <c r="DI47" s="4" t="str">
        <f t="shared" ca="1" si="103"/>
        <v>Sì</v>
      </c>
      <c r="DJ47" s="140">
        <f t="shared" ca="1" si="52"/>
        <v>4</v>
      </c>
      <c r="DK47" s="4" t="str">
        <f t="shared" ca="1" si="104"/>
        <v>Solo personale interno</v>
      </c>
      <c r="DL47" s="140">
        <f t="shared" ca="1" si="53"/>
        <v>10</v>
      </c>
      <c r="DM47" s="4" t="str">
        <f t="shared" ca="1" si="105"/>
        <v>Non previsto audit</v>
      </c>
      <c r="DN47" s="140">
        <f t="shared" ca="1" si="54"/>
        <v>0</v>
      </c>
      <c r="DO47" s="4" t="str">
        <f t="shared" ca="1" si="106"/>
        <v>--</v>
      </c>
      <c r="DP47" s="140">
        <f t="shared" ca="1" si="55"/>
        <v>0</v>
      </c>
      <c r="DQ47" s="4" t="str">
        <f t="shared" ca="1" si="107"/>
        <v>SI</v>
      </c>
      <c r="DR47" s="140">
        <f t="shared" ca="1" si="56"/>
        <v>4</v>
      </c>
      <c r="DS47" s="80" t="str">
        <f t="shared" ca="1" si="108"/>
        <v>Inferiore al 5 %</v>
      </c>
      <c r="DT47" s="140">
        <f t="shared" ca="1" si="57"/>
        <v>2</v>
      </c>
      <c r="DU47" s="4" t="str">
        <f t="shared" ca="1" si="109"/>
        <v>Sì, con copertura analisi rischi parziale</v>
      </c>
      <c r="DV47" s="140">
        <f t="shared" ca="1" si="114"/>
        <v>8</v>
      </c>
      <c r="DW47" s="4" t="str">
        <f t="shared" ca="1" si="110"/>
        <v>SI</v>
      </c>
      <c r="DX47" s="140">
        <f t="shared" ca="1" si="58"/>
        <v>10</v>
      </c>
      <c r="DY47" s="4" t="str">
        <f t="shared" ca="1" si="111"/>
        <v>NO</v>
      </c>
      <c r="DZ47" s="140">
        <f t="shared" ca="1" si="59"/>
        <v>0</v>
      </c>
      <c r="EA47" s="80" t="str">
        <f t="shared" ca="1" si="112"/>
        <v>Inferiore al 10 %</v>
      </c>
      <c r="EB47" s="140">
        <f t="shared" ca="1" si="60"/>
        <v>2</v>
      </c>
      <c r="EC47" s="4">
        <f t="shared" ca="1" si="61"/>
        <v>316</v>
      </c>
    </row>
    <row r="48" spans="1:146">
      <c r="A48" s="363" t="str">
        <f t="shared" ca="1" si="0"/>
        <v xml:space="preserve">Ministero del lavoro e delle politiche sociali           </v>
      </c>
      <c r="B48" s="50">
        <f ca="1">VLOOKUP( TRIM(A48), Classificazione!$A$5:$B$71, 2, FALSE)</f>
        <v>1</v>
      </c>
      <c r="C48" s="364">
        <f ca="1">VLOOKUP(TRIM(A48), Classificazione!$A$5:$L$71, 12, FALSE)</f>
        <v>7940</v>
      </c>
      <c r="D48" s="4" t="str">
        <f t="shared" ca="1" si="62"/>
        <v>Parzialmente centralizzato</v>
      </c>
      <c r="E48" s="140">
        <f t="shared" ca="1" si="113"/>
        <v>8</v>
      </c>
      <c r="F48" s="4" t="str">
        <f t="shared" ca="1" si="62"/>
        <v>SI</v>
      </c>
      <c r="G48" s="140">
        <f t="shared" ca="1" si="115"/>
        <v>10</v>
      </c>
      <c r="H48" s="4" t="str">
        <f t="shared" ca="1" si="62"/>
        <v>SI</v>
      </c>
      <c r="I48" s="140">
        <f t="shared" ca="1" si="63"/>
        <v>10</v>
      </c>
      <c r="J48" s="4" t="b">
        <f t="shared" ca="1" si="62"/>
        <v>0</v>
      </c>
      <c r="K48" s="140">
        <f t="shared" ca="1" si="64"/>
        <v>0</v>
      </c>
      <c r="L48" s="4" t="b">
        <f t="shared" ca="1" si="62"/>
        <v>1</v>
      </c>
      <c r="M48" s="140">
        <f t="shared" ca="1" si="2"/>
        <v>5</v>
      </c>
      <c r="N48" s="4" t="b">
        <f t="shared" ca="1" si="65"/>
        <v>0</v>
      </c>
      <c r="O48" s="140">
        <f t="shared" ca="1" si="3"/>
        <v>0</v>
      </c>
      <c r="P48" s="4" t="b">
        <f t="shared" ca="1" si="66"/>
        <v>0</v>
      </c>
      <c r="Q48" s="140">
        <f t="shared" ca="1" si="4"/>
        <v>0</v>
      </c>
      <c r="R48" s="4" t="str">
        <f t="shared" ca="1" si="67"/>
        <v>UserId/Password</v>
      </c>
      <c r="S48" s="140">
        <f t="shared" ca="1" si="5"/>
        <v>2</v>
      </c>
      <c r="T48" s="4" t="str">
        <f t="shared" ca="1" si="68"/>
        <v>SI</v>
      </c>
      <c r="U48" s="140">
        <f t="shared" ca="1" si="6"/>
        <v>2</v>
      </c>
      <c r="V48" s="4" t="str">
        <f t="shared" ca="1" si="69"/>
        <v>SI</v>
      </c>
      <c r="W48" s="140">
        <f t="shared" ca="1" si="7"/>
        <v>2</v>
      </c>
      <c r="X48" s="4" t="str">
        <f t="shared" ca="1" si="70"/>
        <v>SI</v>
      </c>
      <c r="Y48" s="140">
        <f t="shared" ca="1" si="8"/>
        <v>4</v>
      </c>
      <c r="Z48" s="4" t="str">
        <f t="shared" ca="1" si="71"/>
        <v>Ogni settimana</v>
      </c>
      <c r="AA48" s="140">
        <f t="shared" ca="1" si="116"/>
        <v>8</v>
      </c>
      <c r="AB48" s="4" t="str">
        <f t="shared" ca="1" si="72"/>
        <v>SI</v>
      </c>
      <c r="AC48" s="140">
        <f t="shared" ca="1" si="10"/>
        <v>10</v>
      </c>
      <c r="AD48" s="4" t="str">
        <f t="shared" ca="1" si="73"/>
        <v>Esistono postazioni mobili o supporti dati rimuovibili con sistemi di prevenzione degli accessi</v>
      </c>
      <c r="AE48" s="140">
        <f t="shared" ca="1" si="11"/>
        <v>10</v>
      </c>
      <c r="AF48" s="4" t="str">
        <f t="shared" ca="1" si="74"/>
        <v>SI</v>
      </c>
      <c r="AG48" s="140">
        <f t="shared" ca="1" si="12"/>
        <v>6</v>
      </c>
      <c r="AH48" s="4" t="str">
        <f t="shared" ca="1" si="75"/>
        <v>SI</v>
      </c>
      <c r="AI48" s="140">
        <f t="shared" ca="1" si="13"/>
        <v>4</v>
      </c>
      <c r="AJ48" s="4" t="str">
        <f t="shared" ca="1" si="76"/>
        <v>SI</v>
      </c>
      <c r="AK48" s="140">
        <f t="shared" ca="1" si="14"/>
        <v>10</v>
      </c>
      <c r="AL48" s="203" t="str">
        <f t="shared" ca="1" si="15"/>
        <v>ok</v>
      </c>
      <c r="AM48" s="4" t="str">
        <f t="shared" ca="1" si="77"/>
        <v>SI</v>
      </c>
      <c r="AN48" s="140">
        <f t="shared" ca="1" si="16"/>
        <v>10</v>
      </c>
      <c r="AO48" s="4" t="str">
        <f t="shared" ca="1" si="77"/>
        <v>SI</v>
      </c>
      <c r="AP48" s="140">
        <f t="shared" ca="1" si="17"/>
        <v>10</v>
      </c>
      <c r="AQ48" s="4" t="str">
        <f t="shared" ca="1" si="77"/>
        <v>SI</v>
      </c>
      <c r="AR48" s="140">
        <f t="shared" ca="1" si="18"/>
        <v>10</v>
      </c>
      <c r="AS48" s="4" t="b">
        <f t="shared" ca="1" si="77"/>
        <v>1</v>
      </c>
      <c r="AT48" s="140">
        <f t="shared" ca="1" si="19"/>
        <v>5</v>
      </c>
      <c r="AU48" s="4" t="b">
        <f t="shared" ca="1" si="77"/>
        <v>0</v>
      </c>
      <c r="AV48" s="140">
        <f t="shared" ca="1" si="20"/>
        <v>0</v>
      </c>
      <c r="AW48" s="4" t="b">
        <f t="shared" ca="1" si="78"/>
        <v>0</v>
      </c>
      <c r="AX48" s="140">
        <f t="shared" ca="1" si="21"/>
        <v>0</v>
      </c>
      <c r="AY48" s="4" t="str">
        <f t="shared" ca="1" si="79"/>
        <v>NO</v>
      </c>
      <c r="AZ48" s="140">
        <f t="shared" ca="1" si="22"/>
        <v>6</v>
      </c>
      <c r="BA48" s="4" t="str">
        <f t="shared" ca="1" si="80"/>
        <v>Nessuno</v>
      </c>
      <c r="BB48" s="140">
        <f t="shared" ca="1" si="23"/>
        <v>0</v>
      </c>
      <c r="BC48" s="4" t="str">
        <f t="shared" ca="1" si="81"/>
        <v>NO</v>
      </c>
      <c r="BD48" s="140">
        <f t="shared" ca="1" si="24"/>
        <v>6</v>
      </c>
      <c r="BE48" s="4" t="str">
        <f t="shared" ca="1" si="82"/>
        <v>--</v>
      </c>
      <c r="BF48" s="140">
        <f t="shared" ca="1" si="25"/>
        <v>0</v>
      </c>
      <c r="BG48" s="4" t="str">
        <f t="shared" ca="1" si="83"/>
        <v>SI</v>
      </c>
      <c r="BH48" s="140">
        <f t="shared" ca="1" si="26"/>
        <v>6</v>
      </c>
      <c r="BI48" s="4" t="str">
        <f t="shared" ca="1" si="84"/>
        <v>SI</v>
      </c>
      <c r="BJ48" s="140">
        <f t="shared" ca="1" si="27"/>
        <v>4</v>
      </c>
      <c r="BK48" s="4" t="str">
        <f t="shared" ca="1" si="85"/>
        <v>--</v>
      </c>
      <c r="BL48" s="140">
        <f t="shared" ca="1" si="28"/>
        <v>0</v>
      </c>
      <c r="BM48" s="4" t="str">
        <f t="shared" ca="1" si="86"/>
        <v>Sì, centralizzato</v>
      </c>
      <c r="BN48" s="140">
        <f t="shared" ca="1" si="29"/>
        <v>10</v>
      </c>
      <c r="BO48" s="203" t="str">
        <f t="shared" ca="1" si="87"/>
        <v>ok</v>
      </c>
      <c r="BP48" s="4" t="str">
        <f t="shared" ca="1" si="88"/>
        <v>SI</v>
      </c>
      <c r="BQ48" s="140">
        <f t="shared" ca="1" si="30"/>
        <v>10</v>
      </c>
      <c r="BR48" s="4" t="str">
        <f t="shared" ca="1" si="88"/>
        <v>Sì, solo per le applicazioni più importanti</v>
      </c>
      <c r="BS48" s="140">
        <f t="shared" ca="1" si="31"/>
        <v>6</v>
      </c>
      <c r="BT48" s="4" t="str">
        <f t="shared" ca="1" si="88"/>
        <v>Sì, solo per le applicazioni più importanti</v>
      </c>
      <c r="BU48" s="140">
        <f t="shared" ca="1" si="32"/>
        <v>6</v>
      </c>
      <c r="BV48" s="4" t="str">
        <f t="shared" ca="1" si="88"/>
        <v>SI</v>
      </c>
      <c r="BW48" s="140">
        <f t="shared" ca="1" si="33"/>
        <v>10</v>
      </c>
      <c r="BX48" s="4" t="str">
        <f t="shared" ca="1" si="88"/>
        <v>SI</v>
      </c>
      <c r="BY48" s="140">
        <f t="shared" ca="1" si="34"/>
        <v>10</v>
      </c>
      <c r="BZ48" s="4" t="str">
        <f t="shared" ca="1" si="89"/>
        <v>SI</v>
      </c>
      <c r="CA48" s="140">
        <f t="shared" ca="1" si="35"/>
        <v>10</v>
      </c>
      <c r="CB48" s="4" t="str">
        <f t="shared" ca="1" si="90"/>
        <v>--</v>
      </c>
      <c r="CC48" s="140">
        <f t="shared" ca="1" si="36"/>
        <v>0</v>
      </c>
      <c r="CD48" s="4" t="str">
        <f t="shared" ca="1" si="91"/>
        <v>SI</v>
      </c>
      <c r="CE48" s="140">
        <f t="shared" ca="1" si="37"/>
        <v>10</v>
      </c>
      <c r="CF48" s="4" t="str">
        <f t="shared" ca="1" si="92"/>
        <v>NO</v>
      </c>
      <c r="CG48" s="140">
        <f t="shared" ca="1" si="38"/>
        <v>10</v>
      </c>
      <c r="CH48" s="4" t="str">
        <f t="shared" ca="1" si="93"/>
        <v>Rilevate &lt; 10</v>
      </c>
      <c r="CI48" s="140">
        <f t="shared" ca="1" si="39"/>
        <v>2</v>
      </c>
      <c r="CJ48" s="4" t="b">
        <f t="shared" ca="1" si="94"/>
        <v>0</v>
      </c>
      <c r="CK48" s="140">
        <f t="shared" ca="1" si="40"/>
        <v>0</v>
      </c>
      <c r="CL48" s="4" t="b">
        <f t="shared" ca="1" si="95"/>
        <v>0</v>
      </c>
      <c r="CM48" s="140">
        <f t="shared" ca="1" si="41"/>
        <v>0</v>
      </c>
      <c r="CN48" s="4" t="b">
        <f t="shared" ca="1" si="96"/>
        <v>0</v>
      </c>
      <c r="CO48" s="140">
        <f t="shared" ca="1" si="42"/>
        <v>0</v>
      </c>
      <c r="CP48" s="4" t="b">
        <f t="shared" ca="1" si="97"/>
        <v>0</v>
      </c>
      <c r="CQ48" s="140">
        <f t="shared" ca="1" si="43"/>
        <v>0</v>
      </c>
      <c r="CR48" s="203" t="str">
        <f t="shared" ca="1" si="98"/>
        <v>no</v>
      </c>
      <c r="CS48" s="529" t="str">
        <f t="shared" ca="1" si="99"/>
        <v>--</v>
      </c>
      <c r="CT48" s="530">
        <f t="shared" ca="1" si="44"/>
        <v>0</v>
      </c>
      <c r="CU48" s="529" t="str">
        <f t="shared" ca="1" si="99"/>
        <v>--</v>
      </c>
      <c r="CV48" s="530">
        <f t="shared" ca="1" si="45"/>
        <v>0</v>
      </c>
      <c r="CW48" s="529" t="str">
        <f t="shared" ca="1" si="99"/>
        <v>--</v>
      </c>
      <c r="CX48" s="530">
        <f t="shared" ca="1" si="46"/>
        <v>0</v>
      </c>
      <c r="CY48" s="529" t="str">
        <f t="shared" ca="1" si="99"/>
        <v>--</v>
      </c>
      <c r="CZ48" s="530">
        <f t="shared" ca="1" si="47"/>
        <v>0</v>
      </c>
      <c r="DA48" s="529" t="str">
        <f t="shared" ca="1" si="99"/>
        <v>--</v>
      </c>
      <c r="DB48" s="530">
        <f t="shared" ca="1" si="48"/>
        <v>0</v>
      </c>
      <c r="DC48" s="529" t="str">
        <f t="shared" ca="1" si="100"/>
        <v>--</v>
      </c>
      <c r="DD48" s="530">
        <f t="shared" ca="1" si="49"/>
        <v>0</v>
      </c>
      <c r="DE48" s="529" t="str">
        <f t="shared" ca="1" si="101"/>
        <v>--</v>
      </c>
      <c r="DF48" s="530">
        <f t="shared" ca="1" si="50"/>
        <v>0</v>
      </c>
      <c r="DG48" s="529" t="str">
        <f t="shared" ca="1" si="102"/>
        <v>--</v>
      </c>
      <c r="DH48" s="530">
        <f t="shared" ca="1" si="51"/>
        <v>0</v>
      </c>
      <c r="DI48" s="529" t="str">
        <f t="shared" ca="1" si="103"/>
        <v>--</v>
      </c>
      <c r="DJ48" s="530">
        <f t="shared" ca="1" si="52"/>
        <v>0</v>
      </c>
      <c r="DK48" s="529" t="str">
        <f t="shared" ca="1" si="104"/>
        <v>--</v>
      </c>
      <c r="DL48" s="530">
        <f t="shared" ca="1" si="53"/>
        <v>0</v>
      </c>
      <c r="DM48" s="529" t="str">
        <f t="shared" ca="1" si="105"/>
        <v>--</v>
      </c>
      <c r="DN48" s="530">
        <f t="shared" ca="1" si="54"/>
        <v>0</v>
      </c>
      <c r="DO48" s="529" t="str">
        <f t="shared" ca="1" si="106"/>
        <v>--</v>
      </c>
      <c r="DP48" s="530">
        <f t="shared" ca="1" si="55"/>
        <v>0</v>
      </c>
      <c r="DQ48" s="529" t="str">
        <f t="shared" ca="1" si="107"/>
        <v>--</v>
      </c>
      <c r="DR48" s="530">
        <f t="shared" ca="1" si="56"/>
        <v>0</v>
      </c>
      <c r="DS48" s="531" t="str">
        <f t="shared" ca="1" si="108"/>
        <v>--</v>
      </c>
      <c r="DT48" s="530">
        <f t="shared" ca="1" si="57"/>
        <v>0</v>
      </c>
      <c r="DU48" s="529" t="str">
        <f t="shared" ca="1" si="109"/>
        <v>--</v>
      </c>
      <c r="DV48" s="530">
        <f t="shared" ca="1" si="114"/>
        <v>0</v>
      </c>
      <c r="DW48" s="529" t="str">
        <f t="shared" ca="1" si="110"/>
        <v>--</v>
      </c>
      <c r="DX48" s="530">
        <f t="shared" ca="1" si="58"/>
        <v>0</v>
      </c>
      <c r="DY48" s="529" t="str">
        <f t="shared" ca="1" si="111"/>
        <v>--</v>
      </c>
      <c r="DZ48" s="530">
        <f t="shared" ca="1" si="59"/>
        <v>0</v>
      </c>
      <c r="EA48" s="531" t="str">
        <f t="shared" ca="1" si="112"/>
        <v>--</v>
      </c>
      <c r="EB48" s="530">
        <f t="shared" ca="1" si="60"/>
        <v>0</v>
      </c>
      <c r="EC48" s="529">
        <f t="shared" ca="1" si="61"/>
        <v>232</v>
      </c>
    </row>
    <row r="49" spans="1:133">
      <c r="A49" s="363" t="str">
        <f t="shared" ca="1" si="0"/>
        <v xml:space="preserve">Ministero della salute                        </v>
      </c>
      <c r="B49" s="50">
        <f ca="1">VLOOKUP( TRIM(A49), Classificazione!$A$5:$B$71, 2, FALSE)</f>
        <v>20</v>
      </c>
      <c r="C49" s="364">
        <f ca="1">VLOOKUP(TRIM(A49), Classificazione!$A$5:$L$71, 12, FALSE)</f>
        <v>2287</v>
      </c>
      <c r="D49" s="4" t="str">
        <f t="shared" ca="1" si="62"/>
        <v>Completamente centralizzato</v>
      </c>
      <c r="E49" s="140">
        <f t="shared" ca="1" si="113"/>
        <v>6</v>
      </c>
      <c r="F49" s="4" t="str">
        <f t="shared" ca="1" si="62"/>
        <v>SI</v>
      </c>
      <c r="G49" s="140">
        <f t="shared" ca="1" si="115"/>
        <v>10</v>
      </c>
      <c r="H49" s="4" t="str">
        <f t="shared" ca="1" si="62"/>
        <v>SI</v>
      </c>
      <c r="I49" s="140">
        <f t="shared" ca="1" si="63"/>
        <v>10</v>
      </c>
      <c r="J49" s="4" t="b">
        <f t="shared" ca="1" si="62"/>
        <v>1</v>
      </c>
      <c r="K49" s="140">
        <f t="shared" ca="1" si="64"/>
        <v>5</v>
      </c>
      <c r="L49" s="4" t="b">
        <f t="shared" ca="1" si="62"/>
        <v>1</v>
      </c>
      <c r="M49" s="140">
        <f t="shared" ca="1" si="2"/>
        <v>5</v>
      </c>
      <c r="N49" s="4" t="b">
        <f t="shared" ca="1" si="65"/>
        <v>0</v>
      </c>
      <c r="O49" s="140">
        <f t="shared" ca="1" si="3"/>
        <v>0</v>
      </c>
      <c r="P49" s="4" t="b">
        <f t="shared" ca="1" si="66"/>
        <v>0</v>
      </c>
      <c r="Q49" s="140">
        <f t="shared" ca="1" si="4"/>
        <v>0</v>
      </c>
      <c r="R49" s="4" t="str">
        <f t="shared" ca="1" si="67"/>
        <v>UserId/Password</v>
      </c>
      <c r="S49" s="140">
        <f t="shared" ca="1" si="5"/>
        <v>2</v>
      </c>
      <c r="T49" s="4" t="str">
        <f t="shared" ca="1" si="68"/>
        <v>SI</v>
      </c>
      <c r="U49" s="140">
        <f t="shared" ca="1" si="6"/>
        <v>2</v>
      </c>
      <c r="V49" s="4" t="str">
        <f t="shared" ca="1" si="69"/>
        <v>SI</v>
      </c>
      <c r="W49" s="140">
        <f t="shared" ca="1" si="7"/>
        <v>2</v>
      </c>
      <c r="X49" s="4" t="str">
        <f t="shared" ca="1" si="70"/>
        <v>SI</v>
      </c>
      <c r="Y49" s="140">
        <f t="shared" ca="1" si="8"/>
        <v>4</v>
      </c>
      <c r="Z49" s="4" t="str">
        <f t="shared" ca="1" si="71"/>
        <v>Automaticamente</v>
      </c>
      <c r="AA49" s="140">
        <f t="shared" ca="1" si="116"/>
        <v>10</v>
      </c>
      <c r="AB49" s="4" t="str">
        <f t="shared" ca="1" si="72"/>
        <v>SI</v>
      </c>
      <c r="AC49" s="140">
        <f t="shared" ca="1" si="10"/>
        <v>10</v>
      </c>
      <c r="AD49" s="4" t="str">
        <f t="shared" ca="1" si="73"/>
        <v>Esistono postazioni mobili o supporti dati rimuovibili con sistemi di prevenzione degli accessi</v>
      </c>
      <c r="AE49" s="140">
        <f t="shared" ca="1" si="11"/>
        <v>10</v>
      </c>
      <c r="AF49" s="4" t="str">
        <f t="shared" ca="1" si="74"/>
        <v>SI</v>
      </c>
      <c r="AG49" s="140">
        <f t="shared" ca="1" si="12"/>
        <v>6</v>
      </c>
      <c r="AH49" s="4" t="str">
        <f t="shared" ca="1" si="75"/>
        <v>SI</v>
      </c>
      <c r="AI49" s="140">
        <f t="shared" ca="1" si="13"/>
        <v>4</v>
      </c>
      <c r="AJ49" s="4" t="str">
        <f t="shared" ca="1" si="76"/>
        <v>SI</v>
      </c>
      <c r="AK49" s="140">
        <f t="shared" ca="1" si="14"/>
        <v>10</v>
      </c>
      <c r="AL49" s="203" t="str">
        <f t="shared" ca="1" si="15"/>
        <v>ok</v>
      </c>
      <c r="AM49" s="4" t="str">
        <f t="shared" ca="1" si="77"/>
        <v>SI</v>
      </c>
      <c r="AN49" s="140">
        <f t="shared" ca="1" si="16"/>
        <v>10</v>
      </c>
      <c r="AO49" s="4" t="str">
        <f t="shared" ca="1" si="77"/>
        <v>SI</v>
      </c>
      <c r="AP49" s="140">
        <f t="shared" ca="1" si="17"/>
        <v>10</v>
      </c>
      <c r="AQ49" s="4" t="str">
        <f t="shared" ca="1" si="77"/>
        <v>SI</v>
      </c>
      <c r="AR49" s="140">
        <f t="shared" ca="1" si="18"/>
        <v>10</v>
      </c>
      <c r="AS49" s="4" t="b">
        <f t="shared" ca="1" si="77"/>
        <v>1</v>
      </c>
      <c r="AT49" s="140">
        <f t="shared" ca="1" si="19"/>
        <v>5</v>
      </c>
      <c r="AU49" s="4" t="b">
        <f t="shared" ca="1" si="77"/>
        <v>1</v>
      </c>
      <c r="AV49" s="140">
        <f t="shared" ca="1" si="20"/>
        <v>5</v>
      </c>
      <c r="AW49" s="4" t="b">
        <f t="shared" ca="1" si="78"/>
        <v>0</v>
      </c>
      <c r="AX49" s="140">
        <f t="shared" ca="1" si="21"/>
        <v>0</v>
      </c>
      <c r="AY49" s="4" t="str">
        <f t="shared" ca="1" si="79"/>
        <v>--</v>
      </c>
      <c r="AZ49" s="140">
        <f t="shared" ca="1" si="22"/>
        <v>0</v>
      </c>
      <c r="BA49" s="4" t="str">
        <f t="shared" ca="1" si="80"/>
        <v>Nessuno</v>
      </c>
      <c r="BB49" s="140">
        <f t="shared" ca="1" si="23"/>
        <v>0</v>
      </c>
      <c r="BC49" s="4" t="str">
        <f t="shared" ca="1" si="81"/>
        <v>SI</v>
      </c>
      <c r="BD49" s="140">
        <f t="shared" ca="1" si="24"/>
        <v>0</v>
      </c>
      <c r="BE49" s="4" t="str">
        <f t="shared" ca="1" si="82"/>
        <v>Accesso remoto mediante  VPN</v>
      </c>
      <c r="BF49" s="140">
        <f t="shared" ca="1" si="25"/>
        <v>10</v>
      </c>
      <c r="BG49" s="4" t="str">
        <f t="shared" ca="1" si="83"/>
        <v>SI</v>
      </c>
      <c r="BH49" s="140">
        <f t="shared" ca="1" si="26"/>
        <v>6</v>
      </c>
      <c r="BI49" s="4" t="str">
        <f t="shared" ca="1" si="84"/>
        <v>SI</v>
      </c>
      <c r="BJ49" s="140">
        <f t="shared" ca="1" si="27"/>
        <v>4</v>
      </c>
      <c r="BK49" s="4" t="str">
        <f t="shared" ca="1" si="85"/>
        <v>SI</v>
      </c>
      <c r="BL49" s="140">
        <f t="shared" ca="1" si="28"/>
        <v>10</v>
      </c>
      <c r="BM49" s="4" t="str">
        <f t="shared" ca="1" si="86"/>
        <v>Sì, centralizzato</v>
      </c>
      <c r="BN49" s="140">
        <f t="shared" ca="1" si="29"/>
        <v>10</v>
      </c>
      <c r="BO49" s="203" t="str">
        <f t="shared" ca="1" si="87"/>
        <v>ok</v>
      </c>
      <c r="BP49" s="4" t="str">
        <f t="shared" ca="1" si="88"/>
        <v>NO</v>
      </c>
      <c r="BQ49" s="140">
        <f t="shared" ca="1" si="30"/>
        <v>0</v>
      </c>
      <c r="BR49" s="4" t="str">
        <f t="shared" ca="1" si="88"/>
        <v>Sì, senza specificazione della copertura</v>
      </c>
      <c r="BS49" s="140">
        <f t="shared" ca="1" si="31"/>
        <v>10</v>
      </c>
      <c r="BT49" s="4" t="str">
        <f t="shared" ca="1" si="88"/>
        <v>Sì, senza specificazione della copertura</v>
      </c>
      <c r="BU49" s="140">
        <f t="shared" ca="1" si="32"/>
        <v>10</v>
      </c>
      <c r="BV49" s="4" t="str">
        <f t="shared" ca="1" si="88"/>
        <v>SI</v>
      </c>
      <c r="BW49" s="140">
        <f t="shared" ca="1" si="33"/>
        <v>10</v>
      </c>
      <c r="BX49" s="4" t="str">
        <f t="shared" ca="1" si="88"/>
        <v>SI</v>
      </c>
      <c r="BY49" s="140">
        <f t="shared" ca="1" si="34"/>
        <v>10</v>
      </c>
      <c r="BZ49" s="4" t="str">
        <f t="shared" ca="1" si="89"/>
        <v>SI</v>
      </c>
      <c r="CA49" s="140">
        <f t="shared" ca="1" si="35"/>
        <v>10</v>
      </c>
      <c r="CB49" s="4" t="str">
        <f t="shared" ca="1" si="90"/>
        <v>SI</v>
      </c>
      <c r="CC49" s="140">
        <f t="shared" ca="1" si="36"/>
        <v>10</v>
      </c>
      <c r="CD49" s="4" t="str">
        <f t="shared" ca="1" si="91"/>
        <v>SI</v>
      </c>
      <c r="CE49" s="140">
        <f t="shared" ca="1" si="37"/>
        <v>10</v>
      </c>
      <c r="CF49" s="4" t="str">
        <f t="shared" ca="1" si="92"/>
        <v>NO</v>
      </c>
      <c r="CG49" s="140">
        <f t="shared" ca="1" si="38"/>
        <v>10</v>
      </c>
      <c r="CH49" s="4" t="str">
        <f t="shared" ca="1" si="93"/>
        <v>Rilevate &lt; 10</v>
      </c>
      <c r="CI49" s="140">
        <f t="shared" ca="1" si="39"/>
        <v>2</v>
      </c>
      <c r="CJ49" s="4" t="b">
        <f t="shared" ca="1" si="94"/>
        <v>0</v>
      </c>
      <c r="CK49" s="140">
        <f t="shared" ca="1" si="40"/>
        <v>0</v>
      </c>
      <c r="CL49" s="4" t="b">
        <f t="shared" ca="1" si="95"/>
        <v>0</v>
      </c>
      <c r="CM49" s="140">
        <f t="shared" ca="1" si="41"/>
        <v>0</v>
      </c>
      <c r="CN49" s="4" t="b">
        <f t="shared" ca="1" si="96"/>
        <v>0</v>
      </c>
      <c r="CO49" s="140">
        <f t="shared" ca="1" si="42"/>
        <v>0</v>
      </c>
      <c r="CP49" s="4" t="b">
        <f t="shared" ca="1" si="97"/>
        <v>0</v>
      </c>
      <c r="CQ49" s="140">
        <f t="shared" ca="1" si="43"/>
        <v>0</v>
      </c>
      <c r="CR49" s="203" t="str">
        <f t="shared" ca="1" si="98"/>
        <v>ok</v>
      </c>
      <c r="CS49" s="4" t="str">
        <f t="shared" ca="1" si="99"/>
        <v>SI</v>
      </c>
      <c r="CT49" s="140">
        <f t="shared" ca="1" si="44"/>
        <v>10</v>
      </c>
      <c r="CU49" s="4" t="str">
        <f t="shared" ca="1" si="99"/>
        <v>SI</v>
      </c>
      <c r="CV49" s="140">
        <f t="shared" ca="1" si="45"/>
        <v>10</v>
      </c>
      <c r="CW49" s="4" t="str">
        <f t="shared" ca="1" si="99"/>
        <v>Sì, tutti</v>
      </c>
      <c r="CX49" s="140">
        <f t="shared" ca="1" si="46"/>
        <v>10</v>
      </c>
      <c r="CY49" s="4" t="str">
        <f t="shared" ca="1" si="99"/>
        <v>--</v>
      </c>
      <c r="CZ49" s="140">
        <f t="shared" ca="1" si="47"/>
        <v>0</v>
      </c>
      <c r="DA49" s="4" t="str">
        <f t="shared" ca="1" si="99"/>
        <v>--</v>
      </c>
      <c r="DB49" s="140">
        <f t="shared" ca="1" si="48"/>
        <v>0</v>
      </c>
      <c r="DC49" s="4" t="str">
        <f t="shared" ca="1" si="100"/>
        <v>SI</v>
      </c>
      <c r="DD49" s="140">
        <f t="shared" ca="1" si="49"/>
        <v>10</v>
      </c>
      <c r="DE49" s="4" t="str">
        <f t="shared" ca="1" si="101"/>
        <v>SI</v>
      </c>
      <c r="DF49" s="140">
        <f t="shared" ca="1" si="50"/>
        <v>10</v>
      </c>
      <c r="DG49" s="4" t="str">
        <f t="shared" ca="1" si="102"/>
        <v>SI</v>
      </c>
      <c r="DH49" s="140">
        <f t="shared" ca="1" si="51"/>
        <v>6</v>
      </c>
      <c r="DI49" s="4" t="str">
        <f t="shared" ca="1" si="103"/>
        <v>Sì</v>
      </c>
      <c r="DJ49" s="140">
        <f t="shared" ca="1" si="52"/>
        <v>4</v>
      </c>
      <c r="DK49" s="4" t="str">
        <f t="shared" ca="1" si="104"/>
        <v>Solo personale interno</v>
      </c>
      <c r="DL49" s="140">
        <f t="shared" ca="1" si="53"/>
        <v>10</v>
      </c>
      <c r="DM49" s="4" t="str">
        <f t="shared" ca="1" si="105"/>
        <v>Previsto audit</v>
      </c>
      <c r="DN49" s="140">
        <f t="shared" ca="1" si="54"/>
        <v>5</v>
      </c>
      <c r="DO49" s="4" t="str">
        <f t="shared" ca="1" si="106"/>
        <v>NO</v>
      </c>
      <c r="DP49" s="140">
        <f t="shared" ca="1" si="55"/>
        <v>0</v>
      </c>
      <c r="DQ49" s="4" t="str">
        <f t="shared" ca="1" si="107"/>
        <v>--</v>
      </c>
      <c r="DR49" s="140">
        <f t="shared" ca="1" si="56"/>
        <v>0</v>
      </c>
      <c r="DS49" s="80" t="str">
        <f t="shared" ca="1" si="108"/>
        <v>--</v>
      </c>
      <c r="DT49" s="140">
        <f t="shared" ca="1" si="57"/>
        <v>0</v>
      </c>
      <c r="DU49" s="4" t="str">
        <f t="shared" ca="1" si="109"/>
        <v>Sì, con copertura analisi rischi parziale</v>
      </c>
      <c r="DV49" s="140">
        <f t="shared" ca="1" si="114"/>
        <v>8</v>
      </c>
      <c r="DW49" s="4" t="str">
        <f t="shared" ca="1" si="110"/>
        <v>SI</v>
      </c>
      <c r="DX49" s="140">
        <f t="shared" ca="1" si="58"/>
        <v>10</v>
      </c>
      <c r="DY49" s="4" t="str">
        <f t="shared" ca="1" si="111"/>
        <v>SI</v>
      </c>
      <c r="DZ49" s="140">
        <f t="shared" ca="1" si="59"/>
        <v>4</v>
      </c>
      <c r="EA49" s="80" t="str">
        <f t="shared" ca="1" si="112"/>
        <v>Inferiore al 10 %</v>
      </c>
      <c r="EB49" s="140">
        <f t="shared" ca="1" si="60"/>
        <v>2</v>
      </c>
      <c r="EC49" s="4">
        <f t="shared" ca="1" si="61"/>
        <v>357</v>
      </c>
    </row>
    <row r="50" spans="1:133">
      <c r="A50" s="363" t="str">
        <f t="shared" ca="1" si="0"/>
        <v xml:space="preserve">Automobile club d'Italia                                                                            </v>
      </c>
      <c r="B50" s="50">
        <f ca="1">VLOOKUP( TRIM(A50), Classificazione!$A$5:$B$71, 2, FALSE)</f>
        <v>37</v>
      </c>
      <c r="C50" s="364">
        <f ca="1">VLOOKUP(TRIM(A50), Classificazione!$A$5:$L$71, 12, FALSE)</f>
        <v>3190</v>
      </c>
      <c r="D50" s="4" t="str">
        <f t="shared" ca="1" si="62"/>
        <v>Completamente centralizzato</v>
      </c>
      <c r="E50" s="140">
        <f t="shared" ca="1" si="113"/>
        <v>6</v>
      </c>
      <c r="F50" s="4" t="str">
        <f t="shared" ca="1" si="62"/>
        <v>SI</v>
      </c>
      <c r="G50" s="140">
        <f t="shared" ca="1" si="115"/>
        <v>10</v>
      </c>
      <c r="H50" s="4" t="str">
        <f t="shared" ca="1" si="62"/>
        <v>NO</v>
      </c>
      <c r="I50" s="140">
        <f t="shared" ca="1" si="63"/>
        <v>0</v>
      </c>
      <c r="J50" s="4" t="b">
        <f t="shared" ca="1" si="62"/>
        <v>0</v>
      </c>
      <c r="K50" s="140">
        <f t="shared" ca="1" si="64"/>
        <v>0</v>
      </c>
      <c r="L50" s="4" t="b">
        <f t="shared" ca="1" si="62"/>
        <v>0</v>
      </c>
      <c r="M50" s="140">
        <f t="shared" ca="1" si="2"/>
        <v>0</v>
      </c>
      <c r="N50" s="4" t="b">
        <f t="shared" ca="1" si="65"/>
        <v>0</v>
      </c>
      <c r="O50" s="140">
        <f t="shared" ca="1" si="3"/>
        <v>0</v>
      </c>
      <c r="P50" s="4" t="b">
        <f t="shared" ca="1" si="66"/>
        <v>0</v>
      </c>
      <c r="Q50" s="140">
        <f t="shared" ca="1" si="4"/>
        <v>0</v>
      </c>
      <c r="R50" s="4" t="str">
        <f t="shared" ca="1" si="67"/>
        <v>UserId/Password</v>
      </c>
      <c r="S50" s="140">
        <f t="shared" ca="1" si="5"/>
        <v>2</v>
      </c>
      <c r="T50" s="4" t="str">
        <f t="shared" ca="1" si="68"/>
        <v>SI</v>
      </c>
      <c r="U50" s="140">
        <f t="shared" ca="1" si="6"/>
        <v>2</v>
      </c>
      <c r="V50" s="4" t="str">
        <f t="shared" ca="1" si="69"/>
        <v>SI</v>
      </c>
      <c r="W50" s="140">
        <f t="shared" ca="1" si="7"/>
        <v>2</v>
      </c>
      <c r="X50" s="4" t="str">
        <f t="shared" ca="1" si="70"/>
        <v>SI</v>
      </c>
      <c r="Y50" s="140">
        <f t="shared" ca="1" si="8"/>
        <v>4</v>
      </c>
      <c r="Z50" s="4" t="str">
        <f t="shared" ca="1" si="71"/>
        <v>Ogni mese</v>
      </c>
      <c r="AA50" s="140">
        <f t="shared" ca="1" si="116"/>
        <v>6</v>
      </c>
      <c r="AB50" s="4" t="str">
        <f t="shared" ca="1" si="72"/>
        <v>NO</v>
      </c>
      <c r="AC50" s="140">
        <f t="shared" ca="1" si="10"/>
        <v>0</v>
      </c>
      <c r="AD50" s="4" t="str">
        <f t="shared" ca="1" si="73"/>
        <v>Esistono postazioni mobili o supporti dati rimuovibili con sistemi di prevenzione degli accessi</v>
      </c>
      <c r="AE50" s="140">
        <f t="shared" ca="1" si="11"/>
        <v>10</v>
      </c>
      <c r="AF50" s="4" t="str">
        <f t="shared" ca="1" si="74"/>
        <v>SI</v>
      </c>
      <c r="AG50" s="140">
        <f t="shared" ca="1" si="12"/>
        <v>6</v>
      </c>
      <c r="AH50" s="4" t="str">
        <f t="shared" ca="1" si="75"/>
        <v>SI</v>
      </c>
      <c r="AI50" s="140">
        <f t="shared" ca="1" si="13"/>
        <v>4</v>
      </c>
      <c r="AJ50" s="4" t="str">
        <f t="shared" ca="1" si="76"/>
        <v>SI</v>
      </c>
      <c r="AK50" s="140">
        <f t="shared" ca="1" si="14"/>
        <v>10</v>
      </c>
      <c r="AL50" s="203" t="str">
        <f t="shared" ca="1" si="15"/>
        <v>ok</v>
      </c>
      <c r="AM50" s="4" t="str">
        <f t="shared" ca="1" si="77"/>
        <v>SI</v>
      </c>
      <c r="AN50" s="140">
        <f t="shared" ca="1" si="16"/>
        <v>10</v>
      </c>
      <c r="AO50" s="4" t="str">
        <f t="shared" ca="1" si="77"/>
        <v>SI</v>
      </c>
      <c r="AP50" s="140">
        <f t="shared" ca="1" si="17"/>
        <v>10</v>
      </c>
      <c r="AQ50" s="4" t="str">
        <f t="shared" ca="1" si="77"/>
        <v>SI</v>
      </c>
      <c r="AR50" s="140">
        <f t="shared" ca="1" si="18"/>
        <v>10</v>
      </c>
      <c r="AS50" s="4" t="b">
        <f t="shared" ca="1" si="77"/>
        <v>1</v>
      </c>
      <c r="AT50" s="140">
        <f t="shared" ca="1" si="19"/>
        <v>5</v>
      </c>
      <c r="AU50" s="4" t="b">
        <f t="shared" ca="1" si="77"/>
        <v>1</v>
      </c>
      <c r="AV50" s="140">
        <f t="shared" ca="1" si="20"/>
        <v>5</v>
      </c>
      <c r="AW50" s="4" t="b">
        <f t="shared" ca="1" si="78"/>
        <v>0</v>
      </c>
      <c r="AX50" s="140">
        <f t="shared" ca="1" si="21"/>
        <v>0</v>
      </c>
      <c r="AY50" s="4" t="str">
        <f t="shared" ca="1" si="79"/>
        <v>NO</v>
      </c>
      <c r="AZ50" s="140">
        <f t="shared" ca="1" si="22"/>
        <v>6</v>
      </c>
      <c r="BA50" s="4" t="str">
        <f t="shared" ca="1" si="80"/>
        <v>Nessuno</v>
      </c>
      <c r="BB50" s="140">
        <f t="shared" ca="1" si="23"/>
        <v>0</v>
      </c>
      <c r="BC50" s="4" t="str">
        <f t="shared" ca="1" si="81"/>
        <v>SI</v>
      </c>
      <c r="BD50" s="140">
        <f t="shared" ca="1" si="24"/>
        <v>0</v>
      </c>
      <c r="BE50" s="4" t="str">
        <f t="shared" ca="1" si="82"/>
        <v>Accesso remoto mediante  VPN</v>
      </c>
      <c r="BF50" s="140">
        <f t="shared" ca="1" si="25"/>
        <v>10</v>
      </c>
      <c r="BG50" s="4" t="str">
        <f t="shared" ca="1" si="83"/>
        <v>SI</v>
      </c>
      <c r="BH50" s="140">
        <f t="shared" ca="1" si="26"/>
        <v>6</v>
      </c>
      <c r="BI50" s="4" t="str">
        <f t="shared" ca="1" si="84"/>
        <v>SI</v>
      </c>
      <c r="BJ50" s="140">
        <f t="shared" ca="1" si="27"/>
        <v>4</v>
      </c>
      <c r="BK50" s="4" t="str">
        <f t="shared" ca="1" si="85"/>
        <v>SI</v>
      </c>
      <c r="BL50" s="140">
        <f t="shared" ca="1" si="28"/>
        <v>10</v>
      </c>
      <c r="BM50" s="4" t="str">
        <f t="shared" ca="1" si="86"/>
        <v>Sì, non centralizzato</v>
      </c>
      <c r="BN50" s="140">
        <f t="shared" ca="1" si="29"/>
        <v>6</v>
      </c>
      <c r="BO50" s="203" t="str">
        <f t="shared" ca="1" si="87"/>
        <v>ok</v>
      </c>
      <c r="BP50" s="4" t="str">
        <f t="shared" ca="1" si="88"/>
        <v>SI</v>
      </c>
      <c r="BQ50" s="140">
        <f t="shared" ca="1" si="30"/>
        <v>10</v>
      </c>
      <c r="BR50" s="4" t="str">
        <f t="shared" ca="1" si="88"/>
        <v>No</v>
      </c>
      <c r="BS50" s="140">
        <f t="shared" ca="1" si="31"/>
        <v>0</v>
      </c>
      <c r="BT50" s="4" t="str">
        <f t="shared" ca="1" si="88"/>
        <v>Sì, solo per le applicazioni più importanti</v>
      </c>
      <c r="BU50" s="140">
        <f t="shared" ca="1" si="32"/>
        <v>6</v>
      </c>
      <c r="BV50" s="4" t="str">
        <f t="shared" ca="1" si="88"/>
        <v>SI</v>
      </c>
      <c r="BW50" s="140">
        <f t="shared" ca="1" si="33"/>
        <v>10</v>
      </c>
      <c r="BX50" s="4" t="str">
        <f t="shared" ca="1" si="88"/>
        <v>SI</v>
      </c>
      <c r="BY50" s="140">
        <f t="shared" ca="1" si="34"/>
        <v>10</v>
      </c>
      <c r="BZ50" s="4" t="str">
        <f t="shared" ca="1" si="89"/>
        <v>SI</v>
      </c>
      <c r="CA50" s="140">
        <f t="shared" ca="1" si="35"/>
        <v>10</v>
      </c>
      <c r="CB50" s="4" t="str">
        <f t="shared" ca="1" si="90"/>
        <v>SI</v>
      </c>
      <c r="CC50" s="140">
        <f t="shared" ca="1" si="36"/>
        <v>10</v>
      </c>
      <c r="CD50" s="4" t="str">
        <f t="shared" ca="1" si="91"/>
        <v>SI</v>
      </c>
      <c r="CE50" s="140">
        <f t="shared" ca="1" si="37"/>
        <v>10</v>
      </c>
      <c r="CF50" s="4" t="str">
        <f t="shared" ca="1" si="92"/>
        <v>NO</v>
      </c>
      <c r="CG50" s="140">
        <f t="shared" ca="1" si="38"/>
        <v>10</v>
      </c>
      <c r="CH50" s="4" t="str">
        <f t="shared" ca="1" si="93"/>
        <v>Rilevate &lt; 10</v>
      </c>
      <c r="CI50" s="140">
        <f t="shared" ca="1" si="39"/>
        <v>2</v>
      </c>
      <c r="CJ50" s="4" t="b">
        <f t="shared" ca="1" si="94"/>
        <v>0</v>
      </c>
      <c r="CK50" s="140">
        <f t="shared" ca="1" si="40"/>
        <v>0</v>
      </c>
      <c r="CL50" s="4" t="b">
        <f t="shared" ca="1" si="95"/>
        <v>0</v>
      </c>
      <c r="CM50" s="140">
        <f t="shared" ca="1" si="41"/>
        <v>0</v>
      </c>
      <c r="CN50" s="4" t="b">
        <f t="shared" ca="1" si="96"/>
        <v>0</v>
      </c>
      <c r="CO50" s="140">
        <f t="shared" ca="1" si="42"/>
        <v>0</v>
      </c>
      <c r="CP50" s="4" t="b">
        <f t="shared" ca="1" si="97"/>
        <v>0</v>
      </c>
      <c r="CQ50" s="140">
        <f t="shared" ca="1" si="43"/>
        <v>0</v>
      </c>
      <c r="CR50" s="203" t="str">
        <f t="shared" ca="1" si="98"/>
        <v>ok</v>
      </c>
      <c r="CS50" s="4" t="str">
        <f t="shared" ca="1" si="99"/>
        <v>SI</v>
      </c>
      <c r="CT50" s="140">
        <f t="shared" ca="1" si="44"/>
        <v>10</v>
      </c>
      <c r="CU50" s="4" t="str">
        <f t="shared" ca="1" si="99"/>
        <v>SI</v>
      </c>
      <c r="CV50" s="140">
        <f t="shared" ca="1" si="45"/>
        <v>10</v>
      </c>
      <c r="CW50" s="4" t="str">
        <f t="shared" ca="1" si="99"/>
        <v>Sì, tutti</v>
      </c>
      <c r="CX50" s="140">
        <f t="shared" ca="1" si="46"/>
        <v>10</v>
      </c>
      <c r="CY50" s="4" t="str">
        <f t="shared" ca="1" si="99"/>
        <v>SI</v>
      </c>
      <c r="CZ50" s="140">
        <f t="shared" ca="1" si="47"/>
        <v>10</v>
      </c>
      <c r="DA50" s="4" t="str">
        <f t="shared" ca="1" si="99"/>
        <v>SI</v>
      </c>
      <c r="DB50" s="140">
        <f t="shared" ca="1" si="48"/>
        <v>10</v>
      </c>
      <c r="DC50" s="4" t="str">
        <f t="shared" ca="1" si="100"/>
        <v>SI</v>
      </c>
      <c r="DD50" s="140">
        <f t="shared" ca="1" si="49"/>
        <v>10</v>
      </c>
      <c r="DE50" s="4" t="str">
        <f t="shared" ca="1" si="101"/>
        <v>SI</v>
      </c>
      <c r="DF50" s="140">
        <f t="shared" ca="1" si="50"/>
        <v>10</v>
      </c>
      <c r="DG50" s="4" t="str">
        <f t="shared" ca="1" si="102"/>
        <v>SI</v>
      </c>
      <c r="DH50" s="140">
        <f t="shared" ca="1" si="51"/>
        <v>6</v>
      </c>
      <c r="DI50" s="4" t="str">
        <f t="shared" ca="1" si="103"/>
        <v>Sì</v>
      </c>
      <c r="DJ50" s="140">
        <f t="shared" ca="1" si="52"/>
        <v>4</v>
      </c>
      <c r="DK50" s="4" t="str">
        <f t="shared" ca="1" si="104"/>
        <v>Solo personale interno</v>
      </c>
      <c r="DL50" s="140">
        <f t="shared" ca="1" si="53"/>
        <v>10</v>
      </c>
      <c r="DM50" s="4" t="str">
        <f t="shared" ca="1" si="105"/>
        <v>Non previsto audit</v>
      </c>
      <c r="DN50" s="140">
        <f t="shared" ca="1" si="54"/>
        <v>0</v>
      </c>
      <c r="DO50" s="4" t="str">
        <f t="shared" ca="1" si="106"/>
        <v>--</v>
      </c>
      <c r="DP50" s="140">
        <f t="shared" ca="1" si="55"/>
        <v>0</v>
      </c>
      <c r="DQ50" s="4" t="str">
        <f t="shared" ca="1" si="107"/>
        <v>SI</v>
      </c>
      <c r="DR50" s="140">
        <f t="shared" ca="1" si="56"/>
        <v>4</v>
      </c>
      <c r="DS50" s="80" t="str">
        <f t="shared" ca="1" si="108"/>
        <v>Inferiore al 5 %</v>
      </c>
      <c r="DT50" s="140">
        <f t="shared" ca="1" si="57"/>
        <v>2</v>
      </c>
      <c r="DU50" s="4" t="str">
        <f t="shared" ca="1" si="109"/>
        <v>Sì, con copertura analisi rischi totale</v>
      </c>
      <c r="DV50" s="140">
        <f t="shared" ca="1" si="114"/>
        <v>10</v>
      </c>
      <c r="DW50" s="4" t="str">
        <f t="shared" ca="1" si="110"/>
        <v>SI</v>
      </c>
      <c r="DX50" s="140">
        <f t="shared" ca="1" si="58"/>
        <v>10</v>
      </c>
      <c r="DY50" s="4" t="str">
        <f t="shared" ca="1" si="111"/>
        <v>SI</v>
      </c>
      <c r="DZ50" s="140">
        <f t="shared" ca="1" si="59"/>
        <v>4</v>
      </c>
      <c r="EA50" s="80" t="str">
        <f t="shared" ca="1" si="112"/>
        <v>Maggiore del 50%</v>
      </c>
      <c r="EB50" s="140">
        <f t="shared" ca="1" si="60"/>
        <v>8</v>
      </c>
      <c r="EC50" s="4">
        <f t="shared" ca="1" si="61"/>
        <v>350</v>
      </c>
    </row>
    <row r="51" spans="1:133">
      <c r="A51" s="363" t="str">
        <f t="shared" ca="1" si="0"/>
        <v xml:space="preserve">Agenzia per le erogazioni in agricoltura                                                            </v>
      </c>
      <c r="B51" s="50">
        <f ca="1">VLOOKUP( TRIM(A51), Classificazione!$A$5:$B$71, 2, FALSE)</f>
        <v>113</v>
      </c>
      <c r="C51" s="364">
        <f ca="1">VLOOKUP(TRIM(A51), Classificazione!$A$5:$L$71, 12, FALSE)</f>
        <v>283</v>
      </c>
      <c r="D51" s="4" t="str">
        <f t="shared" ca="1" si="62"/>
        <v>Completamente centralizzato</v>
      </c>
      <c r="E51" s="140">
        <f t="shared" ca="1" si="113"/>
        <v>6</v>
      </c>
      <c r="F51" s="4" t="str">
        <f t="shared" ca="1" si="62"/>
        <v>SI</v>
      </c>
      <c r="G51" s="140">
        <f t="shared" ca="1" si="115"/>
        <v>10</v>
      </c>
      <c r="H51" s="4" t="str">
        <f t="shared" ca="1" si="62"/>
        <v>--</v>
      </c>
      <c r="I51" s="140">
        <f t="shared" ca="1" si="63"/>
        <v>0</v>
      </c>
      <c r="J51" s="4" t="b">
        <f t="shared" ca="1" si="62"/>
        <v>0</v>
      </c>
      <c r="K51" s="140">
        <f t="shared" ca="1" si="64"/>
        <v>0</v>
      </c>
      <c r="L51" s="4" t="b">
        <f t="shared" ca="1" si="62"/>
        <v>0</v>
      </c>
      <c r="M51" s="140">
        <f t="shared" ca="1" si="2"/>
        <v>0</v>
      </c>
      <c r="N51" s="4" t="b">
        <f t="shared" ca="1" si="65"/>
        <v>0</v>
      </c>
      <c r="O51" s="140">
        <f t="shared" ca="1" si="3"/>
        <v>0</v>
      </c>
      <c r="P51" s="4" t="b">
        <f t="shared" ca="1" si="66"/>
        <v>0</v>
      </c>
      <c r="Q51" s="140">
        <f t="shared" ca="1" si="4"/>
        <v>0</v>
      </c>
      <c r="R51" s="4" t="str">
        <f t="shared" ca="1" si="67"/>
        <v>UserId/Password</v>
      </c>
      <c r="S51" s="140">
        <f t="shared" ca="1" si="5"/>
        <v>2</v>
      </c>
      <c r="T51" s="4" t="str">
        <f t="shared" ca="1" si="68"/>
        <v>SI</v>
      </c>
      <c r="U51" s="140">
        <f t="shared" ca="1" si="6"/>
        <v>2</v>
      </c>
      <c r="V51" s="4" t="str">
        <f t="shared" ca="1" si="69"/>
        <v>SI</v>
      </c>
      <c r="W51" s="140">
        <f t="shared" ca="1" si="7"/>
        <v>2</v>
      </c>
      <c r="X51" s="4" t="str">
        <f t="shared" ca="1" si="70"/>
        <v>SI</v>
      </c>
      <c r="Y51" s="140">
        <f t="shared" ca="1" si="8"/>
        <v>4</v>
      </c>
      <c r="Z51" s="4" t="str">
        <f t="shared" ca="1" si="71"/>
        <v>Automaticamente</v>
      </c>
      <c r="AA51" s="140">
        <f t="shared" ca="1" si="116"/>
        <v>10</v>
      </c>
      <c r="AB51" s="4" t="str">
        <f t="shared" ca="1" si="72"/>
        <v>NO</v>
      </c>
      <c r="AC51" s="140">
        <f t="shared" ca="1" si="10"/>
        <v>0</v>
      </c>
      <c r="AD51" s="4" t="str">
        <f t="shared" ca="1" si="73"/>
        <v>N.R.</v>
      </c>
      <c r="AE51" s="140">
        <f t="shared" ca="1" si="11"/>
        <v>0</v>
      </c>
      <c r="AF51" s="4" t="str">
        <f t="shared" ca="1" si="74"/>
        <v>SI</v>
      </c>
      <c r="AG51" s="140">
        <f t="shared" ca="1" si="12"/>
        <v>6</v>
      </c>
      <c r="AH51" s="4" t="str">
        <f t="shared" ca="1" si="75"/>
        <v>SI</v>
      </c>
      <c r="AI51" s="140">
        <f t="shared" ca="1" si="13"/>
        <v>4</v>
      </c>
      <c r="AJ51" s="4" t="str">
        <f t="shared" ca="1" si="76"/>
        <v>SI</v>
      </c>
      <c r="AK51" s="140">
        <f t="shared" ca="1" si="14"/>
        <v>10</v>
      </c>
      <c r="AL51" s="203" t="str">
        <f t="shared" ca="1" si="15"/>
        <v>ok</v>
      </c>
      <c r="AM51" s="4" t="str">
        <f t="shared" ca="1" si="77"/>
        <v>SI</v>
      </c>
      <c r="AN51" s="140">
        <f t="shared" ca="1" si="16"/>
        <v>10</v>
      </c>
      <c r="AO51" s="4" t="str">
        <f t="shared" ca="1" si="77"/>
        <v>SI</v>
      </c>
      <c r="AP51" s="140">
        <f t="shared" ca="1" si="17"/>
        <v>10</v>
      </c>
      <c r="AQ51" s="4" t="str">
        <f t="shared" ca="1" si="77"/>
        <v>SI</v>
      </c>
      <c r="AR51" s="140">
        <f t="shared" ca="1" si="18"/>
        <v>10</v>
      </c>
      <c r="AS51" s="4" t="b">
        <f t="shared" ca="1" si="77"/>
        <v>1</v>
      </c>
      <c r="AT51" s="140">
        <f t="shared" ca="1" si="19"/>
        <v>5</v>
      </c>
      <c r="AU51" s="4" t="b">
        <f t="shared" ca="1" si="77"/>
        <v>1</v>
      </c>
      <c r="AV51" s="140">
        <f t="shared" ca="1" si="20"/>
        <v>5</v>
      </c>
      <c r="AW51" s="4" t="b">
        <f t="shared" ca="1" si="78"/>
        <v>0</v>
      </c>
      <c r="AX51" s="140">
        <f t="shared" ca="1" si="21"/>
        <v>0</v>
      </c>
      <c r="AY51" s="4" t="str">
        <f t="shared" ca="1" si="79"/>
        <v>NO</v>
      </c>
      <c r="AZ51" s="140">
        <f t="shared" ca="1" si="22"/>
        <v>6</v>
      </c>
      <c r="BA51" s="4" t="str">
        <f t="shared" ca="1" si="80"/>
        <v>Nessuno</v>
      </c>
      <c r="BB51" s="140">
        <f t="shared" ca="1" si="23"/>
        <v>0</v>
      </c>
      <c r="BC51" s="4" t="str">
        <f t="shared" ca="1" si="81"/>
        <v>SI</v>
      </c>
      <c r="BD51" s="140">
        <f t="shared" ca="1" si="24"/>
        <v>0</v>
      </c>
      <c r="BE51" s="4" t="str">
        <f t="shared" ca="1" si="82"/>
        <v>Accesso remoto mediante  VPN</v>
      </c>
      <c r="BF51" s="140">
        <f t="shared" ca="1" si="25"/>
        <v>10</v>
      </c>
      <c r="BG51" s="4" t="str">
        <f t="shared" ca="1" si="83"/>
        <v>SI</v>
      </c>
      <c r="BH51" s="140">
        <f t="shared" ca="1" si="26"/>
        <v>6</v>
      </c>
      <c r="BI51" s="4" t="str">
        <f t="shared" ca="1" si="84"/>
        <v>SI</v>
      </c>
      <c r="BJ51" s="140">
        <f t="shared" ca="1" si="27"/>
        <v>4</v>
      </c>
      <c r="BK51" s="4" t="str">
        <f t="shared" ca="1" si="85"/>
        <v>SI</v>
      </c>
      <c r="BL51" s="140">
        <f t="shared" ca="1" si="28"/>
        <v>10</v>
      </c>
      <c r="BM51" s="4" t="str">
        <f t="shared" ca="1" si="86"/>
        <v>Sì, centralizzato</v>
      </c>
      <c r="BN51" s="140">
        <f t="shared" ca="1" si="29"/>
        <v>10</v>
      </c>
      <c r="BO51" s="203" t="str">
        <f t="shared" ca="1" si="87"/>
        <v>ok</v>
      </c>
      <c r="BP51" s="4" t="str">
        <f t="shared" ca="1" si="88"/>
        <v>--</v>
      </c>
      <c r="BQ51" s="140">
        <f t="shared" ca="1" si="30"/>
        <v>0</v>
      </c>
      <c r="BR51" s="4" t="str">
        <f t="shared" ca="1" si="88"/>
        <v>Sì, senza specificazione della copertura</v>
      </c>
      <c r="BS51" s="140">
        <f t="shared" ca="1" si="31"/>
        <v>10</v>
      </c>
      <c r="BT51" s="4" t="str">
        <f t="shared" ca="1" si="88"/>
        <v>Sì, senza specificazione della copertura</v>
      </c>
      <c r="BU51" s="140">
        <f t="shared" ca="1" si="32"/>
        <v>10</v>
      </c>
      <c r="BV51" s="4" t="str">
        <f t="shared" ca="1" si="88"/>
        <v>SI</v>
      </c>
      <c r="BW51" s="140">
        <f t="shared" ca="1" si="33"/>
        <v>10</v>
      </c>
      <c r="BX51" s="4" t="str">
        <f t="shared" ca="1" si="88"/>
        <v>SI</v>
      </c>
      <c r="BY51" s="140">
        <f t="shared" ca="1" si="34"/>
        <v>10</v>
      </c>
      <c r="BZ51" s="4" t="str">
        <f t="shared" ca="1" si="89"/>
        <v>NO</v>
      </c>
      <c r="CA51" s="140">
        <f t="shared" ca="1" si="35"/>
        <v>0</v>
      </c>
      <c r="CB51" s="4" t="str">
        <f t="shared" ca="1" si="90"/>
        <v>SI</v>
      </c>
      <c r="CC51" s="140">
        <f t="shared" ca="1" si="36"/>
        <v>10</v>
      </c>
      <c r="CD51" s="4" t="str">
        <f t="shared" ca="1" si="91"/>
        <v>NO</v>
      </c>
      <c r="CE51" s="140">
        <f t="shared" ca="1" si="37"/>
        <v>0</v>
      </c>
      <c r="CF51" s="4" t="str">
        <f t="shared" ca="1" si="92"/>
        <v>NO</v>
      </c>
      <c r="CG51" s="140">
        <f t="shared" ca="1" si="38"/>
        <v>10</v>
      </c>
      <c r="CH51" s="4" t="str">
        <f t="shared" ca="1" si="93"/>
        <v>Rilevate &lt; 10</v>
      </c>
      <c r="CI51" s="140">
        <f t="shared" ca="1" si="39"/>
        <v>2</v>
      </c>
      <c r="CJ51" s="4" t="b">
        <f t="shared" ca="1" si="94"/>
        <v>0</v>
      </c>
      <c r="CK51" s="140">
        <f t="shared" ca="1" si="40"/>
        <v>0</v>
      </c>
      <c r="CL51" s="4" t="b">
        <f t="shared" ca="1" si="95"/>
        <v>0</v>
      </c>
      <c r="CM51" s="140">
        <f t="shared" ca="1" si="41"/>
        <v>0</v>
      </c>
      <c r="CN51" s="4" t="b">
        <f t="shared" ca="1" si="96"/>
        <v>0</v>
      </c>
      <c r="CO51" s="140">
        <f t="shared" ca="1" si="42"/>
        <v>0</v>
      </c>
      <c r="CP51" s="4" t="b">
        <f t="shared" ca="1" si="97"/>
        <v>0</v>
      </c>
      <c r="CQ51" s="140">
        <f t="shared" ca="1" si="43"/>
        <v>0</v>
      </c>
      <c r="CR51" s="203" t="str">
        <f t="shared" ca="1" si="98"/>
        <v>ok</v>
      </c>
      <c r="CS51" s="4" t="str">
        <f t="shared" ca="1" si="99"/>
        <v>--</v>
      </c>
      <c r="CT51" s="140">
        <f t="shared" ca="1" si="44"/>
        <v>0</v>
      </c>
      <c r="CU51" s="4" t="str">
        <f t="shared" ca="1" si="99"/>
        <v>SI</v>
      </c>
      <c r="CV51" s="140">
        <f t="shared" ca="1" si="45"/>
        <v>10</v>
      </c>
      <c r="CW51" s="4" t="str">
        <f t="shared" ca="1" si="99"/>
        <v>--</v>
      </c>
      <c r="CX51" s="140">
        <f t="shared" ca="1" si="46"/>
        <v>0</v>
      </c>
      <c r="CY51" s="4" t="str">
        <f t="shared" ca="1" si="99"/>
        <v>SI</v>
      </c>
      <c r="CZ51" s="140">
        <f t="shared" ca="1" si="47"/>
        <v>10</v>
      </c>
      <c r="DA51" s="4" t="str">
        <f t="shared" ca="1" si="99"/>
        <v>SI</v>
      </c>
      <c r="DB51" s="140">
        <f t="shared" ca="1" si="48"/>
        <v>10</v>
      </c>
      <c r="DC51" s="4" t="str">
        <f t="shared" ca="1" si="100"/>
        <v>SI</v>
      </c>
      <c r="DD51" s="140">
        <f t="shared" ca="1" si="49"/>
        <v>10</v>
      </c>
      <c r="DE51" s="4" t="str">
        <f t="shared" ca="1" si="101"/>
        <v>SI</v>
      </c>
      <c r="DF51" s="140">
        <f t="shared" ca="1" si="50"/>
        <v>10</v>
      </c>
      <c r="DG51" s="4" t="str">
        <f t="shared" ca="1" si="102"/>
        <v>SI</v>
      </c>
      <c r="DH51" s="140">
        <f t="shared" ca="1" si="51"/>
        <v>6</v>
      </c>
      <c r="DI51" s="4" t="str">
        <f t="shared" ca="1" si="103"/>
        <v>Sì</v>
      </c>
      <c r="DJ51" s="140">
        <f t="shared" ca="1" si="52"/>
        <v>4</v>
      </c>
      <c r="DK51" s="4" t="str">
        <f t="shared" ca="1" si="104"/>
        <v>Solo personale interno</v>
      </c>
      <c r="DL51" s="140">
        <f t="shared" ca="1" si="53"/>
        <v>10</v>
      </c>
      <c r="DM51" s="4" t="str">
        <f t="shared" ca="1" si="105"/>
        <v>Non previsto audit</v>
      </c>
      <c r="DN51" s="140">
        <f t="shared" ca="1" si="54"/>
        <v>0</v>
      </c>
      <c r="DO51" s="4" t="str">
        <f t="shared" ca="1" si="106"/>
        <v>--</v>
      </c>
      <c r="DP51" s="140">
        <f t="shared" ca="1" si="55"/>
        <v>0</v>
      </c>
      <c r="DQ51" s="4" t="str">
        <f t="shared" ca="1" si="107"/>
        <v>SI</v>
      </c>
      <c r="DR51" s="140">
        <f t="shared" ca="1" si="56"/>
        <v>4</v>
      </c>
      <c r="DS51" s="80" t="str">
        <f t="shared" ca="1" si="108"/>
        <v>Inferiore al 5 %</v>
      </c>
      <c r="DT51" s="140">
        <f t="shared" ca="1" si="57"/>
        <v>2</v>
      </c>
      <c r="DU51" s="4" t="str">
        <f t="shared" ca="1" si="109"/>
        <v>Sì, con copertura analisi rischi parziale</v>
      </c>
      <c r="DV51" s="140">
        <f t="shared" ca="1" si="114"/>
        <v>8</v>
      </c>
      <c r="DW51" s="4" t="str">
        <f t="shared" ca="1" si="110"/>
        <v>SI</v>
      </c>
      <c r="DX51" s="140">
        <f t="shared" ca="1" si="58"/>
        <v>10</v>
      </c>
      <c r="DY51" s="4" t="str">
        <f t="shared" ca="1" si="111"/>
        <v>--</v>
      </c>
      <c r="DZ51" s="140">
        <f t="shared" ca="1" si="59"/>
        <v>0</v>
      </c>
      <c r="EA51" s="80" t="str">
        <f t="shared" ca="1" si="112"/>
        <v>Inferiore al 10 %</v>
      </c>
      <c r="EB51" s="140">
        <f t="shared" ca="1" si="60"/>
        <v>2</v>
      </c>
      <c r="EC51" s="4">
        <f t="shared" ca="1" si="61"/>
        <v>300</v>
      </c>
    </row>
    <row r="52" spans="1:133">
      <c r="A52" s="363" t="str">
        <f t="shared" ca="1" si="0"/>
        <v xml:space="preserve">Consiglio nazionale delle ricerche                                                                  </v>
      </c>
      <c r="B52" s="50">
        <f ca="1">VLOOKUP( TRIM(A52), Classificazione!$A$5:$B$71, 2, FALSE)</f>
        <v>114</v>
      </c>
      <c r="C52" s="364">
        <f ca="1">VLOOKUP(TRIM(A52), Classificazione!$A$5:$L$71, 12, FALSE)</f>
        <v>7559</v>
      </c>
      <c r="D52" s="4" t="str">
        <f t="shared" ca="1" si="62"/>
        <v>Parzialmente centralizzato</v>
      </c>
      <c r="E52" s="140">
        <f t="shared" ca="1" si="113"/>
        <v>8</v>
      </c>
      <c r="F52" s="4" t="str">
        <f t="shared" ca="1" si="62"/>
        <v>SI</v>
      </c>
      <c r="G52" s="140">
        <f t="shared" ca="1" si="115"/>
        <v>10</v>
      </c>
      <c r="H52" s="4" t="str">
        <f t="shared" ca="1" si="62"/>
        <v>--</v>
      </c>
      <c r="I52" s="140">
        <f t="shared" ca="1" si="63"/>
        <v>0</v>
      </c>
      <c r="J52" s="4" t="b">
        <f t="shared" ca="1" si="62"/>
        <v>0</v>
      </c>
      <c r="K52" s="140">
        <f t="shared" ca="1" si="64"/>
        <v>0</v>
      </c>
      <c r="L52" s="4" t="b">
        <f t="shared" ca="1" si="62"/>
        <v>0</v>
      </c>
      <c r="M52" s="140">
        <f t="shared" ca="1" si="2"/>
        <v>0</v>
      </c>
      <c r="N52" s="4" t="b">
        <f t="shared" ca="1" si="65"/>
        <v>0</v>
      </c>
      <c r="O52" s="140">
        <f t="shared" ca="1" si="3"/>
        <v>0</v>
      </c>
      <c r="P52" s="4" t="b">
        <f t="shared" ca="1" si="66"/>
        <v>0</v>
      </c>
      <c r="Q52" s="140">
        <f t="shared" ca="1" si="4"/>
        <v>0</v>
      </c>
      <c r="R52" s="4" t="str">
        <f t="shared" ca="1" si="67"/>
        <v>UserId/Password</v>
      </c>
      <c r="S52" s="140">
        <f t="shared" ca="1" si="5"/>
        <v>2</v>
      </c>
      <c r="T52" s="4" t="str">
        <f t="shared" ca="1" si="68"/>
        <v>SI</v>
      </c>
      <c r="U52" s="140">
        <f t="shared" ca="1" si="6"/>
        <v>2</v>
      </c>
      <c r="V52" s="4" t="str">
        <f t="shared" ca="1" si="69"/>
        <v>SI</v>
      </c>
      <c r="W52" s="140">
        <f t="shared" ca="1" si="7"/>
        <v>2</v>
      </c>
      <c r="X52" s="4" t="str">
        <f t="shared" ca="1" si="70"/>
        <v>SI</v>
      </c>
      <c r="Y52" s="140">
        <f t="shared" ca="1" si="8"/>
        <v>4</v>
      </c>
      <c r="Z52" s="4" t="str">
        <f t="shared" ca="1" si="71"/>
        <v>Ogni settimana</v>
      </c>
      <c r="AA52" s="140">
        <f t="shared" ca="1" si="116"/>
        <v>8</v>
      </c>
      <c r="AB52" s="4" t="str">
        <f t="shared" ca="1" si="72"/>
        <v>NO</v>
      </c>
      <c r="AC52" s="140">
        <f t="shared" ca="1" si="10"/>
        <v>0</v>
      </c>
      <c r="AD52" s="4" t="str">
        <f t="shared" ca="1" si="73"/>
        <v>Esistono postazioni mobili o supporti dati rimuovibili senza sistemi di prevenzione degli accessi</v>
      </c>
      <c r="AE52" s="140">
        <f t="shared" ca="1" si="11"/>
        <v>0</v>
      </c>
      <c r="AF52" s="4" t="str">
        <f t="shared" ca="1" si="74"/>
        <v>SI</v>
      </c>
      <c r="AG52" s="140">
        <f t="shared" ca="1" si="12"/>
        <v>6</v>
      </c>
      <c r="AH52" s="4" t="str">
        <f t="shared" ca="1" si="75"/>
        <v>SI</v>
      </c>
      <c r="AI52" s="140">
        <f t="shared" ca="1" si="13"/>
        <v>4</v>
      </c>
      <c r="AJ52" s="4" t="str">
        <f t="shared" ca="1" si="76"/>
        <v>SI</v>
      </c>
      <c r="AK52" s="140">
        <f t="shared" ca="1" si="14"/>
        <v>10</v>
      </c>
      <c r="AL52" s="203" t="str">
        <f t="shared" ca="1" si="15"/>
        <v>ok</v>
      </c>
      <c r="AM52" s="4" t="str">
        <f t="shared" ca="1" si="77"/>
        <v>SI</v>
      </c>
      <c r="AN52" s="140">
        <f t="shared" ca="1" si="16"/>
        <v>10</v>
      </c>
      <c r="AO52" s="4" t="str">
        <f t="shared" ca="1" si="77"/>
        <v>SI</v>
      </c>
      <c r="AP52" s="140">
        <f t="shared" ca="1" si="17"/>
        <v>10</v>
      </c>
      <c r="AQ52" s="4" t="str">
        <f t="shared" ca="1" si="77"/>
        <v>SI</v>
      </c>
      <c r="AR52" s="140">
        <f t="shared" ca="1" si="18"/>
        <v>10</v>
      </c>
      <c r="AS52" s="4" t="b">
        <f t="shared" ca="1" si="77"/>
        <v>1</v>
      </c>
      <c r="AT52" s="140">
        <f t="shared" ca="1" si="19"/>
        <v>5</v>
      </c>
      <c r="AU52" s="4" t="b">
        <f t="shared" ca="1" si="77"/>
        <v>1</v>
      </c>
      <c r="AV52" s="140">
        <f t="shared" ca="1" si="20"/>
        <v>5</v>
      </c>
      <c r="AW52" s="4" t="b">
        <f t="shared" ca="1" si="78"/>
        <v>0</v>
      </c>
      <c r="AX52" s="140">
        <f t="shared" ca="1" si="21"/>
        <v>0</v>
      </c>
      <c r="AY52" s="4" t="str">
        <f t="shared" ca="1" si="79"/>
        <v>SI</v>
      </c>
      <c r="AZ52" s="140">
        <f t="shared" ca="1" si="22"/>
        <v>0</v>
      </c>
      <c r="BA52" s="4" t="str">
        <f t="shared" ca="1" si="80"/>
        <v>WPA</v>
      </c>
      <c r="BB52" s="140">
        <f t="shared" ca="1" si="23"/>
        <v>10</v>
      </c>
      <c r="BC52" s="4" t="str">
        <f t="shared" ca="1" si="81"/>
        <v>SI</v>
      </c>
      <c r="BD52" s="140">
        <f t="shared" ca="1" si="24"/>
        <v>0</v>
      </c>
      <c r="BE52" s="4" t="str">
        <f t="shared" ca="1" si="82"/>
        <v>Accesso remoto mediante  VPN</v>
      </c>
      <c r="BF52" s="140">
        <f t="shared" ca="1" si="25"/>
        <v>10</v>
      </c>
      <c r="BG52" s="4" t="str">
        <f t="shared" ca="1" si="83"/>
        <v>SI</v>
      </c>
      <c r="BH52" s="140">
        <f t="shared" ca="1" si="26"/>
        <v>6</v>
      </c>
      <c r="BI52" s="4" t="str">
        <f t="shared" ca="1" si="84"/>
        <v>SI</v>
      </c>
      <c r="BJ52" s="140">
        <f t="shared" ca="1" si="27"/>
        <v>4</v>
      </c>
      <c r="BK52" s="4" t="str">
        <f t="shared" ca="1" si="85"/>
        <v>SI</v>
      </c>
      <c r="BL52" s="140">
        <f t="shared" ca="1" si="28"/>
        <v>10</v>
      </c>
      <c r="BM52" s="4" t="str">
        <f t="shared" ca="1" si="86"/>
        <v>Sì, non centralizzato</v>
      </c>
      <c r="BN52" s="140">
        <f t="shared" ca="1" si="29"/>
        <v>6</v>
      </c>
      <c r="BO52" s="203" t="str">
        <f t="shared" ca="1" si="87"/>
        <v>ok</v>
      </c>
      <c r="BP52" s="4" t="str">
        <f t="shared" ca="1" si="88"/>
        <v>NO</v>
      </c>
      <c r="BQ52" s="140">
        <f t="shared" ca="1" si="30"/>
        <v>0</v>
      </c>
      <c r="BR52" s="4" t="str">
        <f t="shared" ca="1" si="88"/>
        <v>Sì, solo per le applicazioni più importanti</v>
      </c>
      <c r="BS52" s="140">
        <f t="shared" ca="1" si="31"/>
        <v>6</v>
      </c>
      <c r="BT52" s="4" t="str">
        <f t="shared" ca="1" si="88"/>
        <v>No</v>
      </c>
      <c r="BU52" s="140">
        <f t="shared" ca="1" si="32"/>
        <v>0</v>
      </c>
      <c r="BV52" s="4" t="str">
        <f t="shared" ca="1" si="88"/>
        <v>NO</v>
      </c>
      <c r="BW52" s="140">
        <f t="shared" ca="1" si="33"/>
        <v>0</v>
      </c>
      <c r="BX52" s="4" t="str">
        <f t="shared" ca="1" si="88"/>
        <v>SI</v>
      </c>
      <c r="BY52" s="140">
        <f t="shared" ca="1" si="34"/>
        <v>10</v>
      </c>
      <c r="BZ52" s="4" t="str">
        <f t="shared" ca="1" si="89"/>
        <v>SI</v>
      </c>
      <c r="CA52" s="140">
        <f t="shared" ca="1" si="35"/>
        <v>10</v>
      </c>
      <c r="CB52" s="4" t="str">
        <f t="shared" ca="1" si="90"/>
        <v>SI</v>
      </c>
      <c r="CC52" s="140">
        <f t="shared" ca="1" si="36"/>
        <v>10</v>
      </c>
      <c r="CD52" s="4" t="str">
        <f t="shared" ca="1" si="91"/>
        <v>SI</v>
      </c>
      <c r="CE52" s="140">
        <f t="shared" ca="1" si="37"/>
        <v>10</v>
      </c>
      <c r="CF52" s="4" t="str">
        <f t="shared" ca="1" si="92"/>
        <v>La procedura è ben documentata</v>
      </c>
      <c r="CG52" s="140">
        <f t="shared" ca="1" si="38"/>
        <v>0</v>
      </c>
      <c r="CH52" s="4" t="str">
        <f t="shared" ca="1" si="93"/>
        <v>Rilevate &lt; 10</v>
      </c>
      <c r="CI52" s="140">
        <f t="shared" ca="1" si="39"/>
        <v>2</v>
      </c>
      <c r="CJ52" s="4" t="b">
        <f t="shared" ca="1" si="94"/>
        <v>0</v>
      </c>
      <c r="CK52" s="140">
        <f t="shared" ca="1" si="40"/>
        <v>0</v>
      </c>
      <c r="CL52" s="4" t="b">
        <f t="shared" ca="1" si="95"/>
        <v>0</v>
      </c>
      <c r="CM52" s="140">
        <f t="shared" ca="1" si="41"/>
        <v>0</v>
      </c>
      <c r="CN52" s="4" t="b">
        <f t="shared" ca="1" si="96"/>
        <v>0</v>
      </c>
      <c r="CO52" s="140">
        <f t="shared" ca="1" si="42"/>
        <v>0</v>
      </c>
      <c r="CP52" s="4" t="b">
        <f t="shared" ca="1" si="97"/>
        <v>1</v>
      </c>
      <c r="CQ52" s="140">
        <f t="shared" ca="1" si="43"/>
        <v>1</v>
      </c>
      <c r="CR52" s="203" t="str">
        <f t="shared" ca="1" si="98"/>
        <v>ok</v>
      </c>
      <c r="CS52" s="4" t="str">
        <f t="shared" ca="1" si="99"/>
        <v>SI</v>
      </c>
      <c r="CT52" s="140">
        <f t="shared" ca="1" si="44"/>
        <v>10</v>
      </c>
      <c r="CU52" s="4" t="str">
        <f t="shared" ca="1" si="99"/>
        <v>SI</v>
      </c>
      <c r="CV52" s="140">
        <f t="shared" ca="1" si="45"/>
        <v>10</v>
      </c>
      <c r="CW52" s="4" t="str">
        <f t="shared" ca="1" si="99"/>
        <v>--</v>
      </c>
      <c r="CX52" s="140">
        <f t="shared" ca="1" si="46"/>
        <v>0</v>
      </c>
      <c r="CY52" s="4" t="str">
        <f t="shared" ca="1" si="99"/>
        <v>SI</v>
      </c>
      <c r="CZ52" s="140">
        <f t="shared" ca="1" si="47"/>
        <v>10</v>
      </c>
      <c r="DA52" s="4" t="str">
        <f t="shared" ca="1" si="99"/>
        <v>NO</v>
      </c>
      <c r="DB52" s="140">
        <f t="shared" ca="1" si="48"/>
        <v>0</v>
      </c>
      <c r="DC52" s="4" t="str">
        <f t="shared" ca="1" si="100"/>
        <v>NO</v>
      </c>
      <c r="DD52" s="140">
        <f t="shared" ca="1" si="49"/>
        <v>0</v>
      </c>
      <c r="DE52" s="4" t="str">
        <f t="shared" ca="1" si="101"/>
        <v>--</v>
      </c>
      <c r="DF52" s="140">
        <f t="shared" ca="1" si="50"/>
        <v>0</v>
      </c>
      <c r="DG52" s="4" t="str">
        <f t="shared" ca="1" si="102"/>
        <v>SI</v>
      </c>
      <c r="DH52" s="140">
        <f t="shared" ca="1" si="51"/>
        <v>6</v>
      </c>
      <c r="DI52" s="4" t="str">
        <f t="shared" ca="1" si="103"/>
        <v>--</v>
      </c>
      <c r="DJ52" s="140">
        <f t="shared" ca="1" si="52"/>
        <v>0</v>
      </c>
      <c r="DK52" s="4" t="str">
        <f t="shared" ca="1" si="104"/>
        <v>--</v>
      </c>
      <c r="DL52" s="140">
        <f t="shared" ca="1" si="53"/>
        <v>0</v>
      </c>
      <c r="DM52" s="4" t="str">
        <f t="shared" ca="1" si="105"/>
        <v>Non previsto audit</v>
      </c>
      <c r="DN52" s="140">
        <f t="shared" ca="1" si="54"/>
        <v>0</v>
      </c>
      <c r="DO52" s="4" t="str">
        <f t="shared" ca="1" si="106"/>
        <v>--</v>
      </c>
      <c r="DP52" s="140">
        <f t="shared" ca="1" si="55"/>
        <v>0</v>
      </c>
      <c r="DQ52" s="4" t="str">
        <f t="shared" ca="1" si="107"/>
        <v>NO</v>
      </c>
      <c r="DR52" s="140">
        <f t="shared" ca="1" si="56"/>
        <v>0</v>
      </c>
      <c r="DS52" s="80" t="str">
        <f t="shared" ca="1" si="108"/>
        <v>--</v>
      </c>
      <c r="DT52" s="140">
        <f t="shared" ca="1" si="57"/>
        <v>0</v>
      </c>
      <c r="DU52" s="4" t="str">
        <f t="shared" ca="1" si="109"/>
        <v>--</v>
      </c>
      <c r="DV52" s="140">
        <f t="shared" ca="1" si="114"/>
        <v>0</v>
      </c>
      <c r="DW52" s="4" t="str">
        <f t="shared" ca="1" si="110"/>
        <v>--</v>
      </c>
      <c r="DX52" s="140">
        <f t="shared" ca="1" si="58"/>
        <v>0</v>
      </c>
      <c r="DY52" s="4" t="str">
        <f t="shared" ca="1" si="111"/>
        <v>--</v>
      </c>
      <c r="DZ52" s="140">
        <f t="shared" ca="1" si="59"/>
        <v>0</v>
      </c>
      <c r="EA52" s="80" t="str">
        <f t="shared" ca="1" si="112"/>
        <v>Inferiore al 10 %</v>
      </c>
      <c r="EB52" s="140">
        <f t="shared" ca="1" si="60"/>
        <v>2</v>
      </c>
      <c r="EC52" s="4">
        <f t="shared" ca="1" si="61"/>
        <v>229</v>
      </c>
    </row>
    <row r="53" spans="1:133">
      <c r="A53" s="363" t="str">
        <f t="shared" ca="1" si="0"/>
        <v>Ente Nazionale per l'Aviazione Civile</v>
      </c>
      <c r="B53" s="50">
        <f ca="1">VLOOKUP( TRIM(A53), Classificazione!$A$5:$B$71, 2, FALSE)</f>
        <v>116</v>
      </c>
      <c r="C53" s="364">
        <f ca="1">VLOOKUP(TRIM(A53), Classificazione!$A$5:$L$71, 12, FALSE)</f>
        <v>1015</v>
      </c>
      <c r="D53" s="4" t="str">
        <f t="shared" ca="1" si="62"/>
        <v>Completamente centralizzato</v>
      </c>
      <c r="E53" s="140">
        <f t="shared" ca="1" si="113"/>
        <v>6</v>
      </c>
      <c r="F53" s="4" t="str">
        <f t="shared" ca="1" si="62"/>
        <v>SI</v>
      </c>
      <c r="G53" s="140">
        <f t="shared" ca="1" si="115"/>
        <v>10</v>
      </c>
      <c r="H53" s="4" t="str">
        <f t="shared" ca="1" si="62"/>
        <v>SI</v>
      </c>
      <c r="I53" s="140">
        <f t="shared" ca="1" si="63"/>
        <v>10</v>
      </c>
      <c r="J53" s="4" t="b">
        <f t="shared" ca="1" si="62"/>
        <v>0</v>
      </c>
      <c r="K53" s="140">
        <f t="shared" ca="1" si="64"/>
        <v>0</v>
      </c>
      <c r="L53" s="4" t="b">
        <f t="shared" ca="1" si="62"/>
        <v>0</v>
      </c>
      <c r="M53" s="140">
        <f t="shared" ca="1" si="2"/>
        <v>0</v>
      </c>
      <c r="N53" s="4" t="b">
        <f t="shared" ca="1" si="65"/>
        <v>1</v>
      </c>
      <c r="O53" s="140">
        <f t="shared" ca="1" si="3"/>
        <v>3</v>
      </c>
      <c r="P53" s="4" t="b">
        <f t="shared" ca="1" si="66"/>
        <v>0</v>
      </c>
      <c r="Q53" s="140">
        <f t="shared" ref="Q53:Q66" ca="1" si="117">LOOKUP(P53,P$1:P$7,Q$1:Q$7)</f>
        <v>0</v>
      </c>
      <c r="R53" s="4" t="str">
        <f t="shared" ca="1" si="67"/>
        <v>UserId/Password</v>
      </c>
      <c r="S53" s="140">
        <f t="shared" ref="S53:S66" ca="1" si="118">LOOKUP(R53,R$1:R$7,S$1:S$7)</f>
        <v>2</v>
      </c>
      <c r="T53" s="4" t="str">
        <f t="shared" ca="1" si="68"/>
        <v>SI</v>
      </c>
      <c r="U53" s="140">
        <f t="shared" ref="U53:U66" ca="1" si="119">LOOKUP(T53,T$1:T$7,U$1:U$7)</f>
        <v>2</v>
      </c>
      <c r="V53" s="4" t="str">
        <f t="shared" ca="1" si="69"/>
        <v>SI</v>
      </c>
      <c r="W53" s="140">
        <f t="shared" ref="W53:W66" ca="1" si="120">LOOKUP(V53,V$1:V$7,W$1:W$7)</f>
        <v>2</v>
      </c>
      <c r="X53" s="4" t="str">
        <f t="shared" ca="1" si="70"/>
        <v>SI</v>
      </c>
      <c r="Y53" s="140">
        <f t="shared" ref="Y53:Y66" ca="1" si="121">LOOKUP(X53,X$1:X$7,Y$1:Y$7)</f>
        <v>4</v>
      </c>
      <c r="Z53" s="4" t="str">
        <f t="shared" ca="1" si="71"/>
        <v>Ogni settimana</v>
      </c>
      <c r="AA53" s="140">
        <f t="shared" ca="1" si="116"/>
        <v>8</v>
      </c>
      <c r="AB53" s="4" t="str">
        <f t="shared" ca="1" si="72"/>
        <v>SI</v>
      </c>
      <c r="AC53" s="140">
        <f t="shared" ref="AC53:AC66" ca="1" si="122">LOOKUP(AB53,AB$1:AB$7,AC$1:AC$7)</f>
        <v>10</v>
      </c>
      <c r="AD53" s="4" t="str">
        <f t="shared" ca="1" si="73"/>
        <v>Esistono postazioni mobili o supporti dati rimuovibili senza sistemi di prevenzione degli accessi</v>
      </c>
      <c r="AE53" s="140">
        <f t="shared" ref="AE53:AE66" ca="1" si="123">LOOKUP(AD53,AD$1:AD$7,AE$1:AE$7)</f>
        <v>0</v>
      </c>
      <c r="AF53" s="4" t="str">
        <f t="shared" ca="1" si="74"/>
        <v>SI</v>
      </c>
      <c r="AG53" s="140">
        <f t="shared" ref="AG53:AG66" ca="1" si="124">LOOKUP(AF53,AF$1:AF$7,AG$1:AG$7)</f>
        <v>6</v>
      </c>
      <c r="AH53" s="4" t="str">
        <f t="shared" ca="1" si="75"/>
        <v>SI</v>
      </c>
      <c r="AI53" s="140">
        <f t="shared" ref="AI53:AI66" ca="1" si="125">LOOKUP(AH53,AH$1:AH$7,AI$1:AI$7)</f>
        <v>4</v>
      </c>
      <c r="AJ53" s="4" t="str">
        <f t="shared" ca="1" si="76"/>
        <v>SI</v>
      </c>
      <c r="AK53" s="140">
        <f t="shared" ref="AK53:AK66" ca="1" si="126">LOOKUP(AJ53,AJ$1:AJ$7,AK$1:AK$7)</f>
        <v>10</v>
      </c>
      <c r="AL53" s="203" t="str">
        <f t="shared" ca="1" si="15"/>
        <v>ok</v>
      </c>
      <c r="AM53" s="4" t="str">
        <f t="shared" ca="1" si="77"/>
        <v>SI</v>
      </c>
      <c r="AN53" s="140">
        <f t="shared" ca="1" si="16"/>
        <v>10</v>
      </c>
      <c r="AO53" s="4" t="str">
        <f t="shared" ca="1" si="77"/>
        <v>SI</v>
      </c>
      <c r="AP53" s="140">
        <f t="shared" ca="1" si="17"/>
        <v>10</v>
      </c>
      <c r="AQ53" s="4" t="str">
        <f t="shared" ca="1" si="77"/>
        <v>SI</v>
      </c>
      <c r="AR53" s="140">
        <f t="shared" ca="1" si="18"/>
        <v>10</v>
      </c>
      <c r="AS53" s="4" t="b">
        <f t="shared" ca="1" si="77"/>
        <v>1</v>
      </c>
      <c r="AT53" s="140">
        <f t="shared" ca="1" si="19"/>
        <v>5</v>
      </c>
      <c r="AU53" s="4" t="b">
        <f t="shared" ca="1" si="77"/>
        <v>0</v>
      </c>
      <c r="AV53" s="140">
        <f t="shared" ca="1" si="20"/>
        <v>0</v>
      </c>
      <c r="AW53" s="4" t="b">
        <f t="shared" ca="1" si="78"/>
        <v>0</v>
      </c>
      <c r="AX53" s="140">
        <f t="shared" ca="1" si="21"/>
        <v>0</v>
      </c>
      <c r="AY53" s="4" t="str">
        <f t="shared" ca="1" si="79"/>
        <v>SI</v>
      </c>
      <c r="AZ53" s="140">
        <f t="shared" ca="1" si="22"/>
        <v>0</v>
      </c>
      <c r="BA53" s="4" t="str">
        <f t="shared" ca="1" si="80"/>
        <v>WPA</v>
      </c>
      <c r="BB53" s="140">
        <f t="shared" ca="1" si="23"/>
        <v>10</v>
      </c>
      <c r="BC53" s="4" t="str">
        <f t="shared" ca="1" si="81"/>
        <v>SI</v>
      </c>
      <c r="BD53" s="140">
        <f t="shared" ca="1" si="24"/>
        <v>0</v>
      </c>
      <c r="BE53" s="4" t="str">
        <f t="shared" ca="1" si="82"/>
        <v>Accesso remoto mediante  VPN</v>
      </c>
      <c r="BF53" s="140">
        <f t="shared" ca="1" si="25"/>
        <v>10</v>
      </c>
      <c r="BG53" s="4" t="str">
        <f t="shared" ca="1" si="83"/>
        <v>SI</v>
      </c>
      <c r="BH53" s="140">
        <f t="shared" ca="1" si="26"/>
        <v>6</v>
      </c>
      <c r="BI53" s="4" t="str">
        <f t="shared" ca="1" si="84"/>
        <v>SI</v>
      </c>
      <c r="BJ53" s="140">
        <f t="shared" ca="1" si="27"/>
        <v>4</v>
      </c>
      <c r="BK53" s="4" t="str">
        <f t="shared" ca="1" si="85"/>
        <v>SI</v>
      </c>
      <c r="BL53" s="140">
        <f t="shared" ca="1" si="28"/>
        <v>10</v>
      </c>
      <c r="BM53" s="4" t="str">
        <f t="shared" ca="1" si="86"/>
        <v>Sì, centralizzato</v>
      </c>
      <c r="BN53" s="140">
        <f t="shared" ca="1" si="29"/>
        <v>10</v>
      </c>
      <c r="BO53" s="203" t="str">
        <f t="shared" ca="1" si="87"/>
        <v>ok</v>
      </c>
      <c r="BP53" s="4" t="str">
        <f t="shared" ca="1" si="88"/>
        <v>SI</v>
      </c>
      <c r="BQ53" s="140">
        <f t="shared" ca="1" si="30"/>
        <v>10</v>
      </c>
      <c r="BR53" s="4" t="str">
        <f t="shared" ca="1" si="88"/>
        <v>Sì, solo per le applicazioni più importanti</v>
      </c>
      <c r="BS53" s="140">
        <f t="shared" ca="1" si="31"/>
        <v>6</v>
      </c>
      <c r="BT53" s="4" t="str">
        <f t="shared" ca="1" si="88"/>
        <v>No</v>
      </c>
      <c r="BU53" s="140">
        <f t="shared" ca="1" si="32"/>
        <v>0</v>
      </c>
      <c r="BV53" s="4" t="str">
        <f t="shared" ca="1" si="88"/>
        <v>--</v>
      </c>
      <c r="BW53" s="140">
        <f t="shared" ca="1" si="33"/>
        <v>0</v>
      </c>
      <c r="BX53" s="4" t="str">
        <f t="shared" ca="1" si="88"/>
        <v>--</v>
      </c>
      <c r="BY53" s="140">
        <f t="shared" ca="1" si="34"/>
        <v>0</v>
      </c>
      <c r="BZ53" s="4" t="str">
        <f t="shared" ca="1" si="89"/>
        <v>--</v>
      </c>
      <c r="CA53" s="140">
        <f t="shared" ca="1" si="35"/>
        <v>0</v>
      </c>
      <c r="CB53" s="4" t="str">
        <f t="shared" ca="1" si="90"/>
        <v>SI</v>
      </c>
      <c r="CC53" s="140">
        <f t="shared" ca="1" si="36"/>
        <v>10</v>
      </c>
      <c r="CD53" s="4" t="str">
        <f t="shared" ca="1" si="91"/>
        <v>SI</v>
      </c>
      <c r="CE53" s="140">
        <f t="shared" ca="1" si="37"/>
        <v>10</v>
      </c>
      <c r="CF53" s="4" t="str">
        <f t="shared" ca="1" si="92"/>
        <v>NO</v>
      </c>
      <c r="CG53" s="140">
        <f t="shared" ca="1" si="38"/>
        <v>10</v>
      </c>
      <c r="CH53" s="4" t="str">
        <f t="shared" ca="1" si="93"/>
        <v>Rilevate &lt; 10</v>
      </c>
      <c r="CI53" s="140">
        <f t="shared" ca="1" si="39"/>
        <v>2</v>
      </c>
      <c r="CJ53" s="4" t="b">
        <f t="shared" ca="1" si="94"/>
        <v>0</v>
      </c>
      <c r="CK53" s="140">
        <f t="shared" ca="1" si="40"/>
        <v>0</v>
      </c>
      <c r="CL53" s="4" t="b">
        <f t="shared" ca="1" si="95"/>
        <v>0</v>
      </c>
      <c r="CM53" s="140">
        <f t="shared" ca="1" si="41"/>
        <v>0</v>
      </c>
      <c r="CN53" s="4" t="b">
        <f t="shared" ca="1" si="96"/>
        <v>0</v>
      </c>
      <c r="CO53" s="140">
        <f t="shared" ca="1" si="42"/>
        <v>0</v>
      </c>
      <c r="CP53" s="4" t="b">
        <f t="shared" ca="1" si="97"/>
        <v>0</v>
      </c>
      <c r="CQ53" s="140">
        <f t="shared" ca="1" si="43"/>
        <v>0</v>
      </c>
      <c r="CR53" s="203" t="str">
        <f t="shared" ca="1" si="98"/>
        <v>ok</v>
      </c>
      <c r="CS53" s="4" t="str">
        <f t="shared" ca="1" si="99"/>
        <v>SI</v>
      </c>
      <c r="CT53" s="140">
        <f t="shared" ca="1" si="44"/>
        <v>10</v>
      </c>
      <c r="CU53" s="4" t="str">
        <f t="shared" ca="1" si="99"/>
        <v>SI</v>
      </c>
      <c r="CV53" s="140">
        <f t="shared" ca="1" si="45"/>
        <v>10</v>
      </c>
      <c r="CW53" s="4" t="str">
        <f t="shared" ca="1" si="99"/>
        <v>Sì, tutti</v>
      </c>
      <c r="CX53" s="140">
        <f t="shared" ca="1" si="46"/>
        <v>10</v>
      </c>
      <c r="CY53" s="4" t="str">
        <f t="shared" ca="1" si="99"/>
        <v>SI</v>
      </c>
      <c r="CZ53" s="140">
        <f t="shared" ca="1" si="47"/>
        <v>10</v>
      </c>
      <c r="DA53" s="4" t="str">
        <f t="shared" ca="1" si="99"/>
        <v>NO</v>
      </c>
      <c r="DB53" s="140">
        <f t="shared" ca="1" si="48"/>
        <v>0</v>
      </c>
      <c r="DC53" s="4" t="str">
        <f t="shared" ca="1" si="100"/>
        <v>SI</v>
      </c>
      <c r="DD53" s="140">
        <f t="shared" ca="1" si="49"/>
        <v>10</v>
      </c>
      <c r="DE53" s="4" t="str">
        <f t="shared" ca="1" si="101"/>
        <v>--</v>
      </c>
      <c r="DF53" s="140">
        <f t="shared" ca="1" si="50"/>
        <v>0</v>
      </c>
      <c r="DG53" s="4" t="str">
        <f t="shared" ca="1" si="102"/>
        <v>SI</v>
      </c>
      <c r="DH53" s="140">
        <f t="shared" ca="1" si="51"/>
        <v>6</v>
      </c>
      <c r="DI53" s="4" t="str">
        <f t="shared" ca="1" si="103"/>
        <v>Sì</v>
      </c>
      <c r="DJ53" s="140">
        <f t="shared" ca="1" si="52"/>
        <v>4</v>
      </c>
      <c r="DK53" s="4" t="str">
        <f t="shared" ca="1" si="104"/>
        <v>Solo personale interno</v>
      </c>
      <c r="DL53" s="140">
        <f t="shared" ca="1" si="53"/>
        <v>10</v>
      </c>
      <c r="DM53" s="4" t="str">
        <f t="shared" ca="1" si="105"/>
        <v>Non previsto audit</v>
      </c>
      <c r="DN53" s="140">
        <f t="shared" ca="1" si="54"/>
        <v>0</v>
      </c>
      <c r="DO53" s="4" t="str">
        <f t="shared" ca="1" si="106"/>
        <v>--</v>
      </c>
      <c r="DP53" s="140">
        <f t="shared" ca="1" si="55"/>
        <v>0</v>
      </c>
      <c r="DQ53" s="4" t="str">
        <f t="shared" ca="1" si="107"/>
        <v>SI</v>
      </c>
      <c r="DR53" s="140">
        <f t="shared" ca="1" si="56"/>
        <v>4</v>
      </c>
      <c r="DS53" s="80" t="str">
        <f t="shared" ca="1" si="108"/>
        <v>Compresa tra 5 % e 10%</v>
      </c>
      <c r="DT53" s="140">
        <f t="shared" ca="1" si="57"/>
        <v>4</v>
      </c>
      <c r="DU53" s="4" t="str">
        <f t="shared" ca="1" si="109"/>
        <v>Sì, con copertura analisi rischi minima</v>
      </c>
      <c r="DV53" s="140">
        <f t="shared" ca="1" si="114"/>
        <v>6</v>
      </c>
      <c r="DW53" s="4" t="str">
        <f t="shared" ca="1" si="110"/>
        <v>--</v>
      </c>
      <c r="DX53" s="140">
        <f t="shared" ca="1" si="58"/>
        <v>0</v>
      </c>
      <c r="DY53" s="4" t="str">
        <f t="shared" ca="1" si="111"/>
        <v>NO</v>
      </c>
      <c r="DZ53" s="140">
        <f t="shared" ca="1" si="59"/>
        <v>0</v>
      </c>
      <c r="EA53" s="80" t="str">
        <f t="shared" ca="1" si="112"/>
        <v>Inferiore al 10 %</v>
      </c>
      <c r="EB53" s="140">
        <f t="shared" ca="1" si="60"/>
        <v>2</v>
      </c>
      <c r="EC53" s="4">
        <f t="shared" ref="EC53:EC66" ca="1" si="127">SUMIF(D53:EB53, "&gt; 0")</f>
        <v>296</v>
      </c>
    </row>
    <row r="54" spans="1:133">
      <c r="A54" s="363" t="str">
        <f t="shared" ca="1" si="0"/>
        <v>Agenzia nazionale per le nuove tecnologie, l'energia e lo sviluppo economico sostenibile</v>
      </c>
      <c r="B54" s="50">
        <f ca="1">VLOOKUP( TRIM(A54), Classificazione!$A$5:$B$71, 2, FALSE)</f>
        <v>202</v>
      </c>
      <c r="C54" s="364">
        <f ca="1">VLOOKUP(TRIM(A54), Classificazione!$A$5:$L$71, 12, FALSE)</f>
        <v>1000</v>
      </c>
      <c r="D54" s="4" t="str">
        <f t="shared" ca="1" si="62"/>
        <v>Parzialmente centralizzato</v>
      </c>
      <c r="E54" s="140">
        <f t="shared" ca="1" si="113"/>
        <v>8</v>
      </c>
      <c r="F54" s="4" t="str">
        <f t="shared" ca="1" si="62"/>
        <v>SI</v>
      </c>
      <c r="G54" s="140">
        <f t="shared" ca="1" si="115"/>
        <v>10</v>
      </c>
      <c r="H54" s="4" t="str">
        <f t="shared" ca="1" si="62"/>
        <v>NO</v>
      </c>
      <c r="I54" s="140">
        <f t="shared" ca="1" si="63"/>
        <v>0</v>
      </c>
      <c r="J54" s="4" t="b">
        <f t="shared" ca="1" si="62"/>
        <v>0</v>
      </c>
      <c r="K54" s="140">
        <f t="shared" ca="1" si="64"/>
        <v>0</v>
      </c>
      <c r="L54" s="4" t="b">
        <f t="shared" ca="1" si="62"/>
        <v>0</v>
      </c>
      <c r="M54" s="140">
        <f t="shared" ca="1" si="2"/>
        <v>0</v>
      </c>
      <c r="N54" s="4" t="b">
        <f t="shared" ca="1" si="65"/>
        <v>0</v>
      </c>
      <c r="O54" s="140">
        <f t="shared" ca="1" si="3"/>
        <v>0</v>
      </c>
      <c r="P54" s="4" t="b">
        <f t="shared" ca="1" si="66"/>
        <v>0</v>
      </c>
      <c r="Q54" s="140">
        <f t="shared" ca="1" si="117"/>
        <v>0</v>
      </c>
      <c r="R54" s="4" t="str">
        <f t="shared" ca="1" si="67"/>
        <v>UserId/Password</v>
      </c>
      <c r="S54" s="140">
        <f t="shared" ca="1" si="118"/>
        <v>2</v>
      </c>
      <c r="T54" s="4" t="str">
        <f t="shared" ca="1" si="68"/>
        <v>SI</v>
      </c>
      <c r="U54" s="140">
        <f t="shared" ca="1" si="119"/>
        <v>2</v>
      </c>
      <c r="V54" s="4" t="str">
        <f t="shared" ca="1" si="69"/>
        <v>SI</v>
      </c>
      <c r="W54" s="140">
        <f t="shared" ca="1" si="120"/>
        <v>2</v>
      </c>
      <c r="X54" s="4" t="str">
        <f t="shared" ca="1" si="70"/>
        <v>SI</v>
      </c>
      <c r="Y54" s="140">
        <f t="shared" ca="1" si="121"/>
        <v>4</v>
      </c>
      <c r="Z54" s="4" t="str">
        <f t="shared" ca="1" si="71"/>
        <v>Ogni settimana</v>
      </c>
      <c r="AA54" s="140">
        <f t="shared" ca="1" si="116"/>
        <v>8</v>
      </c>
      <c r="AB54" s="4" t="str">
        <f t="shared" ca="1" si="72"/>
        <v>NO</v>
      </c>
      <c r="AC54" s="140">
        <f t="shared" ca="1" si="122"/>
        <v>0</v>
      </c>
      <c r="AD54" s="4" t="str">
        <f t="shared" ca="1" si="73"/>
        <v>Esistono postazioni mobili o supporti dati rimuovibili senza sistemi di prevenzione degli accessi</v>
      </c>
      <c r="AE54" s="140">
        <f t="shared" ca="1" si="123"/>
        <v>0</v>
      </c>
      <c r="AF54" s="4" t="str">
        <f t="shared" ca="1" si="74"/>
        <v>SI</v>
      </c>
      <c r="AG54" s="140">
        <f t="shared" ca="1" si="124"/>
        <v>6</v>
      </c>
      <c r="AH54" s="4" t="str">
        <f t="shared" ca="1" si="75"/>
        <v>SI</v>
      </c>
      <c r="AI54" s="140">
        <f t="shared" ca="1" si="125"/>
        <v>4</v>
      </c>
      <c r="AJ54" s="4" t="str">
        <f t="shared" ca="1" si="76"/>
        <v>SI</v>
      </c>
      <c r="AK54" s="140">
        <f t="shared" ca="1" si="126"/>
        <v>10</v>
      </c>
      <c r="AL54" s="203" t="str">
        <f t="shared" ca="1" si="15"/>
        <v>ok</v>
      </c>
      <c r="AM54" s="4" t="str">
        <f t="shared" ca="1" si="77"/>
        <v>SI</v>
      </c>
      <c r="AN54" s="140">
        <f t="shared" ca="1" si="16"/>
        <v>10</v>
      </c>
      <c r="AO54" s="4" t="str">
        <f t="shared" ca="1" si="77"/>
        <v>SI</v>
      </c>
      <c r="AP54" s="140">
        <f t="shared" ca="1" si="17"/>
        <v>10</v>
      </c>
      <c r="AQ54" s="4" t="str">
        <f t="shared" ca="1" si="77"/>
        <v>SI</v>
      </c>
      <c r="AR54" s="140">
        <f t="shared" ca="1" si="18"/>
        <v>10</v>
      </c>
      <c r="AS54" s="4" t="b">
        <f t="shared" ca="1" si="77"/>
        <v>1</v>
      </c>
      <c r="AT54" s="140">
        <f t="shared" ca="1" si="19"/>
        <v>5</v>
      </c>
      <c r="AU54" s="4" t="b">
        <f t="shared" ca="1" si="77"/>
        <v>1</v>
      </c>
      <c r="AV54" s="140">
        <f t="shared" ca="1" si="20"/>
        <v>5</v>
      </c>
      <c r="AW54" s="4" t="b">
        <f t="shared" ca="1" si="78"/>
        <v>0</v>
      </c>
      <c r="AX54" s="140">
        <f t="shared" ca="1" si="21"/>
        <v>0</v>
      </c>
      <c r="AY54" s="4" t="str">
        <f t="shared" ca="1" si="79"/>
        <v>SI</v>
      </c>
      <c r="AZ54" s="140">
        <f t="shared" ca="1" si="22"/>
        <v>0</v>
      </c>
      <c r="BA54" s="4" t="str">
        <f t="shared" ca="1" si="80"/>
        <v>WEP</v>
      </c>
      <c r="BB54" s="140">
        <f t="shared" ca="1" si="23"/>
        <v>4</v>
      </c>
      <c r="BC54" s="4" t="str">
        <f t="shared" ca="1" si="81"/>
        <v>SI</v>
      </c>
      <c r="BD54" s="140">
        <f t="shared" ca="1" si="24"/>
        <v>0</v>
      </c>
      <c r="BE54" s="4" t="str">
        <f t="shared" ca="1" si="82"/>
        <v>Accesso remoto mediante  VPN</v>
      </c>
      <c r="BF54" s="140">
        <f t="shared" ca="1" si="25"/>
        <v>10</v>
      </c>
      <c r="BG54" s="4" t="str">
        <f t="shared" ca="1" si="83"/>
        <v>SI</v>
      </c>
      <c r="BH54" s="140">
        <f t="shared" ca="1" si="26"/>
        <v>6</v>
      </c>
      <c r="BI54" s="4" t="str">
        <f t="shared" ca="1" si="84"/>
        <v>SI</v>
      </c>
      <c r="BJ54" s="140">
        <f t="shared" ca="1" si="27"/>
        <v>4</v>
      </c>
      <c r="BK54" s="4" t="str">
        <f t="shared" ca="1" si="85"/>
        <v>SI</v>
      </c>
      <c r="BL54" s="140">
        <f t="shared" ca="1" si="28"/>
        <v>10</v>
      </c>
      <c r="BM54" s="4" t="str">
        <f t="shared" ca="1" si="86"/>
        <v>Sì, non centralizzato</v>
      </c>
      <c r="BN54" s="140">
        <f t="shared" ca="1" si="29"/>
        <v>6</v>
      </c>
      <c r="BO54" s="203" t="str">
        <f t="shared" ca="1" si="87"/>
        <v>ok</v>
      </c>
      <c r="BP54" s="4" t="str">
        <f t="shared" ca="1" si="88"/>
        <v>NO</v>
      </c>
      <c r="BQ54" s="140">
        <f t="shared" ca="1" si="30"/>
        <v>0</v>
      </c>
      <c r="BR54" s="4" t="str">
        <f t="shared" ca="1" si="88"/>
        <v>Sì, solo per le applicazioni più importanti</v>
      </c>
      <c r="BS54" s="140">
        <f t="shared" ca="1" si="31"/>
        <v>6</v>
      </c>
      <c r="BT54" s="4" t="str">
        <f t="shared" ca="1" si="88"/>
        <v>Sì, solo per le applicazioni più importanti</v>
      </c>
      <c r="BU54" s="140">
        <f t="shared" ca="1" si="32"/>
        <v>6</v>
      </c>
      <c r="BV54" s="4" t="str">
        <f t="shared" ca="1" si="88"/>
        <v>NO</v>
      </c>
      <c r="BW54" s="140">
        <f t="shared" ca="1" si="33"/>
        <v>0</v>
      </c>
      <c r="BX54" s="4" t="str">
        <f t="shared" ca="1" si="88"/>
        <v>SI</v>
      </c>
      <c r="BY54" s="140">
        <f t="shared" ca="1" si="34"/>
        <v>10</v>
      </c>
      <c r="BZ54" s="4" t="str">
        <f t="shared" ca="1" si="89"/>
        <v>SI</v>
      </c>
      <c r="CA54" s="140">
        <f t="shared" ca="1" si="35"/>
        <v>10</v>
      </c>
      <c r="CB54" s="4" t="str">
        <f t="shared" ca="1" si="90"/>
        <v>SI</v>
      </c>
      <c r="CC54" s="140">
        <f t="shared" ca="1" si="36"/>
        <v>10</v>
      </c>
      <c r="CD54" s="4" t="str">
        <f t="shared" ca="1" si="91"/>
        <v>SI</v>
      </c>
      <c r="CE54" s="140">
        <f t="shared" ca="1" si="37"/>
        <v>10</v>
      </c>
      <c r="CF54" s="4" t="str">
        <f t="shared" ca="1" si="92"/>
        <v>NO</v>
      </c>
      <c r="CG54" s="140">
        <f t="shared" ca="1" si="38"/>
        <v>10</v>
      </c>
      <c r="CH54" s="4" t="str">
        <f t="shared" ca="1" si="93"/>
        <v>Rilevate &lt; 10</v>
      </c>
      <c r="CI54" s="140">
        <f t="shared" ca="1" si="39"/>
        <v>2</v>
      </c>
      <c r="CJ54" s="4" t="b">
        <f t="shared" ca="1" si="94"/>
        <v>0</v>
      </c>
      <c r="CK54" s="140">
        <f t="shared" ca="1" si="40"/>
        <v>0</v>
      </c>
      <c r="CL54" s="4" t="b">
        <f t="shared" ca="1" si="95"/>
        <v>0</v>
      </c>
      <c r="CM54" s="140">
        <f t="shared" ca="1" si="41"/>
        <v>0</v>
      </c>
      <c r="CN54" s="4" t="b">
        <f t="shared" ca="1" si="96"/>
        <v>0</v>
      </c>
      <c r="CO54" s="140">
        <f t="shared" ca="1" si="42"/>
        <v>0</v>
      </c>
      <c r="CP54" s="4" t="b">
        <f t="shared" ca="1" si="97"/>
        <v>0</v>
      </c>
      <c r="CQ54" s="140">
        <f t="shared" ca="1" si="43"/>
        <v>0</v>
      </c>
      <c r="CR54" s="203" t="str">
        <f t="shared" ca="1" si="98"/>
        <v>ok</v>
      </c>
      <c r="CS54" s="4" t="str">
        <f t="shared" ca="1" si="99"/>
        <v>NO</v>
      </c>
      <c r="CT54" s="140">
        <f t="shared" ca="1" si="44"/>
        <v>0</v>
      </c>
      <c r="CU54" s="4" t="str">
        <f t="shared" ca="1" si="99"/>
        <v>NO</v>
      </c>
      <c r="CV54" s="140">
        <f t="shared" ca="1" si="45"/>
        <v>0</v>
      </c>
      <c r="CW54" s="4" t="str">
        <f t="shared" ca="1" si="99"/>
        <v>--</v>
      </c>
      <c r="CX54" s="140">
        <f t="shared" ca="1" si="46"/>
        <v>0</v>
      </c>
      <c r="CY54" s="4" t="str">
        <f t="shared" ca="1" si="99"/>
        <v>SI</v>
      </c>
      <c r="CZ54" s="140">
        <f t="shared" ca="1" si="47"/>
        <v>10</v>
      </c>
      <c r="DA54" s="4" t="str">
        <f t="shared" ca="1" si="99"/>
        <v>SI</v>
      </c>
      <c r="DB54" s="140">
        <f t="shared" ca="1" si="48"/>
        <v>10</v>
      </c>
      <c r="DC54" s="4" t="str">
        <f t="shared" ca="1" si="100"/>
        <v>SI</v>
      </c>
      <c r="DD54" s="140">
        <f t="shared" ca="1" si="49"/>
        <v>10</v>
      </c>
      <c r="DE54" s="4" t="str">
        <f t="shared" ca="1" si="101"/>
        <v>SI</v>
      </c>
      <c r="DF54" s="140">
        <f t="shared" ca="1" si="50"/>
        <v>10</v>
      </c>
      <c r="DG54" s="4" t="str">
        <f t="shared" ca="1" si="102"/>
        <v>NO</v>
      </c>
      <c r="DH54" s="140">
        <f t="shared" ca="1" si="51"/>
        <v>0</v>
      </c>
      <c r="DI54" s="4" t="str">
        <f t="shared" ca="1" si="103"/>
        <v>Sì</v>
      </c>
      <c r="DJ54" s="140">
        <f t="shared" ca="1" si="52"/>
        <v>4</v>
      </c>
      <c r="DK54" s="4" t="str">
        <f t="shared" ca="1" si="104"/>
        <v>Solo personale interno</v>
      </c>
      <c r="DL54" s="140">
        <f t="shared" ca="1" si="53"/>
        <v>10</v>
      </c>
      <c r="DM54" s="4" t="str">
        <f t="shared" ca="1" si="105"/>
        <v>Non previsto audit</v>
      </c>
      <c r="DN54" s="140">
        <f t="shared" ca="1" si="54"/>
        <v>0</v>
      </c>
      <c r="DO54" s="4" t="str">
        <f t="shared" ca="1" si="106"/>
        <v>--</v>
      </c>
      <c r="DP54" s="140">
        <f t="shared" ca="1" si="55"/>
        <v>0</v>
      </c>
      <c r="DQ54" s="4" t="str">
        <f t="shared" ca="1" si="107"/>
        <v>NO</v>
      </c>
      <c r="DR54" s="140">
        <f t="shared" ca="1" si="56"/>
        <v>0</v>
      </c>
      <c r="DS54" s="80" t="str">
        <f t="shared" ca="1" si="108"/>
        <v>--</v>
      </c>
      <c r="DT54" s="140">
        <f t="shared" ca="1" si="57"/>
        <v>0</v>
      </c>
      <c r="DU54" s="4" t="str">
        <f t="shared" ca="1" si="109"/>
        <v>No</v>
      </c>
      <c r="DV54" s="140">
        <f t="shared" ca="1" si="114"/>
        <v>0</v>
      </c>
      <c r="DW54" s="4" t="str">
        <f t="shared" ca="1" si="110"/>
        <v>SI</v>
      </c>
      <c r="DX54" s="140">
        <f t="shared" ca="1" si="58"/>
        <v>10</v>
      </c>
      <c r="DY54" s="4" t="str">
        <f t="shared" ca="1" si="111"/>
        <v>NO</v>
      </c>
      <c r="DZ54" s="140">
        <f t="shared" ca="1" si="59"/>
        <v>0</v>
      </c>
      <c r="EA54" s="80" t="str">
        <f t="shared" ca="1" si="112"/>
        <v>Inferiore al 10 %</v>
      </c>
      <c r="EB54" s="140">
        <f t="shared" ca="1" si="60"/>
        <v>2</v>
      </c>
      <c r="EC54" s="4">
        <f t="shared" ca="1" si="127"/>
        <v>266</v>
      </c>
    </row>
    <row r="55" spans="1:133">
      <c r="A55" s="363" t="str">
        <f t="shared" ca="1" si="0"/>
        <v>Ente nazionale previdenza assistenza lavoratori dello spettacolo</v>
      </c>
      <c r="B55" s="50">
        <f ca="1">VLOOKUP( TRIM(A55), Classificazione!$A$5:$B$71, 2, FALSE)</f>
        <v>62</v>
      </c>
      <c r="C55" s="364">
        <f ca="1">VLOOKUP(TRIM(A55), Classificazione!$A$5:$L$71, 12, FALSE)</f>
        <v>383</v>
      </c>
      <c r="D55" s="4" t="str">
        <f t="shared" ca="1" si="62"/>
        <v>Parzialmente centralizzato</v>
      </c>
      <c r="E55" s="140">
        <f t="shared" ca="1" si="113"/>
        <v>8</v>
      </c>
      <c r="F55" s="4" t="str">
        <f t="shared" ca="1" si="62"/>
        <v>SI</v>
      </c>
      <c r="G55" s="140">
        <f t="shared" ca="1" si="115"/>
        <v>10</v>
      </c>
      <c r="H55" s="4" t="str">
        <f t="shared" ca="1" si="62"/>
        <v>SI</v>
      </c>
      <c r="I55" s="140">
        <f t="shared" ca="1" si="63"/>
        <v>10</v>
      </c>
      <c r="J55" s="4" t="b">
        <f t="shared" ca="1" si="62"/>
        <v>0</v>
      </c>
      <c r="K55" s="140">
        <f t="shared" ca="1" si="64"/>
        <v>0</v>
      </c>
      <c r="L55" s="4" t="b">
        <f t="shared" ca="1" si="62"/>
        <v>1</v>
      </c>
      <c r="M55" s="140">
        <f t="shared" ca="1" si="2"/>
        <v>5</v>
      </c>
      <c r="N55" s="4" t="b">
        <f t="shared" ca="1" si="65"/>
        <v>1</v>
      </c>
      <c r="O55" s="140">
        <f t="shared" ca="1" si="3"/>
        <v>3</v>
      </c>
      <c r="P55" s="4" t="b">
        <f t="shared" ca="1" si="66"/>
        <v>0</v>
      </c>
      <c r="Q55" s="140">
        <f t="shared" ca="1" si="117"/>
        <v>0</v>
      </c>
      <c r="R55" s="4" t="str">
        <f t="shared" ca="1" si="67"/>
        <v>UserId/Password</v>
      </c>
      <c r="S55" s="140">
        <f t="shared" ca="1" si="118"/>
        <v>2</v>
      </c>
      <c r="T55" s="4" t="str">
        <f t="shared" ca="1" si="68"/>
        <v>SI</v>
      </c>
      <c r="U55" s="140">
        <f t="shared" ca="1" si="119"/>
        <v>2</v>
      </c>
      <c r="V55" s="4" t="str">
        <f t="shared" ca="1" si="69"/>
        <v>SI</v>
      </c>
      <c r="W55" s="140">
        <f t="shared" ca="1" si="120"/>
        <v>2</v>
      </c>
      <c r="X55" s="4" t="str">
        <f t="shared" ca="1" si="70"/>
        <v>SI</v>
      </c>
      <c r="Y55" s="140">
        <f t="shared" ca="1" si="121"/>
        <v>4</v>
      </c>
      <c r="Z55" s="4" t="str">
        <f t="shared" ca="1" si="71"/>
        <v>Ogni mese</v>
      </c>
      <c r="AA55" s="140">
        <f t="shared" ca="1" si="116"/>
        <v>6</v>
      </c>
      <c r="AB55" s="4" t="str">
        <f t="shared" ca="1" si="72"/>
        <v>SI</v>
      </c>
      <c r="AC55" s="140">
        <f t="shared" ca="1" si="122"/>
        <v>10</v>
      </c>
      <c r="AD55" s="4" t="str">
        <f t="shared" ca="1" si="73"/>
        <v>Non esistono postazioni mobili o impiego di supporti dati rimuovibili</v>
      </c>
      <c r="AE55" s="140">
        <f t="shared" ca="1" si="123"/>
        <v>6</v>
      </c>
      <c r="AF55" s="4" t="str">
        <f t="shared" ca="1" si="74"/>
        <v>SI</v>
      </c>
      <c r="AG55" s="140">
        <f t="shared" ca="1" si="124"/>
        <v>6</v>
      </c>
      <c r="AH55" s="4" t="str">
        <f t="shared" ca="1" si="75"/>
        <v>SI</v>
      </c>
      <c r="AI55" s="140">
        <f t="shared" ca="1" si="125"/>
        <v>4</v>
      </c>
      <c r="AJ55" s="4" t="str">
        <f t="shared" ca="1" si="76"/>
        <v>SI</v>
      </c>
      <c r="AK55" s="140">
        <f t="shared" ca="1" si="126"/>
        <v>10</v>
      </c>
      <c r="AL55" s="203" t="str">
        <f t="shared" ca="1" si="15"/>
        <v>ok</v>
      </c>
      <c r="AM55" s="4" t="str">
        <f t="shared" ca="1" si="77"/>
        <v>SI</v>
      </c>
      <c r="AN55" s="140">
        <f t="shared" ca="1" si="16"/>
        <v>10</v>
      </c>
      <c r="AO55" s="4" t="str">
        <f t="shared" ca="1" si="77"/>
        <v>SI</v>
      </c>
      <c r="AP55" s="140">
        <f t="shared" ca="1" si="17"/>
        <v>10</v>
      </c>
      <c r="AQ55" s="4" t="str">
        <f t="shared" ca="1" si="77"/>
        <v>SI</v>
      </c>
      <c r="AR55" s="140">
        <f t="shared" ca="1" si="18"/>
        <v>10</v>
      </c>
      <c r="AS55" s="4" t="b">
        <f t="shared" ca="1" si="77"/>
        <v>1</v>
      </c>
      <c r="AT55" s="140">
        <f t="shared" ca="1" si="19"/>
        <v>5</v>
      </c>
      <c r="AU55" s="4" t="b">
        <f t="shared" ca="1" si="77"/>
        <v>0</v>
      </c>
      <c r="AV55" s="140">
        <f t="shared" ca="1" si="20"/>
        <v>0</v>
      </c>
      <c r="AW55" s="4" t="b">
        <f t="shared" ca="1" si="78"/>
        <v>0</v>
      </c>
      <c r="AX55" s="140">
        <f t="shared" ca="1" si="21"/>
        <v>0</v>
      </c>
      <c r="AY55" s="4" t="str">
        <f t="shared" ca="1" si="79"/>
        <v>--</v>
      </c>
      <c r="AZ55" s="140">
        <f t="shared" ca="1" si="22"/>
        <v>0</v>
      </c>
      <c r="BA55" s="4" t="str">
        <f t="shared" ca="1" si="80"/>
        <v>Nessuno</v>
      </c>
      <c r="BB55" s="140">
        <f t="shared" ca="1" si="23"/>
        <v>0</v>
      </c>
      <c r="BC55" s="4" t="str">
        <f t="shared" ca="1" si="81"/>
        <v>SI</v>
      </c>
      <c r="BD55" s="140">
        <f t="shared" ca="1" si="24"/>
        <v>0</v>
      </c>
      <c r="BE55" s="4" t="str">
        <f t="shared" ca="1" si="82"/>
        <v>Accesso remoto mediante  VPN</v>
      </c>
      <c r="BF55" s="140">
        <f t="shared" ca="1" si="25"/>
        <v>10</v>
      </c>
      <c r="BG55" s="4" t="str">
        <f t="shared" ca="1" si="83"/>
        <v>SI</v>
      </c>
      <c r="BH55" s="140">
        <f t="shared" ca="1" si="26"/>
        <v>6</v>
      </c>
      <c r="BI55" s="4" t="str">
        <f t="shared" ca="1" si="84"/>
        <v>SI</v>
      </c>
      <c r="BJ55" s="140">
        <f t="shared" ca="1" si="27"/>
        <v>4</v>
      </c>
      <c r="BK55" s="4" t="str">
        <f t="shared" ca="1" si="85"/>
        <v>SI</v>
      </c>
      <c r="BL55" s="140">
        <f t="shared" ca="1" si="28"/>
        <v>10</v>
      </c>
      <c r="BM55" s="4" t="str">
        <f t="shared" ca="1" si="86"/>
        <v>Sì, centralizzato</v>
      </c>
      <c r="BN55" s="140">
        <f t="shared" ca="1" si="29"/>
        <v>10</v>
      </c>
      <c r="BO55" s="203" t="str">
        <f t="shared" ca="1" si="87"/>
        <v>ok</v>
      </c>
      <c r="BP55" s="4" t="str">
        <f t="shared" ca="1" si="88"/>
        <v>SI</v>
      </c>
      <c r="BQ55" s="140">
        <f t="shared" ca="1" si="30"/>
        <v>10</v>
      </c>
      <c r="BR55" s="4" t="str">
        <f t="shared" ca="1" si="88"/>
        <v>Sì, solo per le applicazioni più importanti</v>
      </c>
      <c r="BS55" s="140">
        <f t="shared" ca="1" si="31"/>
        <v>6</v>
      </c>
      <c r="BT55" s="4" t="str">
        <f t="shared" ca="1" si="88"/>
        <v>Sì, solo per le applicazioni più importanti</v>
      </c>
      <c r="BU55" s="140">
        <f t="shared" ca="1" si="32"/>
        <v>6</v>
      </c>
      <c r="BV55" s="4" t="str">
        <f t="shared" ca="1" si="88"/>
        <v>SI</v>
      </c>
      <c r="BW55" s="140">
        <f t="shared" ca="1" si="33"/>
        <v>10</v>
      </c>
      <c r="BX55" s="4" t="str">
        <f t="shared" ca="1" si="88"/>
        <v>NO</v>
      </c>
      <c r="BY55" s="140">
        <f t="shared" ca="1" si="34"/>
        <v>0</v>
      </c>
      <c r="BZ55" s="4" t="str">
        <f t="shared" ca="1" si="89"/>
        <v>NO</v>
      </c>
      <c r="CA55" s="140">
        <f t="shared" ca="1" si="35"/>
        <v>0</v>
      </c>
      <c r="CB55" s="4" t="str">
        <f t="shared" ca="1" si="90"/>
        <v>SI</v>
      </c>
      <c r="CC55" s="140">
        <f t="shared" ca="1" si="36"/>
        <v>10</v>
      </c>
      <c r="CD55" s="4" t="str">
        <f t="shared" ca="1" si="91"/>
        <v>SI</v>
      </c>
      <c r="CE55" s="140">
        <f t="shared" ca="1" si="37"/>
        <v>10</v>
      </c>
      <c r="CF55" s="4" t="str">
        <f t="shared" ca="1" si="92"/>
        <v>NO</v>
      </c>
      <c r="CG55" s="140">
        <f t="shared" ca="1" si="38"/>
        <v>10</v>
      </c>
      <c r="CH55" s="4" t="str">
        <f t="shared" ca="1" si="93"/>
        <v>Rilevate &lt; 10</v>
      </c>
      <c r="CI55" s="140">
        <f t="shared" ca="1" si="39"/>
        <v>2</v>
      </c>
      <c r="CJ55" s="4" t="b">
        <f t="shared" ca="1" si="94"/>
        <v>0</v>
      </c>
      <c r="CK55" s="140">
        <f t="shared" ca="1" si="40"/>
        <v>0</v>
      </c>
      <c r="CL55" s="4" t="b">
        <f t="shared" ca="1" si="95"/>
        <v>0</v>
      </c>
      <c r="CM55" s="140">
        <f t="shared" ca="1" si="41"/>
        <v>0</v>
      </c>
      <c r="CN55" s="4" t="b">
        <f t="shared" ca="1" si="96"/>
        <v>0</v>
      </c>
      <c r="CO55" s="140">
        <f t="shared" ca="1" si="42"/>
        <v>0</v>
      </c>
      <c r="CP55" s="4" t="b">
        <f t="shared" ca="1" si="97"/>
        <v>0</v>
      </c>
      <c r="CQ55" s="140">
        <f t="shared" ca="1" si="43"/>
        <v>0</v>
      </c>
      <c r="CR55" s="203" t="str">
        <f t="shared" ca="1" si="98"/>
        <v>ok</v>
      </c>
      <c r="CS55" s="4" t="str">
        <f t="shared" ca="1" si="99"/>
        <v>SI</v>
      </c>
      <c r="CT55" s="140">
        <f t="shared" ca="1" si="44"/>
        <v>10</v>
      </c>
      <c r="CU55" s="4" t="str">
        <f t="shared" ca="1" si="99"/>
        <v>SI</v>
      </c>
      <c r="CV55" s="140">
        <f t="shared" ca="1" si="45"/>
        <v>10</v>
      </c>
      <c r="CW55" s="4" t="str">
        <f t="shared" ca="1" si="99"/>
        <v>Sì, alcuni</v>
      </c>
      <c r="CX55" s="140">
        <f t="shared" ca="1" si="46"/>
        <v>6</v>
      </c>
      <c r="CY55" s="4" t="str">
        <f t="shared" ca="1" si="99"/>
        <v>NO</v>
      </c>
      <c r="CZ55" s="140">
        <f t="shared" ca="1" si="47"/>
        <v>0</v>
      </c>
      <c r="DA55" s="4" t="str">
        <f t="shared" ca="1" si="99"/>
        <v>SI</v>
      </c>
      <c r="DB55" s="140">
        <f t="shared" ca="1" si="48"/>
        <v>10</v>
      </c>
      <c r="DC55" s="4" t="str">
        <f t="shared" ca="1" si="100"/>
        <v>SI</v>
      </c>
      <c r="DD55" s="140">
        <f t="shared" ca="1" si="49"/>
        <v>10</v>
      </c>
      <c r="DE55" s="4" t="str">
        <f t="shared" ca="1" si="101"/>
        <v>SI</v>
      </c>
      <c r="DF55" s="140">
        <f t="shared" ca="1" si="50"/>
        <v>10</v>
      </c>
      <c r="DG55" s="4" t="str">
        <f t="shared" ca="1" si="102"/>
        <v>NO</v>
      </c>
      <c r="DH55" s="140">
        <f t="shared" ca="1" si="51"/>
        <v>0</v>
      </c>
      <c r="DI55" s="4" t="str">
        <f t="shared" ca="1" si="103"/>
        <v>Sì</v>
      </c>
      <c r="DJ55" s="140">
        <f t="shared" ca="1" si="52"/>
        <v>4</v>
      </c>
      <c r="DK55" s="4" t="str">
        <f t="shared" ca="1" si="104"/>
        <v>Solo personale interno</v>
      </c>
      <c r="DL55" s="140">
        <f t="shared" ca="1" si="53"/>
        <v>10</v>
      </c>
      <c r="DM55" s="4" t="str">
        <f t="shared" ca="1" si="105"/>
        <v>Non previsto audit</v>
      </c>
      <c r="DN55" s="140">
        <f t="shared" ca="1" si="54"/>
        <v>0</v>
      </c>
      <c r="DO55" s="4" t="str">
        <f t="shared" ca="1" si="106"/>
        <v>--</v>
      </c>
      <c r="DP55" s="140">
        <f t="shared" ca="1" si="55"/>
        <v>0</v>
      </c>
      <c r="DQ55" s="4" t="str">
        <f t="shared" ca="1" si="107"/>
        <v>NO</v>
      </c>
      <c r="DR55" s="140">
        <f t="shared" ca="1" si="56"/>
        <v>0</v>
      </c>
      <c r="DS55" s="80" t="str">
        <f t="shared" ca="1" si="108"/>
        <v>--</v>
      </c>
      <c r="DT55" s="140">
        <f t="shared" ca="1" si="57"/>
        <v>0</v>
      </c>
      <c r="DU55" s="4" t="str">
        <f t="shared" ca="1" si="109"/>
        <v>Sì, con copertura analisi rischi parziale</v>
      </c>
      <c r="DV55" s="140">
        <f t="shared" ca="1" si="114"/>
        <v>8</v>
      </c>
      <c r="DW55" s="4" t="str">
        <f t="shared" ca="1" si="110"/>
        <v>SI</v>
      </c>
      <c r="DX55" s="140">
        <f t="shared" ca="1" si="58"/>
        <v>10</v>
      </c>
      <c r="DY55" s="4" t="str">
        <f t="shared" ca="1" si="111"/>
        <v>NO</v>
      </c>
      <c r="DZ55" s="140">
        <f t="shared" ca="1" si="59"/>
        <v>0</v>
      </c>
      <c r="EA55" s="80" t="str">
        <f t="shared" ca="1" si="112"/>
        <v>Inferiore al 10 %</v>
      </c>
      <c r="EB55" s="140">
        <f t="shared" ca="1" si="60"/>
        <v>2</v>
      </c>
      <c r="EC55" s="4">
        <f t="shared" ca="1" si="127"/>
        <v>317</v>
      </c>
    </row>
    <row r="56" spans="1:133">
      <c r="A56" s="363" t="str">
        <f t="shared" ca="1" si="0"/>
        <v xml:space="preserve">Istituto nazionale per il commercio estero                                              </v>
      </c>
      <c r="B56" s="50">
        <f ca="1">VLOOKUP( TRIM(A56), Classificazione!$A$5:$B$71, 2, FALSE)</f>
        <v>45</v>
      </c>
      <c r="C56" s="364">
        <f ca="1">VLOOKUP(TRIM(A56), Classificazione!$A$5:$L$71, 12, FALSE)</f>
        <v>1106</v>
      </c>
      <c r="D56" s="4" t="str">
        <f t="shared" ca="1" si="62"/>
        <v>Parzialmente centralizzato</v>
      </c>
      <c r="E56" s="140">
        <f t="shared" ca="1" si="113"/>
        <v>8</v>
      </c>
      <c r="F56" s="4" t="str">
        <f t="shared" ca="1" si="62"/>
        <v>NO</v>
      </c>
      <c r="G56" s="140">
        <f t="shared" ca="1" si="115"/>
        <v>0</v>
      </c>
      <c r="H56" s="4" t="str">
        <f t="shared" ca="1" si="62"/>
        <v>SI</v>
      </c>
      <c r="I56" s="140">
        <f t="shared" ca="1" si="63"/>
        <v>10</v>
      </c>
      <c r="J56" s="4" t="b">
        <f t="shared" ca="1" si="62"/>
        <v>0</v>
      </c>
      <c r="K56" s="140">
        <f t="shared" ca="1" si="64"/>
        <v>0</v>
      </c>
      <c r="L56" s="4" t="b">
        <f t="shared" ca="1" si="62"/>
        <v>1</v>
      </c>
      <c r="M56" s="140">
        <f t="shared" ca="1" si="2"/>
        <v>5</v>
      </c>
      <c r="N56" s="4" t="b">
        <f t="shared" ca="1" si="65"/>
        <v>1</v>
      </c>
      <c r="O56" s="140">
        <f t="shared" ca="1" si="3"/>
        <v>3</v>
      </c>
      <c r="P56" s="4" t="b">
        <f t="shared" ca="1" si="66"/>
        <v>0</v>
      </c>
      <c r="Q56" s="140">
        <f t="shared" ca="1" si="117"/>
        <v>0</v>
      </c>
      <c r="R56" s="4" t="str">
        <f t="shared" ca="1" si="67"/>
        <v>UserId/Password</v>
      </c>
      <c r="S56" s="140">
        <f t="shared" ca="1" si="118"/>
        <v>2</v>
      </c>
      <c r="T56" s="4" t="str">
        <f t="shared" ca="1" si="68"/>
        <v>SI</v>
      </c>
      <c r="U56" s="140">
        <f t="shared" ca="1" si="119"/>
        <v>2</v>
      </c>
      <c r="V56" s="4" t="str">
        <f t="shared" ca="1" si="69"/>
        <v>SI</v>
      </c>
      <c r="W56" s="140">
        <f t="shared" ca="1" si="120"/>
        <v>2</v>
      </c>
      <c r="X56" s="4" t="str">
        <f t="shared" ca="1" si="70"/>
        <v>SI</v>
      </c>
      <c r="Y56" s="140">
        <f t="shared" ca="1" si="121"/>
        <v>4</v>
      </c>
      <c r="Z56" s="4" t="str">
        <f t="shared" ca="1" si="71"/>
        <v>Automaticamente</v>
      </c>
      <c r="AA56" s="140">
        <f t="shared" ca="1" si="116"/>
        <v>10</v>
      </c>
      <c r="AB56" s="4" t="str">
        <f t="shared" ca="1" si="72"/>
        <v>NO</v>
      </c>
      <c r="AC56" s="140">
        <f t="shared" ca="1" si="122"/>
        <v>0</v>
      </c>
      <c r="AD56" s="4" t="str">
        <f t="shared" ca="1" si="73"/>
        <v>Esistono postazioni mobili o supporti dati rimuovibili senza sistemi di prevenzione degli accessi</v>
      </c>
      <c r="AE56" s="140">
        <f t="shared" ca="1" si="123"/>
        <v>0</v>
      </c>
      <c r="AF56" s="4" t="str">
        <f t="shared" ca="1" si="74"/>
        <v>SI</v>
      </c>
      <c r="AG56" s="140">
        <f t="shared" ca="1" si="124"/>
        <v>6</v>
      </c>
      <c r="AH56" s="4" t="str">
        <f t="shared" ca="1" si="75"/>
        <v>SI</v>
      </c>
      <c r="AI56" s="140">
        <f t="shared" ca="1" si="125"/>
        <v>4</v>
      </c>
      <c r="AJ56" s="4" t="str">
        <f t="shared" ca="1" si="76"/>
        <v>NO</v>
      </c>
      <c r="AK56" s="140">
        <f t="shared" ca="1" si="126"/>
        <v>0</v>
      </c>
      <c r="AL56" s="203" t="str">
        <f t="shared" ca="1" si="15"/>
        <v>ok</v>
      </c>
      <c r="AM56" s="4" t="str">
        <f t="shared" ca="1" si="77"/>
        <v>SI</v>
      </c>
      <c r="AN56" s="140">
        <f t="shared" ca="1" si="16"/>
        <v>10</v>
      </c>
      <c r="AO56" s="4" t="str">
        <f t="shared" ca="1" si="77"/>
        <v>NO</v>
      </c>
      <c r="AP56" s="140">
        <f t="shared" ca="1" si="17"/>
        <v>0</v>
      </c>
      <c r="AQ56" s="4" t="str">
        <f t="shared" ca="1" si="77"/>
        <v>--</v>
      </c>
      <c r="AR56" s="140">
        <f t="shared" ca="1" si="18"/>
        <v>0</v>
      </c>
      <c r="AS56" s="4" t="b">
        <f t="shared" ca="1" si="77"/>
        <v>1</v>
      </c>
      <c r="AT56" s="140">
        <f t="shared" ca="1" si="19"/>
        <v>5</v>
      </c>
      <c r="AU56" s="4" t="b">
        <f t="shared" ca="1" si="77"/>
        <v>1</v>
      </c>
      <c r="AV56" s="140">
        <f t="shared" ca="1" si="20"/>
        <v>5</v>
      </c>
      <c r="AW56" s="4" t="b">
        <f t="shared" ca="1" si="78"/>
        <v>0</v>
      </c>
      <c r="AX56" s="140">
        <f t="shared" ca="1" si="21"/>
        <v>0</v>
      </c>
      <c r="AY56" s="4" t="str">
        <f t="shared" ca="1" si="79"/>
        <v>SI</v>
      </c>
      <c r="AZ56" s="140">
        <f t="shared" ca="1" si="22"/>
        <v>0</v>
      </c>
      <c r="BA56" s="4" t="str">
        <f t="shared" ca="1" si="80"/>
        <v>WPA</v>
      </c>
      <c r="BB56" s="140">
        <f t="shared" ca="1" si="23"/>
        <v>10</v>
      </c>
      <c r="BC56" s="4" t="str">
        <f t="shared" ca="1" si="81"/>
        <v>SI</v>
      </c>
      <c r="BD56" s="140">
        <f t="shared" ca="1" si="24"/>
        <v>0</v>
      </c>
      <c r="BE56" s="4" t="str">
        <f t="shared" ca="1" si="82"/>
        <v>Accesso remoto mediante  VPN</v>
      </c>
      <c r="BF56" s="140">
        <f t="shared" ca="1" si="25"/>
        <v>10</v>
      </c>
      <c r="BG56" s="4" t="str">
        <f t="shared" ca="1" si="83"/>
        <v>SI</v>
      </c>
      <c r="BH56" s="140">
        <f t="shared" ca="1" si="26"/>
        <v>6</v>
      </c>
      <c r="BI56" s="4" t="str">
        <f t="shared" ca="1" si="84"/>
        <v>SI</v>
      </c>
      <c r="BJ56" s="140">
        <f t="shared" ca="1" si="27"/>
        <v>4</v>
      </c>
      <c r="BK56" s="4" t="str">
        <f t="shared" ca="1" si="85"/>
        <v>SI</v>
      </c>
      <c r="BL56" s="140">
        <f t="shared" ca="1" si="28"/>
        <v>10</v>
      </c>
      <c r="BM56" s="4" t="str">
        <f t="shared" ca="1" si="86"/>
        <v>Sì, non centralizzato</v>
      </c>
      <c r="BN56" s="140">
        <f t="shared" ca="1" si="29"/>
        <v>6</v>
      </c>
      <c r="BO56" s="203" t="str">
        <f t="shared" ca="1" si="87"/>
        <v>ok</v>
      </c>
      <c r="BP56" s="4" t="str">
        <f t="shared" ca="1" si="88"/>
        <v>NO</v>
      </c>
      <c r="BQ56" s="140">
        <f t="shared" ca="1" si="30"/>
        <v>0</v>
      </c>
      <c r="BR56" s="4" t="str">
        <f t="shared" ca="1" si="88"/>
        <v>Sì, solo per le applicazioni più importanti</v>
      </c>
      <c r="BS56" s="140">
        <f t="shared" ca="1" si="31"/>
        <v>6</v>
      </c>
      <c r="BT56" s="4" t="str">
        <f t="shared" ca="1" si="88"/>
        <v>No</v>
      </c>
      <c r="BU56" s="140">
        <f t="shared" ca="1" si="32"/>
        <v>0</v>
      </c>
      <c r="BV56" s="4" t="str">
        <f t="shared" ca="1" si="88"/>
        <v>NO</v>
      </c>
      <c r="BW56" s="140">
        <f t="shared" ca="1" si="33"/>
        <v>0</v>
      </c>
      <c r="BX56" s="4" t="str">
        <f t="shared" ca="1" si="88"/>
        <v>SI</v>
      </c>
      <c r="BY56" s="140">
        <f t="shared" ca="1" si="34"/>
        <v>10</v>
      </c>
      <c r="BZ56" s="4" t="str">
        <f t="shared" ca="1" si="89"/>
        <v>SI</v>
      </c>
      <c r="CA56" s="140">
        <f t="shared" ca="1" si="35"/>
        <v>10</v>
      </c>
      <c r="CB56" s="4" t="str">
        <f t="shared" ca="1" si="90"/>
        <v>SI</v>
      </c>
      <c r="CC56" s="140">
        <f t="shared" ca="1" si="36"/>
        <v>10</v>
      </c>
      <c r="CD56" s="4" t="str">
        <f t="shared" ca="1" si="91"/>
        <v>SI</v>
      </c>
      <c r="CE56" s="140">
        <f t="shared" ca="1" si="37"/>
        <v>10</v>
      </c>
      <c r="CF56" s="4" t="str">
        <f t="shared" ca="1" si="92"/>
        <v>La procedura è ben documentata</v>
      </c>
      <c r="CG56" s="140">
        <f t="shared" ca="1" si="38"/>
        <v>0</v>
      </c>
      <c r="CH56" s="4" t="str">
        <f t="shared" ca="1" si="93"/>
        <v>Rilevate &lt; 10</v>
      </c>
      <c r="CI56" s="140">
        <f t="shared" ca="1" si="39"/>
        <v>2</v>
      </c>
      <c r="CJ56" s="4" t="b">
        <f t="shared" ca="1" si="94"/>
        <v>0</v>
      </c>
      <c r="CK56" s="140">
        <f t="shared" ca="1" si="40"/>
        <v>0</v>
      </c>
      <c r="CL56" s="4" t="b">
        <f t="shared" ca="1" si="95"/>
        <v>0</v>
      </c>
      <c r="CM56" s="140">
        <f t="shared" ca="1" si="41"/>
        <v>0</v>
      </c>
      <c r="CN56" s="4" t="b">
        <f t="shared" ca="1" si="96"/>
        <v>0</v>
      </c>
      <c r="CO56" s="140">
        <f t="shared" ca="1" si="42"/>
        <v>0</v>
      </c>
      <c r="CP56" s="4" t="b">
        <f t="shared" ca="1" si="97"/>
        <v>1</v>
      </c>
      <c r="CQ56" s="140">
        <f t="shared" ca="1" si="43"/>
        <v>1</v>
      </c>
      <c r="CR56" s="203" t="str">
        <f t="shared" ca="1" si="98"/>
        <v>ok</v>
      </c>
      <c r="CS56" s="4" t="str">
        <f t="shared" ca="1" si="99"/>
        <v>NO</v>
      </c>
      <c r="CT56" s="140">
        <f t="shared" ca="1" si="44"/>
        <v>0</v>
      </c>
      <c r="CU56" s="4" t="str">
        <f t="shared" ca="1" si="99"/>
        <v>NO</v>
      </c>
      <c r="CV56" s="140">
        <f t="shared" ca="1" si="45"/>
        <v>0</v>
      </c>
      <c r="CW56" s="4" t="str">
        <f t="shared" ca="1" si="99"/>
        <v>No</v>
      </c>
      <c r="CX56" s="140">
        <f t="shared" ca="1" si="46"/>
        <v>0</v>
      </c>
      <c r="CY56" s="4" t="str">
        <f t="shared" ca="1" si="99"/>
        <v>NO</v>
      </c>
      <c r="CZ56" s="140">
        <f t="shared" ca="1" si="47"/>
        <v>0</v>
      </c>
      <c r="DA56" s="4" t="str">
        <f t="shared" ca="1" si="99"/>
        <v>NO</v>
      </c>
      <c r="DB56" s="140">
        <f t="shared" ca="1" si="48"/>
        <v>0</v>
      </c>
      <c r="DC56" s="4" t="str">
        <f t="shared" ca="1" si="100"/>
        <v>SI</v>
      </c>
      <c r="DD56" s="140">
        <f t="shared" ca="1" si="49"/>
        <v>10</v>
      </c>
      <c r="DE56" s="4" t="str">
        <f t="shared" ca="1" si="101"/>
        <v>NO</v>
      </c>
      <c r="DF56" s="140">
        <f t="shared" ca="1" si="50"/>
        <v>0</v>
      </c>
      <c r="DG56" s="4" t="str">
        <f t="shared" ca="1" si="102"/>
        <v>SI</v>
      </c>
      <c r="DH56" s="140">
        <f t="shared" ca="1" si="51"/>
        <v>6</v>
      </c>
      <c r="DI56" s="4" t="str">
        <f t="shared" ca="1" si="103"/>
        <v>Sì</v>
      </c>
      <c r="DJ56" s="140">
        <f t="shared" ca="1" si="52"/>
        <v>4</v>
      </c>
      <c r="DK56" s="4" t="str">
        <f t="shared" ca="1" si="104"/>
        <v>Solo personale interno</v>
      </c>
      <c r="DL56" s="140">
        <f t="shared" ca="1" si="53"/>
        <v>10</v>
      </c>
      <c r="DM56" s="4" t="str">
        <f t="shared" ca="1" si="105"/>
        <v>Non previsto audit</v>
      </c>
      <c r="DN56" s="140">
        <f t="shared" ca="1" si="54"/>
        <v>0</v>
      </c>
      <c r="DO56" s="4" t="str">
        <f t="shared" ca="1" si="106"/>
        <v>--</v>
      </c>
      <c r="DP56" s="140">
        <f t="shared" ca="1" si="55"/>
        <v>0</v>
      </c>
      <c r="DQ56" s="4" t="str">
        <f t="shared" ca="1" si="107"/>
        <v>NO</v>
      </c>
      <c r="DR56" s="140">
        <f t="shared" ca="1" si="56"/>
        <v>0</v>
      </c>
      <c r="DS56" s="80" t="str">
        <f t="shared" ca="1" si="108"/>
        <v>--</v>
      </c>
      <c r="DT56" s="140">
        <f t="shared" ca="1" si="57"/>
        <v>0</v>
      </c>
      <c r="DU56" s="4" t="str">
        <f t="shared" ca="1" si="109"/>
        <v>Sì, con copertura analisi rischi minima</v>
      </c>
      <c r="DV56" s="140">
        <f t="shared" ca="1" si="114"/>
        <v>6</v>
      </c>
      <c r="DW56" s="4" t="str">
        <f t="shared" ca="1" si="110"/>
        <v>NO</v>
      </c>
      <c r="DX56" s="140">
        <f t="shared" ca="1" si="58"/>
        <v>0</v>
      </c>
      <c r="DY56" s="4" t="str">
        <f t="shared" ca="1" si="111"/>
        <v>NO</v>
      </c>
      <c r="DZ56" s="140">
        <f t="shared" ca="1" si="59"/>
        <v>0</v>
      </c>
      <c r="EA56" s="80" t="str">
        <f t="shared" ca="1" si="112"/>
        <v>Inferiore al 10 %</v>
      </c>
      <c r="EB56" s="140">
        <f t="shared" ca="1" si="60"/>
        <v>2</v>
      </c>
      <c r="EC56" s="4">
        <f t="shared" ca="1" si="127"/>
        <v>209</v>
      </c>
    </row>
    <row r="57" spans="1:133">
      <c r="A57" s="363" t="str">
        <f t="shared" ca="1" si="0"/>
        <v>Istituto per lo sviluppo della formazione professionale dei lavoratori</v>
      </c>
      <c r="B57" s="50">
        <f ca="1">VLOOKUP( TRIM(A57), Classificazione!$A$5:$B$71, 2, FALSE)</f>
        <v>120</v>
      </c>
      <c r="C57" s="364">
        <f ca="1">VLOOKUP(TRIM(A57), Classificazione!$A$5:$L$71, 12, FALSE)</f>
        <v>619</v>
      </c>
      <c r="D57" s="4" t="str">
        <f t="shared" ca="1" si="62"/>
        <v>Parzialmente centralizzato</v>
      </c>
      <c r="E57" s="140">
        <f t="shared" ca="1" si="113"/>
        <v>8</v>
      </c>
      <c r="F57" s="4" t="str">
        <f t="shared" ca="1" si="62"/>
        <v>NO</v>
      </c>
      <c r="G57" s="140">
        <f t="shared" ca="1" si="115"/>
        <v>0</v>
      </c>
      <c r="H57" s="4" t="str">
        <f t="shared" ca="1" si="62"/>
        <v>SI</v>
      </c>
      <c r="I57" s="140">
        <f t="shared" ca="1" si="63"/>
        <v>10</v>
      </c>
      <c r="J57" s="4" t="b">
        <f t="shared" ca="1" si="62"/>
        <v>0</v>
      </c>
      <c r="K57" s="140">
        <f t="shared" ca="1" si="64"/>
        <v>0</v>
      </c>
      <c r="L57" s="4" t="b">
        <f t="shared" ca="1" si="62"/>
        <v>0</v>
      </c>
      <c r="M57" s="140">
        <f t="shared" ca="1" si="2"/>
        <v>0</v>
      </c>
      <c r="N57" s="4" t="b">
        <f t="shared" ca="1" si="65"/>
        <v>0</v>
      </c>
      <c r="O57" s="140">
        <f t="shared" ca="1" si="3"/>
        <v>0</v>
      </c>
      <c r="P57" s="4" t="b">
        <f t="shared" ca="1" si="66"/>
        <v>0</v>
      </c>
      <c r="Q57" s="140">
        <f t="shared" ca="1" si="117"/>
        <v>0</v>
      </c>
      <c r="R57" s="4" t="str">
        <f t="shared" ca="1" si="67"/>
        <v>UserId/Password</v>
      </c>
      <c r="S57" s="140">
        <f t="shared" ca="1" si="118"/>
        <v>2</v>
      </c>
      <c r="T57" s="4" t="str">
        <f t="shared" ca="1" si="68"/>
        <v>SI</v>
      </c>
      <c r="U57" s="140">
        <f t="shared" ca="1" si="119"/>
        <v>2</v>
      </c>
      <c r="V57" s="4" t="str">
        <f t="shared" ca="1" si="69"/>
        <v>SI</v>
      </c>
      <c r="W57" s="140">
        <f t="shared" ca="1" si="120"/>
        <v>2</v>
      </c>
      <c r="X57" s="4" t="str">
        <f t="shared" ca="1" si="70"/>
        <v>SI</v>
      </c>
      <c r="Y57" s="140">
        <f t="shared" ca="1" si="121"/>
        <v>4</v>
      </c>
      <c r="Z57" s="4" t="str">
        <f t="shared" ca="1" si="71"/>
        <v>Ogni mese</v>
      </c>
      <c r="AA57" s="140">
        <f t="shared" ca="1" si="116"/>
        <v>6</v>
      </c>
      <c r="AB57" s="4" t="str">
        <f t="shared" ca="1" si="72"/>
        <v>NO</v>
      </c>
      <c r="AC57" s="140">
        <f t="shared" ca="1" si="122"/>
        <v>0</v>
      </c>
      <c r="AD57" s="4" t="str">
        <f t="shared" ca="1" si="73"/>
        <v>Non esistono postazioni mobili o impiego di supporti dati rimuovibili</v>
      </c>
      <c r="AE57" s="140">
        <f t="shared" ca="1" si="123"/>
        <v>6</v>
      </c>
      <c r="AF57" s="4" t="str">
        <f t="shared" ca="1" si="74"/>
        <v>SI</v>
      </c>
      <c r="AG57" s="140">
        <f t="shared" ca="1" si="124"/>
        <v>6</v>
      </c>
      <c r="AH57" s="4" t="str">
        <f t="shared" ca="1" si="75"/>
        <v>--</v>
      </c>
      <c r="AI57" s="140">
        <f t="shared" ca="1" si="125"/>
        <v>0</v>
      </c>
      <c r="AJ57" s="4" t="str">
        <f t="shared" ca="1" si="76"/>
        <v>SI</v>
      </c>
      <c r="AK57" s="140">
        <f t="shared" ca="1" si="126"/>
        <v>10</v>
      </c>
      <c r="AL57" s="203" t="str">
        <f t="shared" ca="1" si="15"/>
        <v>ok</v>
      </c>
      <c r="AM57" s="4" t="str">
        <f t="shared" ca="1" si="77"/>
        <v>NO</v>
      </c>
      <c r="AN57" s="140">
        <f t="shared" ca="1" si="16"/>
        <v>0</v>
      </c>
      <c r="AO57" s="4" t="str">
        <f t="shared" ca="1" si="77"/>
        <v>NO</v>
      </c>
      <c r="AP57" s="140">
        <f t="shared" ca="1" si="17"/>
        <v>0</v>
      </c>
      <c r="AQ57" s="4" t="str">
        <f t="shared" ca="1" si="77"/>
        <v>--</v>
      </c>
      <c r="AR57" s="140">
        <f t="shared" ca="1" si="18"/>
        <v>0</v>
      </c>
      <c r="AS57" s="4" t="b">
        <f t="shared" ca="1" si="77"/>
        <v>1</v>
      </c>
      <c r="AT57" s="140">
        <f t="shared" ca="1" si="19"/>
        <v>5</v>
      </c>
      <c r="AU57" s="4" t="b">
        <f t="shared" ca="1" si="77"/>
        <v>0</v>
      </c>
      <c r="AV57" s="140">
        <f t="shared" ca="1" si="20"/>
        <v>0</v>
      </c>
      <c r="AW57" s="4" t="b">
        <f t="shared" ca="1" si="78"/>
        <v>0</v>
      </c>
      <c r="AX57" s="140">
        <f t="shared" ca="1" si="21"/>
        <v>0</v>
      </c>
      <c r="AY57" s="4" t="str">
        <f t="shared" ca="1" si="79"/>
        <v>NO</v>
      </c>
      <c r="AZ57" s="140">
        <f t="shared" ca="1" si="22"/>
        <v>6</v>
      </c>
      <c r="BA57" s="4" t="str">
        <f t="shared" ca="1" si="80"/>
        <v>Nessuno</v>
      </c>
      <c r="BB57" s="140">
        <f t="shared" ca="1" si="23"/>
        <v>0</v>
      </c>
      <c r="BC57" s="4" t="str">
        <f t="shared" ca="1" si="81"/>
        <v>NO</v>
      </c>
      <c r="BD57" s="140">
        <f t="shared" ca="1" si="24"/>
        <v>6</v>
      </c>
      <c r="BE57" s="4" t="str">
        <f t="shared" ca="1" si="82"/>
        <v>--</v>
      </c>
      <c r="BF57" s="140">
        <f t="shared" ca="1" si="25"/>
        <v>0</v>
      </c>
      <c r="BG57" s="4" t="str">
        <f t="shared" ca="1" si="83"/>
        <v>SI</v>
      </c>
      <c r="BH57" s="140">
        <f t="shared" ca="1" si="26"/>
        <v>6</v>
      </c>
      <c r="BI57" s="4" t="str">
        <f t="shared" ca="1" si="84"/>
        <v>--</v>
      </c>
      <c r="BJ57" s="140">
        <f t="shared" ca="1" si="27"/>
        <v>0</v>
      </c>
      <c r="BK57" s="4" t="str">
        <f t="shared" ca="1" si="85"/>
        <v>--</v>
      </c>
      <c r="BL57" s="140">
        <f t="shared" ca="1" si="28"/>
        <v>0</v>
      </c>
      <c r="BM57" s="4" t="str">
        <f t="shared" ca="1" si="86"/>
        <v>Sì, centralizzato</v>
      </c>
      <c r="BN57" s="140">
        <f t="shared" ca="1" si="29"/>
        <v>10</v>
      </c>
      <c r="BO57" s="203" t="str">
        <f t="shared" ca="1" si="87"/>
        <v>ok</v>
      </c>
      <c r="BP57" s="4" t="str">
        <f t="shared" ca="1" si="88"/>
        <v>NO</v>
      </c>
      <c r="BQ57" s="140">
        <f t="shared" ca="1" si="30"/>
        <v>0</v>
      </c>
      <c r="BR57" s="4" t="str">
        <f t="shared" ca="1" si="88"/>
        <v>Sì, senza specificazione della copertura</v>
      </c>
      <c r="BS57" s="140">
        <f t="shared" ca="1" si="31"/>
        <v>10</v>
      </c>
      <c r="BT57" s="4" t="str">
        <f t="shared" ca="1" si="88"/>
        <v>Sì, solo per le applicazioni più importanti</v>
      </c>
      <c r="BU57" s="140">
        <f t="shared" ca="1" si="32"/>
        <v>6</v>
      </c>
      <c r="BV57" s="4" t="str">
        <f t="shared" ca="1" si="88"/>
        <v>SI</v>
      </c>
      <c r="BW57" s="140">
        <f t="shared" ca="1" si="33"/>
        <v>10</v>
      </c>
      <c r="BX57" s="4" t="str">
        <f t="shared" ca="1" si="88"/>
        <v>SI</v>
      </c>
      <c r="BY57" s="140">
        <f t="shared" ca="1" si="34"/>
        <v>10</v>
      </c>
      <c r="BZ57" s="4" t="str">
        <f t="shared" ca="1" si="89"/>
        <v>SI</v>
      </c>
      <c r="CA57" s="140">
        <f t="shared" ca="1" si="35"/>
        <v>10</v>
      </c>
      <c r="CB57" s="4" t="str">
        <f t="shared" ca="1" si="90"/>
        <v>SI</v>
      </c>
      <c r="CC57" s="140">
        <f t="shared" ca="1" si="36"/>
        <v>10</v>
      </c>
      <c r="CD57" s="4" t="str">
        <f t="shared" ca="1" si="91"/>
        <v>SI</v>
      </c>
      <c r="CE57" s="140">
        <f t="shared" ca="1" si="37"/>
        <v>10</v>
      </c>
      <c r="CF57" s="4" t="str">
        <f t="shared" ca="1" si="92"/>
        <v>NO</v>
      </c>
      <c r="CG57" s="140">
        <f t="shared" ca="1" si="38"/>
        <v>10</v>
      </c>
      <c r="CH57" s="4" t="str">
        <f t="shared" ca="1" si="93"/>
        <v>Rilevate &lt; 10</v>
      </c>
      <c r="CI57" s="140">
        <f t="shared" ca="1" si="39"/>
        <v>2</v>
      </c>
      <c r="CJ57" s="4" t="b">
        <f t="shared" ca="1" si="94"/>
        <v>0</v>
      </c>
      <c r="CK57" s="140">
        <f t="shared" ca="1" si="40"/>
        <v>0</v>
      </c>
      <c r="CL57" s="4" t="b">
        <f t="shared" ca="1" si="95"/>
        <v>0</v>
      </c>
      <c r="CM57" s="140">
        <f t="shared" ca="1" si="41"/>
        <v>0</v>
      </c>
      <c r="CN57" s="4" t="b">
        <f t="shared" ca="1" si="96"/>
        <v>0</v>
      </c>
      <c r="CO57" s="140">
        <f t="shared" ca="1" si="42"/>
        <v>0</v>
      </c>
      <c r="CP57" s="4" t="b">
        <f t="shared" ca="1" si="97"/>
        <v>0</v>
      </c>
      <c r="CQ57" s="140">
        <f t="shared" ca="1" si="43"/>
        <v>0</v>
      </c>
      <c r="CR57" s="203" t="str">
        <f t="shared" ca="1" si="98"/>
        <v>ok</v>
      </c>
      <c r="CS57" s="4" t="str">
        <f t="shared" ca="1" si="99"/>
        <v>NO</v>
      </c>
      <c r="CT57" s="140">
        <f t="shared" ca="1" si="44"/>
        <v>0</v>
      </c>
      <c r="CU57" s="4" t="str">
        <f t="shared" ca="1" si="99"/>
        <v>SI</v>
      </c>
      <c r="CV57" s="140">
        <f t="shared" ca="1" si="45"/>
        <v>10</v>
      </c>
      <c r="CW57" s="4" t="str">
        <f t="shared" ca="1" si="99"/>
        <v>Sì, tutti</v>
      </c>
      <c r="CX57" s="140">
        <f t="shared" ca="1" si="46"/>
        <v>10</v>
      </c>
      <c r="CY57" s="4" t="str">
        <f t="shared" ca="1" si="99"/>
        <v>SI</v>
      </c>
      <c r="CZ57" s="140">
        <f t="shared" ca="1" si="47"/>
        <v>10</v>
      </c>
      <c r="DA57" s="4" t="str">
        <f t="shared" ca="1" si="99"/>
        <v>SI</v>
      </c>
      <c r="DB57" s="140">
        <f t="shared" ca="1" si="48"/>
        <v>10</v>
      </c>
      <c r="DC57" s="4" t="str">
        <f t="shared" ca="1" si="100"/>
        <v>SI</v>
      </c>
      <c r="DD57" s="140">
        <f t="shared" ca="1" si="49"/>
        <v>10</v>
      </c>
      <c r="DE57" s="4" t="str">
        <f t="shared" ca="1" si="101"/>
        <v>NO</v>
      </c>
      <c r="DF57" s="140">
        <f t="shared" ca="1" si="50"/>
        <v>0</v>
      </c>
      <c r="DG57" s="4" t="str">
        <f t="shared" ca="1" si="102"/>
        <v>SI</v>
      </c>
      <c r="DH57" s="140">
        <f t="shared" ca="1" si="51"/>
        <v>6</v>
      </c>
      <c r="DI57" s="4" t="str">
        <f t="shared" ca="1" si="103"/>
        <v>No</v>
      </c>
      <c r="DJ57" s="140">
        <f t="shared" ca="1" si="52"/>
        <v>0</v>
      </c>
      <c r="DK57" s="4" t="str">
        <f t="shared" ca="1" si="104"/>
        <v>Personale misto</v>
      </c>
      <c r="DL57" s="140">
        <f t="shared" ca="1" si="53"/>
        <v>6</v>
      </c>
      <c r="DM57" s="4" t="str">
        <f t="shared" ca="1" si="105"/>
        <v>Non previsto audit</v>
      </c>
      <c r="DN57" s="140">
        <f t="shared" ca="1" si="54"/>
        <v>0</v>
      </c>
      <c r="DO57" s="4" t="str">
        <f t="shared" ca="1" si="106"/>
        <v>--</v>
      </c>
      <c r="DP57" s="140">
        <f t="shared" ca="1" si="55"/>
        <v>0</v>
      </c>
      <c r="DQ57" s="4" t="str">
        <f t="shared" ca="1" si="107"/>
        <v>NO</v>
      </c>
      <c r="DR57" s="140">
        <f t="shared" ca="1" si="56"/>
        <v>0</v>
      </c>
      <c r="DS57" s="80" t="str">
        <f t="shared" ca="1" si="108"/>
        <v>--</v>
      </c>
      <c r="DT57" s="140">
        <f t="shared" ca="1" si="57"/>
        <v>0</v>
      </c>
      <c r="DU57" s="4" t="str">
        <f t="shared" ca="1" si="109"/>
        <v>Sì, con copertura analisi rischi parziale</v>
      </c>
      <c r="DV57" s="140">
        <f t="shared" ca="1" si="114"/>
        <v>8</v>
      </c>
      <c r="DW57" s="4" t="str">
        <f t="shared" ca="1" si="110"/>
        <v>NO</v>
      </c>
      <c r="DX57" s="140">
        <f t="shared" ca="1" si="58"/>
        <v>0</v>
      </c>
      <c r="DY57" s="4" t="str">
        <f t="shared" ca="1" si="111"/>
        <v>NO</v>
      </c>
      <c r="DZ57" s="140">
        <f t="shared" ca="1" si="59"/>
        <v>0</v>
      </c>
      <c r="EA57" s="80" t="str">
        <f t="shared" ca="1" si="112"/>
        <v>Inferiore al 10 %</v>
      </c>
      <c r="EB57" s="140">
        <f t="shared" ca="1" si="60"/>
        <v>2</v>
      </c>
      <c r="EC57" s="4">
        <f t="shared" ca="1" si="127"/>
        <v>239</v>
      </c>
    </row>
    <row r="58" spans="1:133">
      <c r="A58" s="363" t="str">
        <f t="shared" ca="1" si="0"/>
        <v xml:space="preserve">Istituto nazionale per l'assicurazione infortuni sul lavoro                </v>
      </c>
      <c r="B58" s="50">
        <f ca="1">VLOOKUP( TRIM(A58), Classificazione!$A$5:$B$71, 2, FALSE)</f>
        <v>46</v>
      </c>
      <c r="C58" s="364">
        <f ca="1">VLOOKUP(TRIM(A58), Classificazione!$A$5:$L$71, 12, FALSE)</f>
        <v>9993</v>
      </c>
      <c r="D58" s="4" t="str">
        <f t="shared" ca="1" si="62"/>
        <v>Parzialmente centralizzato</v>
      </c>
      <c r="E58" s="140">
        <f t="shared" ca="1" si="113"/>
        <v>8</v>
      </c>
      <c r="F58" s="4" t="str">
        <f t="shared" ca="1" si="62"/>
        <v>SI</v>
      </c>
      <c r="G58" s="140">
        <f t="shared" ca="1" si="115"/>
        <v>10</v>
      </c>
      <c r="H58" s="4" t="str">
        <f t="shared" ca="1" si="62"/>
        <v>SI</v>
      </c>
      <c r="I58" s="140">
        <f t="shared" ca="1" si="63"/>
        <v>10</v>
      </c>
      <c r="J58" s="4" t="b">
        <f t="shared" ca="1" si="62"/>
        <v>1</v>
      </c>
      <c r="K58" s="140">
        <f t="shared" ca="1" si="64"/>
        <v>5</v>
      </c>
      <c r="L58" s="4" t="b">
        <f t="shared" ca="1" si="62"/>
        <v>1</v>
      </c>
      <c r="M58" s="140">
        <f t="shared" ca="1" si="2"/>
        <v>5</v>
      </c>
      <c r="N58" s="4" t="b">
        <f t="shared" ca="1" si="65"/>
        <v>1</v>
      </c>
      <c r="O58" s="140">
        <f t="shared" ca="1" si="3"/>
        <v>3</v>
      </c>
      <c r="P58" s="4" t="b">
        <f t="shared" ca="1" si="66"/>
        <v>0</v>
      </c>
      <c r="Q58" s="140">
        <f t="shared" ca="1" si="117"/>
        <v>0</v>
      </c>
      <c r="R58" s="4" t="str">
        <f t="shared" ca="1" si="67"/>
        <v>UserId/Password</v>
      </c>
      <c r="S58" s="140">
        <f t="shared" ca="1" si="118"/>
        <v>2</v>
      </c>
      <c r="T58" s="4" t="str">
        <f t="shared" ca="1" si="68"/>
        <v>SI</v>
      </c>
      <c r="U58" s="140">
        <f t="shared" ca="1" si="119"/>
        <v>2</v>
      </c>
      <c r="V58" s="4" t="str">
        <f t="shared" ca="1" si="69"/>
        <v>SI</v>
      </c>
      <c r="W58" s="140">
        <f t="shared" ca="1" si="120"/>
        <v>2</v>
      </c>
      <c r="X58" s="4" t="str">
        <f t="shared" ca="1" si="70"/>
        <v>SI</v>
      </c>
      <c r="Y58" s="140">
        <f t="shared" ca="1" si="121"/>
        <v>4</v>
      </c>
      <c r="Z58" s="4" t="str">
        <f t="shared" ca="1" si="71"/>
        <v>Ogni settimana</v>
      </c>
      <c r="AA58" s="140">
        <f t="shared" ca="1" si="116"/>
        <v>8</v>
      </c>
      <c r="AB58" s="4" t="str">
        <f t="shared" ca="1" si="72"/>
        <v>SI</v>
      </c>
      <c r="AC58" s="140">
        <f t="shared" ca="1" si="122"/>
        <v>10</v>
      </c>
      <c r="AD58" s="4" t="str">
        <f t="shared" ca="1" si="73"/>
        <v>Esistono postazioni mobili o supporti dati rimuovibili senza sistemi di prevenzione degli accessi</v>
      </c>
      <c r="AE58" s="140">
        <f t="shared" ca="1" si="123"/>
        <v>0</v>
      </c>
      <c r="AF58" s="4" t="str">
        <f t="shared" ca="1" si="74"/>
        <v>SI</v>
      </c>
      <c r="AG58" s="140">
        <f t="shared" ca="1" si="124"/>
        <v>6</v>
      </c>
      <c r="AH58" s="4" t="str">
        <f t="shared" ca="1" si="75"/>
        <v>SI</v>
      </c>
      <c r="AI58" s="140">
        <f t="shared" ca="1" si="125"/>
        <v>4</v>
      </c>
      <c r="AJ58" s="4" t="str">
        <f t="shared" ca="1" si="76"/>
        <v>SI</v>
      </c>
      <c r="AK58" s="140">
        <f t="shared" ca="1" si="126"/>
        <v>10</v>
      </c>
      <c r="AL58" s="203" t="str">
        <f t="shared" ca="1" si="15"/>
        <v>ok</v>
      </c>
      <c r="AM58" s="4" t="str">
        <f t="shared" ca="1" si="77"/>
        <v>SI</v>
      </c>
      <c r="AN58" s="140">
        <f t="shared" ca="1" si="16"/>
        <v>10</v>
      </c>
      <c r="AO58" s="4" t="str">
        <f t="shared" ca="1" si="77"/>
        <v>SI</v>
      </c>
      <c r="AP58" s="140">
        <f t="shared" ca="1" si="17"/>
        <v>10</v>
      </c>
      <c r="AQ58" s="4" t="str">
        <f t="shared" ca="1" si="77"/>
        <v>NO</v>
      </c>
      <c r="AR58" s="140">
        <f t="shared" ca="1" si="18"/>
        <v>0</v>
      </c>
      <c r="AS58" s="4" t="b">
        <f t="shared" ca="1" si="77"/>
        <v>1</v>
      </c>
      <c r="AT58" s="140">
        <f t="shared" ca="1" si="19"/>
        <v>5</v>
      </c>
      <c r="AU58" s="4" t="b">
        <f t="shared" ca="1" si="77"/>
        <v>1</v>
      </c>
      <c r="AV58" s="140">
        <f t="shared" ca="1" si="20"/>
        <v>5</v>
      </c>
      <c r="AW58" s="4" t="b">
        <f t="shared" ca="1" si="78"/>
        <v>0</v>
      </c>
      <c r="AX58" s="140">
        <f t="shared" ca="1" si="21"/>
        <v>0</v>
      </c>
      <c r="AY58" s="4" t="str">
        <f t="shared" ca="1" si="79"/>
        <v>SI</v>
      </c>
      <c r="AZ58" s="140">
        <f t="shared" ca="1" si="22"/>
        <v>0</v>
      </c>
      <c r="BA58" s="4" t="str">
        <f t="shared" ca="1" si="80"/>
        <v>WPA</v>
      </c>
      <c r="BB58" s="140">
        <f t="shared" ca="1" si="23"/>
        <v>10</v>
      </c>
      <c r="BC58" s="4" t="str">
        <f t="shared" ca="1" si="81"/>
        <v>SI</v>
      </c>
      <c r="BD58" s="140">
        <f t="shared" ca="1" si="24"/>
        <v>0</v>
      </c>
      <c r="BE58" s="4" t="str">
        <f t="shared" ca="1" si="82"/>
        <v>Accesso remoto mediante  VPN</v>
      </c>
      <c r="BF58" s="140">
        <f t="shared" ca="1" si="25"/>
        <v>10</v>
      </c>
      <c r="BG58" s="4" t="str">
        <f t="shared" ca="1" si="83"/>
        <v>SI</v>
      </c>
      <c r="BH58" s="140">
        <f t="shared" ca="1" si="26"/>
        <v>6</v>
      </c>
      <c r="BI58" s="4" t="str">
        <f t="shared" ca="1" si="84"/>
        <v>SI</v>
      </c>
      <c r="BJ58" s="140">
        <f t="shared" ca="1" si="27"/>
        <v>4</v>
      </c>
      <c r="BK58" s="4" t="str">
        <f t="shared" ca="1" si="85"/>
        <v>SI</v>
      </c>
      <c r="BL58" s="140">
        <f t="shared" ca="1" si="28"/>
        <v>10</v>
      </c>
      <c r="BM58" s="4" t="str">
        <f t="shared" ca="1" si="86"/>
        <v>Sì, non centralizzato</v>
      </c>
      <c r="BN58" s="140">
        <f t="shared" ca="1" si="29"/>
        <v>6</v>
      </c>
      <c r="BO58" s="203" t="str">
        <f t="shared" ca="1" si="87"/>
        <v>ok</v>
      </c>
      <c r="BP58" s="4" t="str">
        <f t="shared" ca="1" si="88"/>
        <v>SI</v>
      </c>
      <c r="BQ58" s="140">
        <f t="shared" ca="1" si="30"/>
        <v>10</v>
      </c>
      <c r="BR58" s="4" t="str">
        <f t="shared" ca="1" si="88"/>
        <v>Sì, senza specificazione della copertura</v>
      </c>
      <c r="BS58" s="140">
        <f t="shared" ca="1" si="31"/>
        <v>10</v>
      </c>
      <c r="BT58" s="4" t="str">
        <f t="shared" ca="1" si="88"/>
        <v>Sì, senza specificazione della copertura</v>
      </c>
      <c r="BU58" s="140">
        <f t="shared" ca="1" si="32"/>
        <v>10</v>
      </c>
      <c r="BV58" s="4" t="str">
        <f t="shared" ca="1" si="88"/>
        <v>SI</v>
      </c>
      <c r="BW58" s="140">
        <f t="shared" ca="1" si="33"/>
        <v>10</v>
      </c>
      <c r="BX58" s="4" t="str">
        <f t="shared" ca="1" si="88"/>
        <v>SI</v>
      </c>
      <c r="BY58" s="140">
        <f t="shared" ca="1" si="34"/>
        <v>10</v>
      </c>
      <c r="BZ58" s="4" t="str">
        <f t="shared" ca="1" si="89"/>
        <v>SI</v>
      </c>
      <c r="CA58" s="140">
        <f t="shared" ca="1" si="35"/>
        <v>10</v>
      </c>
      <c r="CB58" s="4" t="str">
        <f t="shared" ca="1" si="90"/>
        <v>SI</v>
      </c>
      <c r="CC58" s="140">
        <f t="shared" ca="1" si="36"/>
        <v>10</v>
      </c>
      <c r="CD58" s="4" t="str">
        <f t="shared" ca="1" si="91"/>
        <v>SI</v>
      </c>
      <c r="CE58" s="140">
        <f t="shared" ca="1" si="37"/>
        <v>10</v>
      </c>
      <c r="CF58" s="4" t="str">
        <f t="shared" ca="1" si="92"/>
        <v>La procedura è ben documentata</v>
      </c>
      <c r="CG58" s="140">
        <f t="shared" ca="1" si="38"/>
        <v>0</v>
      </c>
      <c r="CH58" s="4" t="str">
        <f t="shared" ca="1" si="93"/>
        <v>Rilevate &lt; 10</v>
      </c>
      <c r="CI58" s="140">
        <f t="shared" ca="1" si="39"/>
        <v>2</v>
      </c>
      <c r="CJ58" s="4" t="b">
        <f t="shared" ca="1" si="94"/>
        <v>0</v>
      </c>
      <c r="CK58" s="140">
        <f t="shared" ca="1" si="40"/>
        <v>0</v>
      </c>
      <c r="CL58" s="4" t="b">
        <f t="shared" ca="1" si="95"/>
        <v>0</v>
      </c>
      <c r="CM58" s="140">
        <f t="shared" ca="1" si="41"/>
        <v>0</v>
      </c>
      <c r="CN58" s="4" t="b">
        <f t="shared" ca="1" si="96"/>
        <v>0</v>
      </c>
      <c r="CO58" s="140">
        <f t="shared" ca="1" si="42"/>
        <v>0</v>
      </c>
      <c r="CP58" s="4" t="b">
        <f t="shared" ca="1" si="97"/>
        <v>1</v>
      </c>
      <c r="CQ58" s="140">
        <f t="shared" ca="1" si="43"/>
        <v>1</v>
      </c>
      <c r="CR58" s="203" t="str">
        <f t="shared" ca="1" si="98"/>
        <v>ok</v>
      </c>
      <c r="CS58" s="4" t="str">
        <f t="shared" ca="1" si="99"/>
        <v>SI</v>
      </c>
      <c r="CT58" s="140">
        <f t="shared" ca="1" si="44"/>
        <v>10</v>
      </c>
      <c r="CU58" s="4" t="str">
        <f t="shared" ca="1" si="99"/>
        <v>SI</v>
      </c>
      <c r="CV58" s="140">
        <f t="shared" ca="1" si="45"/>
        <v>10</v>
      </c>
      <c r="CW58" s="4" t="str">
        <f t="shared" ca="1" si="99"/>
        <v>No</v>
      </c>
      <c r="CX58" s="140">
        <f t="shared" ca="1" si="46"/>
        <v>0</v>
      </c>
      <c r="CY58" s="4" t="str">
        <f t="shared" ca="1" si="99"/>
        <v>SI</v>
      </c>
      <c r="CZ58" s="140">
        <f t="shared" ca="1" si="47"/>
        <v>10</v>
      </c>
      <c r="DA58" s="4" t="str">
        <f t="shared" ca="1" si="99"/>
        <v>SI</v>
      </c>
      <c r="DB58" s="140">
        <f t="shared" ca="1" si="48"/>
        <v>10</v>
      </c>
      <c r="DC58" s="4" t="str">
        <f t="shared" ca="1" si="100"/>
        <v>SI</v>
      </c>
      <c r="DD58" s="140">
        <f t="shared" ca="1" si="49"/>
        <v>10</v>
      </c>
      <c r="DE58" s="4" t="str">
        <f t="shared" ca="1" si="101"/>
        <v>SI</v>
      </c>
      <c r="DF58" s="140">
        <f t="shared" ca="1" si="50"/>
        <v>10</v>
      </c>
      <c r="DG58" s="4" t="str">
        <f t="shared" ca="1" si="102"/>
        <v>SI</v>
      </c>
      <c r="DH58" s="140">
        <f t="shared" ca="1" si="51"/>
        <v>6</v>
      </c>
      <c r="DI58" s="4" t="str">
        <f t="shared" ca="1" si="103"/>
        <v>Sì</v>
      </c>
      <c r="DJ58" s="140">
        <f t="shared" ca="1" si="52"/>
        <v>4</v>
      </c>
      <c r="DK58" s="4" t="str">
        <f t="shared" ca="1" si="104"/>
        <v>Solo personale interno</v>
      </c>
      <c r="DL58" s="140">
        <f t="shared" ca="1" si="53"/>
        <v>10</v>
      </c>
      <c r="DM58" s="4" t="str">
        <f t="shared" ca="1" si="105"/>
        <v>Non previsto audit</v>
      </c>
      <c r="DN58" s="140">
        <f t="shared" ca="1" si="54"/>
        <v>0</v>
      </c>
      <c r="DO58" s="4" t="str">
        <f t="shared" ca="1" si="106"/>
        <v>--</v>
      </c>
      <c r="DP58" s="140">
        <f t="shared" ca="1" si="55"/>
        <v>0</v>
      </c>
      <c r="DQ58" s="4" t="str">
        <f t="shared" ca="1" si="107"/>
        <v>SI</v>
      </c>
      <c r="DR58" s="140">
        <f t="shared" ca="1" si="56"/>
        <v>4</v>
      </c>
      <c r="DS58" s="80" t="str">
        <f t="shared" ca="1" si="108"/>
        <v>Compresa tra 5 % e 10%</v>
      </c>
      <c r="DT58" s="140">
        <f t="shared" ca="1" si="57"/>
        <v>4</v>
      </c>
      <c r="DU58" s="4" t="str">
        <f t="shared" ca="1" si="109"/>
        <v>Sì, con copertura analisi rischi parziale</v>
      </c>
      <c r="DV58" s="140">
        <f t="shared" ca="1" si="114"/>
        <v>8</v>
      </c>
      <c r="DW58" s="4" t="str">
        <f t="shared" ca="1" si="110"/>
        <v>NO</v>
      </c>
      <c r="DX58" s="140">
        <f t="shared" ca="1" si="58"/>
        <v>0</v>
      </c>
      <c r="DY58" s="4" t="str">
        <f t="shared" ca="1" si="111"/>
        <v>NO</v>
      </c>
      <c r="DZ58" s="140">
        <f t="shared" ca="1" si="59"/>
        <v>0</v>
      </c>
      <c r="EA58" s="80" t="str">
        <f t="shared" ca="1" si="112"/>
        <v>Inferiore al 10 %</v>
      </c>
      <c r="EB58" s="140">
        <f t="shared" ca="1" si="60"/>
        <v>2</v>
      </c>
      <c r="EC58" s="4">
        <f t="shared" ca="1" si="127"/>
        <v>346</v>
      </c>
    </row>
    <row r="59" spans="1:133">
      <c r="A59" s="363" t="str">
        <f t="shared" ca="1" si="0"/>
        <v xml:space="preserve">Istituto nazionale di economia agraria                 </v>
      </c>
      <c r="B59" s="50">
        <f ca="1">VLOOKUP( TRIM(A59), Classificazione!$A$5:$B$71, 2, FALSE)</f>
        <v>60</v>
      </c>
      <c r="C59" s="364">
        <f ca="1">VLOOKUP(TRIM(A59), Classificazione!$A$5:$L$71, 12, FALSE)</f>
        <v>237</v>
      </c>
      <c r="D59" s="4" t="str">
        <f t="shared" ca="1" si="62"/>
        <v>Parzialmente centralizzato</v>
      </c>
      <c r="E59" s="140">
        <f t="shared" ca="1" si="113"/>
        <v>8</v>
      </c>
      <c r="F59" s="4" t="str">
        <f t="shared" ca="1" si="62"/>
        <v>NO</v>
      </c>
      <c r="G59" s="140">
        <f t="shared" ca="1" si="115"/>
        <v>0</v>
      </c>
      <c r="H59" s="4" t="str">
        <f t="shared" ca="1" si="62"/>
        <v>SI</v>
      </c>
      <c r="I59" s="140">
        <f t="shared" ca="1" si="63"/>
        <v>10</v>
      </c>
      <c r="J59" s="4" t="b">
        <f t="shared" ca="1" si="62"/>
        <v>1</v>
      </c>
      <c r="K59" s="140">
        <f t="shared" ca="1" si="64"/>
        <v>5</v>
      </c>
      <c r="L59" s="4" t="b">
        <f t="shared" ca="1" si="62"/>
        <v>0</v>
      </c>
      <c r="M59" s="140">
        <f t="shared" ca="1" si="2"/>
        <v>0</v>
      </c>
      <c r="N59" s="4" t="b">
        <f t="shared" ca="1" si="65"/>
        <v>0</v>
      </c>
      <c r="O59" s="140">
        <f t="shared" ca="1" si="3"/>
        <v>0</v>
      </c>
      <c r="P59" s="4" t="b">
        <f t="shared" ca="1" si="66"/>
        <v>0</v>
      </c>
      <c r="Q59" s="140">
        <f t="shared" ca="1" si="117"/>
        <v>0</v>
      </c>
      <c r="R59" s="4" t="str">
        <f t="shared" ca="1" si="67"/>
        <v>UserId/Password</v>
      </c>
      <c r="S59" s="140">
        <f t="shared" ca="1" si="118"/>
        <v>2</v>
      </c>
      <c r="T59" s="4" t="str">
        <f t="shared" ca="1" si="68"/>
        <v>SI</v>
      </c>
      <c r="U59" s="140">
        <f t="shared" ca="1" si="119"/>
        <v>2</v>
      </c>
      <c r="V59" s="4" t="str">
        <f t="shared" ca="1" si="69"/>
        <v>SI</v>
      </c>
      <c r="W59" s="140">
        <f t="shared" ca="1" si="120"/>
        <v>2</v>
      </c>
      <c r="X59" s="4" t="str">
        <f t="shared" ca="1" si="70"/>
        <v>SI</v>
      </c>
      <c r="Y59" s="140">
        <f t="shared" ca="1" si="121"/>
        <v>4</v>
      </c>
      <c r="Z59" s="4" t="str">
        <f t="shared" ca="1" si="71"/>
        <v>Automaticamente</v>
      </c>
      <c r="AA59" s="140">
        <f t="shared" ca="1" si="116"/>
        <v>10</v>
      </c>
      <c r="AB59" s="4" t="str">
        <f t="shared" ca="1" si="72"/>
        <v>NO</v>
      </c>
      <c r="AC59" s="140">
        <f t="shared" ca="1" si="122"/>
        <v>0</v>
      </c>
      <c r="AD59" s="4" t="str">
        <f t="shared" ca="1" si="73"/>
        <v>Non esistono postazioni mobili o impiego di supporti dati rimuovibili</v>
      </c>
      <c r="AE59" s="140">
        <f t="shared" ca="1" si="123"/>
        <v>6</v>
      </c>
      <c r="AF59" s="4" t="str">
        <f t="shared" ca="1" si="74"/>
        <v>SI</v>
      </c>
      <c r="AG59" s="140">
        <f t="shared" ca="1" si="124"/>
        <v>6</v>
      </c>
      <c r="AH59" s="4" t="str">
        <f t="shared" ca="1" si="75"/>
        <v>NO</v>
      </c>
      <c r="AI59" s="140">
        <f t="shared" ca="1" si="125"/>
        <v>0</v>
      </c>
      <c r="AJ59" s="4" t="str">
        <f t="shared" ca="1" si="76"/>
        <v>NO</v>
      </c>
      <c r="AK59" s="140">
        <f t="shared" ca="1" si="126"/>
        <v>0</v>
      </c>
      <c r="AL59" s="203" t="str">
        <f t="shared" ca="1" si="15"/>
        <v>ok</v>
      </c>
      <c r="AM59" s="4" t="str">
        <f t="shared" ca="1" si="77"/>
        <v>NO</v>
      </c>
      <c r="AN59" s="140">
        <f t="shared" ca="1" si="16"/>
        <v>0</v>
      </c>
      <c r="AO59" s="4" t="str">
        <f t="shared" ca="1" si="77"/>
        <v>SI</v>
      </c>
      <c r="AP59" s="140">
        <f t="shared" ca="1" si="17"/>
        <v>10</v>
      </c>
      <c r="AQ59" s="4" t="str">
        <f t="shared" ca="1" si="77"/>
        <v>NO</v>
      </c>
      <c r="AR59" s="140">
        <f t="shared" ca="1" si="18"/>
        <v>0</v>
      </c>
      <c r="AS59" s="4" t="b">
        <f t="shared" ca="1" si="77"/>
        <v>1</v>
      </c>
      <c r="AT59" s="140">
        <f t="shared" ca="1" si="19"/>
        <v>5</v>
      </c>
      <c r="AU59" s="4" t="b">
        <f t="shared" ca="1" si="77"/>
        <v>1</v>
      </c>
      <c r="AV59" s="140">
        <f t="shared" ca="1" si="20"/>
        <v>5</v>
      </c>
      <c r="AW59" s="4" t="b">
        <f t="shared" ca="1" si="78"/>
        <v>0</v>
      </c>
      <c r="AX59" s="140">
        <f t="shared" ca="1" si="21"/>
        <v>0</v>
      </c>
      <c r="AY59" s="4" t="str">
        <f t="shared" ca="1" si="79"/>
        <v>SI</v>
      </c>
      <c r="AZ59" s="140">
        <f t="shared" ca="1" si="22"/>
        <v>0</v>
      </c>
      <c r="BA59" s="4" t="str">
        <f t="shared" ca="1" si="80"/>
        <v>WPA</v>
      </c>
      <c r="BB59" s="140">
        <f t="shared" ca="1" si="23"/>
        <v>10</v>
      </c>
      <c r="BC59" s="4" t="str">
        <f t="shared" ca="1" si="81"/>
        <v>NO</v>
      </c>
      <c r="BD59" s="140">
        <f t="shared" ca="1" si="24"/>
        <v>6</v>
      </c>
      <c r="BE59" s="4" t="str">
        <f t="shared" ca="1" si="82"/>
        <v>--</v>
      </c>
      <c r="BF59" s="140">
        <f t="shared" ca="1" si="25"/>
        <v>0</v>
      </c>
      <c r="BG59" s="4" t="str">
        <f t="shared" ca="1" si="83"/>
        <v>SI</v>
      </c>
      <c r="BH59" s="140">
        <f t="shared" ca="1" si="26"/>
        <v>6</v>
      </c>
      <c r="BI59" s="4" t="str">
        <f t="shared" ca="1" si="84"/>
        <v>SI</v>
      </c>
      <c r="BJ59" s="140">
        <f t="shared" ca="1" si="27"/>
        <v>4</v>
      </c>
      <c r="BK59" s="4" t="str">
        <f t="shared" ca="1" si="85"/>
        <v>SI</v>
      </c>
      <c r="BL59" s="140">
        <f t="shared" ca="1" si="28"/>
        <v>10</v>
      </c>
      <c r="BM59" s="4" t="str">
        <f t="shared" ca="1" si="86"/>
        <v>No</v>
      </c>
      <c r="BN59" s="140">
        <f t="shared" ca="1" si="29"/>
        <v>0</v>
      </c>
      <c r="BO59" s="203" t="str">
        <f t="shared" ca="1" si="87"/>
        <v>ok</v>
      </c>
      <c r="BP59" s="4" t="str">
        <f t="shared" ca="1" si="88"/>
        <v>NO</v>
      </c>
      <c r="BQ59" s="140">
        <f t="shared" ca="1" si="30"/>
        <v>0</v>
      </c>
      <c r="BR59" s="4" t="str">
        <f t="shared" ca="1" si="88"/>
        <v>Sì, solo per le applicazioni più importanti</v>
      </c>
      <c r="BS59" s="140">
        <f t="shared" ca="1" si="31"/>
        <v>6</v>
      </c>
      <c r="BT59" s="4" t="str">
        <f t="shared" ca="1" si="88"/>
        <v>No</v>
      </c>
      <c r="BU59" s="140">
        <f t="shared" ca="1" si="32"/>
        <v>0</v>
      </c>
      <c r="BV59" s="4" t="str">
        <f t="shared" ca="1" si="88"/>
        <v>NO</v>
      </c>
      <c r="BW59" s="140">
        <f t="shared" ca="1" si="33"/>
        <v>0</v>
      </c>
      <c r="BX59" s="4" t="str">
        <f t="shared" ca="1" si="88"/>
        <v>SI</v>
      </c>
      <c r="BY59" s="140">
        <f t="shared" ca="1" si="34"/>
        <v>10</v>
      </c>
      <c r="BZ59" s="4" t="str">
        <f t="shared" ca="1" si="89"/>
        <v>SI</v>
      </c>
      <c r="CA59" s="140">
        <f t="shared" ca="1" si="35"/>
        <v>10</v>
      </c>
      <c r="CB59" s="4" t="str">
        <f t="shared" ca="1" si="90"/>
        <v>SI</v>
      </c>
      <c r="CC59" s="140">
        <f t="shared" ca="1" si="36"/>
        <v>10</v>
      </c>
      <c r="CD59" s="4" t="str">
        <f t="shared" ca="1" si="91"/>
        <v>SI</v>
      </c>
      <c r="CE59" s="140">
        <f t="shared" ca="1" si="37"/>
        <v>10</v>
      </c>
      <c r="CF59" s="4" t="str">
        <f t="shared" ca="1" si="92"/>
        <v>NO</v>
      </c>
      <c r="CG59" s="140">
        <f t="shared" ca="1" si="38"/>
        <v>10</v>
      </c>
      <c r="CH59" s="4" t="str">
        <f t="shared" ca="1" si="93"/>
        <v>Rilevate &lt; 10</v>
      </c>
      <c r="CI59" s="140">
        <f t="shared" ca="1" si="39"/>
        <v>2</v>
      </c>
      <c r="CJ59" s="4" t="b">
        <f t="shared" ca="1" si="94"/>
        <v>0</v>
      </c>
      <c r="CK59" s="140">
        <f t="shared" ca="1" si="40"/>
        <v>0</v>
      </c>
      <c r="CL59" s="4" t="b">
        <f t="shared" ca="1" si="95"/>
        <v>0</v>
      </c>
      <c r="CM59" s="140">
        <f t="shared" ca="1" si="41"/>
        <v>0</v>
      </c>
      <c r="CN59" s="4" t="b">
        <f t="shared" ca="1" si="96"/>
        <v>0</v>
      </c>
      <c r="CO59" s="140">
        <f t="shared" ca="1" si="42"/>
        <v>0</v>
      </c>
      <c r="CP59" s="4" t="b">
        <f t="shared" ca="1" si="97"/>
        <v>0</v>
      </c>
      <c r="CQ59" s="140">
        <f t="shared" ca="1" si="43"/>
        <v>0</v>
      </c>
      <c r="CR59" s="203" t="str">
        <f t="shared" ca="1" si="98"/>
        <v>ok</v>
      </c>
      <c r="CS59" s="4" t="str">
        <f t="shared" ca="1" si="99"/>
        <v>NO</v>
      </c>
      <c r="CT59" s="140">
        <f t="shared" ca="1" si="44"/>
        <v>0</v>
      </c>
      <c r="CU59" s="4" t="str">
        <f t="shared" ca="1" si="99"/>
        <v>NO</v>
      </c>
      <c r="CV59" s="140">
        <f t="shared" ca="1" si="45"/>
        <v>0</v>
      </c>
      <c r="CW59" s="4" t="str">
        <f t="shared" ca="1" si="99"/>
        <v>Sì, tutti</v>
      </c>
      <c r="CX59" s="140">
        <f t="shared" ca="1" si="46"/>
        <v>10</v>
      </c>
      <c r="CY59" s="4" t="str">
        <f t="shared" ca="1" si="99"/>
        <v>SI</v>
      </c>
      <c r="CZ59" s="140">
        <f t="shared" ca="1" si="47"/>
        <v>10</v>
      </c>
      <c r="DA59" s="4" t="str">
        <f t="shared" ca="1" si="99"/>
        <v>SI</v>
      </c>
      <c r="DB59" s="140">
        <f t="shared" ca="1" si="48"/>
        <v>10</v>
      </c>
      <c r="DC59" s="4" t="str">
        <f t="shared" ca="1" si="100"/>
        <v>SI</v>
      </c>
      <c r="DD59" s="140">
        <f t="shared" ca="1" si="49"/>
        <v>10</v>
      </c>
      <c r="DE59" s="4" t="str">
        <f t="shared" ca="1" si="101"/>
        <v>SI</v>
      </c>
      <c r="DF59" s="140">
        <f t="shared" ca="1" si="50"/>
        <v>10</v>
      </c>
      <c r="DG59" s="4" t="str">
        <f t="shared" ca="1" si="102"/>
        <v>SI</v>
      </c>
      <c r="DH59" s="140">
        <f t="shared" ca="1" si="51"/>
        <v>6</v>
      </c>
      <c r="DI59" s="4" t="str">
        <f t="shared" ca="1" si="103"/>
        <v>No</v>
      </c>
      <c r="DJ59" s="140">
        <f t="shared" ca="1" si="52"/>
        <v>0</v>
      </c>
      <c r="DK59" s="4" t="str">
        <f t="shared" ca="1" si="104"/>
        <v>Personale misto</v>
      </c>
      <c r="DL59" s="140">
        <f t="shared" ca="1" si="53"/>
        <v>6</v>
      </c>
      <c r="DM59" s="4" t="str">
        <f t="shared" ca="1" si="105"/>
        <v>Non previsto audit</v>
      </c>
      <c r="DN59" s="140">
        <f t="shared" ca="1" si="54"/>
        <v>0</v>
      </c>
      <c r="DO59" s="4" t="str">
        <f t="shared" ca="1" si="106"/>
        <v>--</v>
      </c>
      <c r="DP59" s="140">
        <f t="shared" ca="1" si="55"/>
        <v>0</v>
      </c>
      <c r="DQ59" s="4" t="str">
        <f t="shared" ca="1" si="107"/>
        <v>NO</v>
      </c>
      <c r="DR59" s="140">
        <f t="shared" ca="1" si="56"/>
        <v>0</v>
      </c>
      <c r="DS59" s="80" t="str">
        <f t="shared" ca="1" si="108"/>
        <v>--</v>
      </c>
      <c r="DT59" s="140">
        <f t="shared" ca="1" si="57"/>
        <v>0</v>
      </c>
      <c r="DU59" s="4" t="str">
        <f t="shared" ca="1" si="109"/>
        <v>No</v>
      </c>
      <c r="DV59" s="140">
        <f t="shared" ca="1" si="114"/>
        <v>0</v>
      </c>
      <c r="DW59" s="4" t="str">
        <f t="shared" ca="1" si="110"/>
        <v>SI</v>
      </c>
      <c r="DX59" s="140">
        <f t="shared" ca="1" si="58"/>
        <v>10</v>
      </c>
      <c r="DY59" s="4" t="str">
        <f t="shared" ca="1" si="111"/>
        <v>NO</v>
      </c>
      <c r="DZ59" s="140">
        <f t="shared" ca="1" si="59"/>
        <v>0</v>
      </c>
      <c r="EA59" s="80" t="str">
        <f t="shared" ca="1" si="112"/>
        <v>Inferiore al 10 %</v>
      </c>
      <c r="EB59" s="140">
        <f t="shared" ca="1" si="60"/>
        <v>2</v>
      </c>
      <c r="EC59" s="4">
        <f t="shared" ca="1" si="127"/>
        <v>243</v>
      </c>
    </row>
    <row r="60" spans="1:133">
      <c r="A60" s="363" t="str">
        <f t="shared" ca="1" si="0"/>
        <v>Istituto nazionale di previdenza dei dipendenti dell'amministrazione pubblica</v>
      </c>
      <c r="B60" s="50">
        <f ca="1">VLOOKUP( TRIM(A60), Classificazione!$A$5:$B$71, 2, FALSE)</f>
        <v>48</v>
      </c>
      <c r="C60" s="364">
        <f ca="1">VLOOKUP(TRIM(A60), Classificazione!$A$5:$L$71, 12, FALSE)</f>
        <v>7665</v>
      </c>
      <c r="D60" s="4" t="str">
        <f t="shared" ca="1" si="62"/>
        <v>Completamente decentralizzato</v>
      </c>
      <c r="E60" s="140">
        <f t="shared" ca="1" si="113"/>
        <v>10</v>
      </c>
      <c r="F60" s="4" t="str">
        <f t="shared" ca="1" si="62"/>
        <v>SI</v>
      </c>
      <c r="G60" s="140">
        <f t="shared" ca="1" si="115"/>
        <v>10</v>
      </c>
      <c r="H60" s="4" t="str">
        <f t="shared" ca="1" si="62"/>
        <v>SI</v>
      </c>
      <c r="I60" s="140">
        <f t="shared" ca="1" si="63"/>
        <v>10</v>
      </c>
      <c r="J60" s="4" t="b">
        <f t="shared" ca="1" si="62"/>
        <v>0</v>
      </c>
      <c r="K60" s="140">
        <f t="shared" ca="1" si="64"/>
        <v>0</v>
      </c>
      <c r="L60" s="4" t="b">
        <f t="shared" ca="1" si="62"/>
        <v>1</v>
      </c>
      <c r="M60" s="140">
        <f t="shared" ca="1" si="2"/>
        <v>5</v>
      </c>
      <c r="N60" s="4" t="b">
        <f t="shared" ca="1" si="65"/>
        <v>1</v>
      </c>
      <c r="O60" s="140">
        <f t="shared" ca="1" si="3"/>
        <v>3</v>
      </c>
      <c r="P60" s="4" t="b">
        <f t="shared" ca="1" si="66"/>
        <v>0</v>
      </c>
      <c r="Q60" s="140">
        <f t="shared" ca="1" si="117"/>
        <v>0</v>
      </c>
      <c r="R60" s="4" t="str">
        <f t="shared" ca="1" si="67"/>
        <v>UserId/Password</v>
      </c>
      <c r="S60" s="140">
        <f t="shared" ca="1" si="118"/>
        <v>2</v>
      </c>
      <c r="T60" s="4" t="str">
        <f t="shared" ca="1" si="68"/>
        <v>SI</v>
      </c>
      <c r="U60" s="140">
        <f t="shared" ca="1" si="119"/>
        <v>2</v>
      </c>
      <c r="V60" s="4" t="str">
        <f t="shared" ca="1" si="69"/>
        <v>SI</v>
      </c>
      <c r="W60" s="140">
        <f t="shared" ca="1" si="120"/>
        <v>2</v>
      </c>
      <c r="X60" s="4" t="str">
        <f t="shared" ca="1" si="70"/>
        <v>SI</v>
      </c>
      <c r="Y60" s="140">
        <f t="shared" ca="1" si="121"/>
        <v>4</v>
      </c>
      <c r="Z60" s="4" t="str">
        <f t="shared" ca="1" si="71"/>
        <v>Ogni mese</v>
      </c>
      <c r="AA60" s="140">
        <f t="shared" ca="1" si="116"/>
        <v>6</v>
      </c>
      <c r="AB60" s="4" t="str">
        <f t="shared" ca="1" si="72"/>
        <v>SI</v>
      </c>
      <c r="AC60" s="140">
        <f t="shared" ca="1" si="122"/>
        <v>10</v>
      </c>
      <c r="AD60" s="4" t="str">
        <f t="shared" ca="1" si="73"/>
        <v>Esistono postazioni mobili o supporti dati rimuovibili senza sistemi di prevenzione degli accessi</v>
      </c>
      <c r="AE60" s="140">
        <f t="shared" ca="1" si="123"/>
        <v>0</v>
      </c>
      <c r="AF60" s="4" t="str">
        <f t="shared" ca="1" si="74"/>
        <v>SI</v>
      </c>
      <c r="AG60" s="140">
        <f t="shared" ca="1" si="124"/>
        <v>6</v>
      </c>
      <c r="AH60" s="4" t="str">
        <f t="shared" ca="1" si="75"/>
        <v>SI</v>
      </c>
      <c r="AI60" s="140">
        <f t="shared" ca="1" si="125"/>
        <v>4</v>
      </c>
      <c r="AJ60" s="4" t="str">
        <f t="shared" ca="1" si="76"/>
        <v>SI</v>
      </c>
      <c r="AK60" s="140">
        <f t="shared" ca="1" si="126"/>
        <v>10</v>
      </c>
      <c r="AL60" s="203" t="str">
        <f t="shared" ca="1" si="15"/>
        <v>ok</v>
      </c>
      <c r="AM60" s="4" t="str">
        <f t="shared" ca="1" si="77"/>
        <v>SI</v>
      </c>
      <c r="AN60" s="140">
        <f t="shared" ca="1" si="16"/>
        <v>10</v>
      </c>
      <c r="AO60" s="4" t="str">
        <f t="shared" ca="1" si="77"/>
        <v>SI</v>
      </c>
      <c r="AP60" s="140">
        <f t="shared" ca="1" si="17"/>
        <v>10</v>
      </c>
      <c r="AQ60" s="4" t="str">
        <f t="shared" ca="1" si="77"/>
        <v>SI</v>
      </c>
      <c r="AR60" s="140">
        <f t="shared" ca="1" si="18"/>
        <v>10</v>
      </c>
      <c r="AS60" s="4" t="b">
        <f t="shared" ca="1" si="77"/>
        <v>1</v>
      </c>
      <c r="AT60" s="140">
        <f t="shared" ca="1" si="19"/>
        <v>5</v>
      </c>
      <c r="AU60" s="4" t="b">
        <f t="shared" ca="1" si="77"/>
        <v>0</v>
      </c>
      <c r="AV60" s="140">
        <f t="shared" ca="1" si="20"/>
        <v>0</v>
      </c>
      <c r="AW60" s="4" t="b">
        <f t="shared" ca="1" si="78"/>
        <v>0</v>
      </c>
      <c r="AX60" s="140">
        <f t="shared" ca="1" si="21"/>
        <v>0</v>
      </c>
      <c r="AY60" s="4" t="str">
        <f t="shared" ca="1" si="79"/>
        <v>SI</v>
      </c>
      <c r="AZ60" s="140">
        <f t="shared" ca="1" si="22"/>
        <v>0</v>
      </c>
      <c r="BA60" s="4" t="str">
        <f t="shared" ca="1" si="80"/>
        <v>WPA</v>
      </c>
      <c r="BB60" s="140">
        <f t="shared" ca="1" si="23"/>
        <v>10</v>
      </c>
      <c r="BC60" s="4" t="str">
        <f t="shared" ca="1" si="81"/>
        <v>SI</v>
      </c>
      <c r="BD60" s="140">
        <f t="shared" ca="1" si="24"/>
        <v>0</v>
      </c>
      <c r="BE60" s="4" t="str">
        <f t="shared" ca="1" si="82"/>
        <v>Accesso remoto mediante  VPN</v>
      </c>
      <c r="BF60" s="140">
        <f t="shared" ca="1" si="25"/>
        <v>10</v>
      </c>
      <c r="BG60" s="4" t="str">
        <f t="shared" ca="1" si="83"/>
        <v>SI</v>
      </c>
      <c r="BH60" s="140">
        <f t="shared" ca="1" si="26"/>
        <v>6</v>
      </c>
      <c r="BI60" s="4" t="str">
        <f t="shared" ca="1" si="84"/>
        <v>SI</v>
      </c>
      <c r="BJ60" s="140">
        <f t="shared" ca="1" si="27"/>
        <v>4</v>
      </c>
      <c r="BK60" s="4" t="str">
        <f t="shared" ca="1" si="85"/>
        <v>SI</v>
      </c>
      <c r="BL60" s="140">
        <f t="shared" ca="1" si="28"/>
        <v>10</v>
      </c>
      <c r="BM60" s="4" t="str">
        <f t="shared" ca="1" si="86"/>
        <v>Sì, centralizzato</v>
      </c>
      <c r="BN60" s="140">
        <f t="shared" ca="1" si="29"/>
        <v>10</v>
      </c>
      <c r="BO60" s="203" t="str">
        <f t="shared" ca="1" si="87"/>
        <v>ok</v>
      </c>
      <c r="BP60" s="4" t="str">
        <f t="shared" ca="1" si="88"/>
        <v>SI</v>
      </c>
      <c r="BQ60" s="140">
        <f t="shared" ca="1" si="30"/>
        <v>10</v>
      </c>
      <c r="BR60" s="4" t="str">
        <f t="shared" ca="1" si="88"/>
        <v>Sì, solo per le applicazioni più importanti</v>
      </c>
      <c r="BS60" s="140">
        <f t="shared" ca="1" si="31"/>
        <v>6</v>
      </c>
      <c r="BT60" s="4" t="str">
        <f t="shared" ca="1" si="88"/>
        <v>Sì, solo per le applicazioni più importanti</v>
      </c>
      <c r="BU60" s="140">
        <f t="shared" ca="1" si="32"/>
        <v>6</v>
      </c>
      <c r="BV60" s="4" t="str">
        <f t="shared" ca="1" si="88"/>
        <v>SI</v>
      </c>
      <c r="BW60" s="140">
        <f t="shared" ca="1" si="33"/>
        <v>10</v>
      </c>
      <c r="BX60" s="4" t="str">
        <f t="shared" ca="1" si="88"/>
        <v>SI</v>
      </c>
      <c r="BY60" s="140">
        <f t="shared" ca="1" si="34"/>
        <v>10</v>
      </c>
      <c r="BZ60" s="4" t="str">
        <f t="shared" ca="1" si="89"/>
        <v>SI</v>
      </c>
      <c r="CA60" s="140">
        <f t="shared" ca="1" si="35"/>
        <v>10</v>
      </c>
      <c r="CB60" s="4" t="str">
        <f t="shared" ca="1" si="90"/>
        <v>SI</v>
      </c>
      <c r="CC60" s="140">
        <f t="shared" ca="1" si="36"/>
        <v>10</v>
      </c>
      <c r="CD60" s="4" t="str">
        <f t="shared" ca="1" si="91"/>
        <v>SI</v>
      </c>
      <c r="CE60" s="140">
        <f t="shared" ca="1" si="37"/>
        <v>10</v>
      </c>
      <c r="CF60" s="4" t="str">
        <f t="shared" ca="1" si="92"/>
        <v>La procedura è ben documentata</v>
      </c>
      <c r="CG60" s="140">
        <f t="shared" ca="1" si="38"/>
        <v>0</v>
      </c>
      <c r="CH60" s="4" t="str">
        <f t="shared" ca="1" si="93"/>
        <v>Rilevate &lt; 10</v>
      </c>
      <c r="CI60" s="140">
        <f t="shared" ca="1" si="39"/>
        <v>2</v>
      </c>
      <c r="CJ60" s="4" t="b">
        <f t="shared" ca="1" si="94"/>
        <v>0</v>
      </c>
      <c r="CK60" s="140">
        <f t="shared" ca="1" si="40"/>
        <v>0</v>
      </c>
      <c r="CL60" s="4" t="b">
        <f t="shared" ca="1" si="95"/>
        <v>0</v>
      </c>
      <c r="CM60" s="140">
        <f t="shared" ca="1" si="41"/>
        <v>0</v>
      </c>
      <c r="CN60" s="4" t="b">
        <f t="shared" ca="1" si="96"/>
        <v>0</v>
      </c>
      <c r="CO60" s="140">
        <f t="shared" ca="1" si="42"/>
        <v>0</v>
      </c>
      <c r="CP60" s="4" t="b">
        <f t="shared" ca="1" si="97"/>
        <v>1</v>
      </c>
      <c r="CQ60" s="140">
        <f t="shared" ca="1" si="43"/>
        <v>1</v>
      </c>
      <c r="CR60" s="203" t="str">
        <f t="shared" ca="1" si="98"/>
        <v>ok</v>
      </c>
      <c r="CS60" s="4" t="str">
        <f t="shared" ca="1" si="99"/>
        <v>SI</v>
      </c>
      <c r="CT60" s="140">
        <f t="shared" ca="1" si="44"/>
        <v>10</v>
      </c>
      <c r="CU60" s="4" t="str">
        <f t="shared" ca="1" si="99"/>
        <v>SI</v>
      </c>
      <c r="CV60" s="140">
        <f t="shared" ca="1" si="45"/>
        <v>10</v>
      </c>
      <c r="CW60" s="4" t="str">
        <f t="shared" ca="1" si="99"/>
        <v>--</v>
      </c>
      <c r="CX60" s="140">
        <f t="shared" ca="1" si="46"/>
        <v>0</v>
      </c>
      <c r="CY60" s="4" t="str">
        <f t="shared" ca="1" si="99"/>
        <v>SI</v>
      </c>
      <c r="CZ60" s="140">
        <f t="shared" ca="1" si="47"/>
        <v>10</v>
      </c>
      <c r="DA60" s="4" t="str">
        <f t="shared" ca="1" si="99"/>
        <v>SI</v>
      </c>
      <c r="DB60" s="140">
        <f t="shared" ca="1" si="48"/>
        <v>10</v>
      </c>
      <c r="DC60" s="4" t="str">
        <f t="shared" ca="1" si="100"/>
        <v>SI</v>
      </c>
      <c r="DD60" s="140">
        <f t="shared" ca="1" si="49"/>
        <v>10</v>
      </c>
      <c r="DE60" s="4" t="str">
        <f t="shared" ca="1" si="101"/>
        <v>SI</v>
      </c>
      <c r="DF60" s="140">
        <f t="shared" ca="1" si="50"/>
        <v>10</v>
      </c>
      <c r="DG60" s="4" t="str">
        <f t="shared" ca="1" si="102"/>
        <v>SI</v>
      </c>
      <c r="DH60" s="140">
        <f t="shared" ca="1" si="51"/>
        <v>6</v>
      </c>
      <c r="DI60" s="4" t="str">
        <f t="shared" ca="1" si="103"/>
        <v>Sì</v>
      </c>
      <c r="DJ60" s="140">
        <f t="shared" ca="1" si="52"/>
        <v>4</v>
      </c>
      <c r="DK60" s="4" t="str">
        <f t="shared" ca="1" si="104"/>
        <v>Solo personale interno</v>
      </c>
      <c r="DL60" s="140">
        <f t="shared" ca="1" si="53"/>
        <v>10</v>
      </c>
      <c r="DM60" s="4" t="str">
        <f t="shared" ca="1" si="105"/>
        <v>Non previsto audit</v>
      </c>
      <c r="DN60" s="140">
        <f t="shared" ca="1" si="54"/>
        <v>0</v>
      </c>
      <c r="DO60" s="4" t="str">
        <f t="shared" ca="1" si="106"/>
        <v>--</v>
      </c>
      <c r="DP60" s="140">
        <f t="shared" ca="1" si="55"/>
        <v>0</v>
      </c>
      <c r="DQ60" s="4" t="str">
        <f t="shared" ca="1" si="107"/>
        <v>SI</v>
      </c>
      <c r="DR60" s="140">
        <f t="shared" ca="1" si="56"/>
        <v>4</v>
      </c>
      <c r="DS60" s="80" t="str">
        <f t="shared" ca="1" si="108"/>
        <v>Compresa tra 5 % e 10%</v>
      </c>
      <c r="DT60" s="140">
        <f t="shared" ca="1" si="57"/>
        <v>4</v>
      </c>
      <c r="DU60" s="4" t="str">
        <f t="shared" ca="1" si="109"/>
        <v>Sì, con copertura analisi rischi parziale</v>
      </c>
      <c r="DV60" s="140">
        <f t="shared" ca="1" si="114"/>
        <v>8</v>
      </c>
      <c r="DW60" s="4" t="str">
        <f t="shared" ca="1" si="110"/>
        <v>NO</v>
      </c>
      <c r="DX60" s="140">
        <f t="shared" ca="1" si="58"/>
        <v>0</v>
      </c>
      <c r="DY60" s="4" t="str">
        <f t="shared" ca="1" si="111"/>
        <v>NO</v>
      </c>
      <c r="DZ60" s="140">
        <f t="shared" ca="1" si="59"/>
        <v>0</v>
      </c>
      <c r="EA60" s="80" t="str">
        <f t="shared" ca="1" si="112"/>
        <v>Inferiore al 10 %</v>
      </c>
      <c r="EB60" s="140">
        <f t="shared" ca="1" si="60"/>
        <v>2</v>
      </c>
      <c r="EC60" s="4">
        <f t="shared" ca="1" si="127"/>
        <v>342</v>
      </c>
    </row>
    <row r="61" spans="1:133">
      <c r="A61" s="363" t="str">
        <f t="shared" ca="1" si="0"/>
        <v xml:space="preserve">Istituto nazionale per la previdenza sociale                                  </v>
      </c>
      <c r="B61" s="50">
        <f ca="1">VLOOKUP( TRIM(A61), Classificazione!$A$5:$B$71, 2, FALSE)</f>
        <v>50</v>
      </c>
      <c r="C61" s="364">
        <f ca="1">VLOOKUP(TRIM(A61), Classificazione!$A$5:$L$71, 12, FALSE)</f>
        <v>28257</v>
      </c>
      <c r="D61" s="4" t="str">
        <f t="shared" ca="1" si="62"/>
        <v>Completamente centralizzato</v>
      </c>
      <c r="E61" s="140">
        <f t="shared" ca="1" si="113"/>
        <v>6</v>
      </c>
      <c r="F61" s="4" t="str">
        <f t="shared" ca="1" si="62"/>
        <v>SI</v>
      </c>
      <c r="G61" s="140">
        <f t="shared" ca="1" si="115"/>
        <v>10</v>
      </c>
      <c r="H61" s="4" t="str">
        <f t="shared" ca="1" si="62"/>
        <v>SI</v>
      </c>
      <c r="I61" s="140">
        <f t="shared" ca="1" si="63"/>
        <v>10</v>
      </c>
      <c r="J61" s="4" t="b">
        <f t="shared" ca="1" si="62"/>
        <v>0</v>
      </c>
      <c r="K61" s="140">
        <f t="shared" ca="1" si="64"/>
        <v>0</v>
      </c>
      <c r="L61" s="4" t="b">
        <f t="shared" ca="1" si="62"/>
        <v>1</v>
      </c>
      <c r="M61" s="140">
        <f t="shared" ca="1" si="2"/>
        <v>5</v>
      </c>
      <c r="N61" s="4" t="b">
        <f t="shared" ca="1" si="65"/>
        <v>0</v>
      </c>
      <c r="O61" s="140">
        <f t="shared" ca="1" si="3"/>
        <v>0</v>
      </c>
      <c r="P61" s="4" t="b">
        <f t="shared" ca="1" si="66"/>
        <v>0</v>
      </c>
      <c r="Q61" s="140">
        <f t="shared" ca="1" si="117"/>
        <v>0</v>
      </c>
      <c r="R61" s="4" t="str">
        <f t="shared" ca="1" si="67"/>
        <v>UserId/Password</v>
      </c>
      <c r="S61" s="140">
        <f t="shared" ca="1" si="118"/>
        <v>2</v>
      </c>
      <c r="T61" s="4" t="str">
        <f t="shared" ca="1" si="68"/>
        <v>SI</v>
      </c>
      <c r="U61" s="140">
        <f t="shared" ca="1" si="119"/>
        <v>2</v>
      </c>
      <c r="V61" s="4" t="str">
        <f t="shared" ca="1" si="69"/>
        <v>SI</v>
      </c>
      <c r="W61" s="140">
        <f t="shared" ca="1" si="120"/>
        <v>2</v>
      </c>
      <c r="X61" s="4" t="str">
        <f t="shared" ca="1" si="70"/>
        <v>SI</v>
      </c>
      <c r="Y61" s="140">
        <f t="shared" ca="1" si="121"/>
        <v>4</v>
      </c>
      <c r="Z61" s="4" t="str">
        <f t="shared" ca="1" si="71"/>
        <v>Automaticamente</v>
      </c>
      <c r="AA61" s="140">
        <f t="shared" ca="1" si="116"/>
        <v>10</v>
      </c>
      <c r="AB61" s="4" t="str">
        <f t="shared" ca="1" si="72"/>
        <v>SI</v>
      </c>
      <c r="AC61" s="140">
        <f t="shared" ca="1" si="122"/>
        <v>10</v>
      </c>
      <c r="AD61" s="4" t="str">
        <f t="shared" ca="1" si="73"/>
        <v>Esistono postazioni mobili o supporti dati rimuovibili con sistemi di prevenzione degli accessi</v>
      </c>
      <c r="AE61" s="140">
        <f t="shared" ca="1" si="123"/>
        <v>10</v>
      </c>
      <c r="AF61" s="4" t="str">
        <f t="shared" ca="1" si="74"/>
        <v>SI</v>
      </c>
      <c r="AG61" s="140">
        <f t="shared" ca="1" si="124"/>
        <v>6</v>
      </c>
      <c r="AH61" s="4" t="str">
        <f t="shared" ca="1" si="75"/>
        <v>SI</v>
      </c>
      <c r="AI61" s="140">
        <f t="shared" ca="1" si="125"/>
        <v>4</v>
      </c>
      <c r="AJ61" s="4" t="str">
        <f t="shared" ca="1" si="76"/>
        <v>SI</v>
      </c>
      <c r="AK61" s="140">
        <f t="shared" ca="1" si="126"/>
        <v>10</v>
      </c>
      <c r="AL61" s="203" t="str">
        <f t="shared" ca="1" si="15"/>
        <v>ok</v>
      </c>
      <c r="AM61" s="4" t="str">
        <f t="shared" ca="1" si="77"/>
        <v>SI</v>
      </c>
      <c r="AN61" s="140">
        <f t="shared" ca="1" si="16"/>
        <v>10</v>
      </c>
      <c r="AO61" s="4" t="str">
        <f t="shared" ca="1" si="77"/>
        <v>SI</v>
      </c>
      <c r="AP61" s="140">
        <f t="shared" ca="1" si="17"/>
        <v>10</v>
      </c>
      <c r="AQ61" s="4" t="str">
        <f t="shared" ca="1" si="77"/>
        <v>SI</v>
      </c>
      <c r="AR61" s="140">
        <f t="shared" ca="1" si="18"/>
        <v>10</v>
      </c>
      <c r="AS61" s="4" t="b">
        <f t="shared" ca="1" si="77"/>
        <v>1</v>
      </c>
      <c r="AT61" s="140">
        <f t="shared" ca="1" si="19"/>
        <v>5</v>
      </c>
      <c r="AU61" s="4" t="b">
        <f t="shared" ca="1" si="77"/>
        <v>1</v>
      </c>
      <c r="AV61" s="140">
        <f t="shared" ca="1" si="20"/>
        <v>5</v>
      </c>
      <c r="AW61" s="4" t="b">
        <f t="shared" ca="1" si="78"/>
        <v>0</v>
      </c>
      <c r="AX61" s="140">
        <f t="shared" ca="1" si="21"/>
        <v>0</v>
      </c>
      <c r="AY61" s="4" t="str">
        <f t="shared" ca="1" si="79"/>
        <v>SI</v>
      </c>
      <c r="AZ61" s="140">
        <f t="shared" ca="1" si="22"/>
        <v>0</v>
      </c>
      <c r="BA61" s="4" t="str">
        <f t="shared" ca="1" si="80"/>
        <v>WPA</v>
      </c>
      <c r="BB61" s="140">
        <f t="shared" ca="1" si="23"/>
        <v>10</v>
      </c>
      <c r="BC61" s="4" t="str">
        <f t="shared" ca="1" si="81"/>
        <v>SI</v>
      </c>
      <c r="BD61" s="140">
        <f t="shared" ca="1" si="24"/>
        <v>0</v>
      </c>
      <c r="BE61" s="4" t="str">
        <f t="shared" ca="1" si="82"/>
        <v>Accesso remoto mediante  VPN</v>
      </c>
      <c r="BF61" s="140">
        <f t="shared" ca="1" si="25"/>
        <v>10</v>
      </c>
      <c r="BG61" s="4" t="str">
        <f t="shared" ca="1" si="83"/>
        <v>SI</v>
      </c>
      <c r="BH61" s="140">
        <f t="shared" ca="1" si="26"/>
        <v>6</v>
      </c>
      <c r="BI61" s="4" t="str">
        <f t="shared" ca="1" si="84"/>
        <v>SI</v>
      </c>
      <c r="BJ61" s="140">
        <f t="shared" ca="1" si="27"/>
        <v>4</v>
      </c>
      <c r="BK61" s="4" t="str">
        <f t="shared" ca="1" si="85"/>
        <v>SI</v>
      </c>
      <c r="BL61" s="140">
        <f t="shared" ca="1" si="28"/>
        <v>10</v>
      </c>
      <c r="BM61" s="4" t="str">
        <f t="shared" ca="1" si="86"/>
        <v>Sì, centralizzato</v>
      </c>
      <c r="BN61" s="140">
        <f t="shared" ca="1" si="29"/>
        <v>10</v>
      </c>
      <c r="BO61" s="203" t="str">
        <f t="shared" ca="1" si="87"/>
        <v>ok</v>
      </c>
      <c r="BP61" s="4" t="str">
        <f t="shared" ca="1" si="88"/>
        <v>SI</v>
      </c>
      <c r="BQ61" s="140">
        <f t="shared" ca="1" si="30"/>
        <v>10</v>
      </c>
      <c r="BR61" s="4" t="str">
        <f t="shared" ca="1" si="88"/>
        <v>Sì, senza specificazione della copertura</v>
      </c>
      <c r="BS61" s="140">
        <f t="shared" ca="1" si="31"/>
        <v>10</v>
      </c>
      <c r="BT61" s="4" t="str">
        <f t="shared" ca="1" si="88"/>
        <v>Sì, senza specificazione della copertura</v>
      </c>
      <c r="BU61" s="140">
        <f t="shared" ca="1" si="32"/>
        <v>10</v>
      </c>
      <c r="BV61" s="4" t="str">
        <f t="shared" ca="1" si="88"/>
        <v>SI</v>
      </c>
      <c r="BW61" s="140">
        <f t="shared" ca="1" si="33"/>
        <v>10</v>
      </c>
      <c r="BX61" s="4" t="str">
        <f t="shared" ca="1" si="88"/>
        <v>SI</v>
      </c>
      <c r="BY61" s="140">
        <f t="shared" ca="1" si="34"/>
        <v>10</v>
      </c>
      <c r="BZ61" s="4" t="str">
        <f t="shared" ca="1" si="89"/>
        <v>SI</v>
      </c>
      <c r="CA61" s="140">
        <f t="shared" ca="1" si="35"/>
        <v>10</v>
      </c>
      <c r="CB61" s="4" t="str">
        <f t="shared" ca="1" si="90"/>
        <v>SI</v>
      </c>
      <c r="CC61" s="140">
        <f t="shared" ca="1" si="36"/>
        <v>10</v>
      </c>
      <c r="CD61" s="4" t="str">
        <f t="shared" ca="1" si="91"/>
        <v>SI</v>
      </c>
      <c r="CE61" s="140">
        <f t="shared" ca="1" si="37"/>
        <v>10</v>
      </c>
      <c r="CF61" s="4" t="str">
        <f t="shared" ca="1" si="92"/>
        <v>NO</v>
      </c>
      <c r="CG61" s="140">
        <f t="shared" ca="1" si="38"/>
        <v>10</v>
      </c>
      <c r="CH61" s="4" t="str">
        <f t="shared" ca="1" si="93"/>
        <v>Rilevate &lt; 10</v>
      </c>
      <c r="CI61" s="140">
        <f t="shared" ca="1" si="39"/>
        <v>2</v>
      </c>
      <c r="CJ61" s="4" t="b">
        <f t="shared" ca="1" si="94"/>
        <v>0</v>
      </c>
      <c r="CK61" s="140">
        <f t="shared" ca="1" si="40"/>
        <v>0</v>
      </c>
      <c r="CL61" s="4" t="b">
        <f t="shared" ca="1" si="95"/>
        <v>0</v>
      </c>
      <c r="CM61" s="140">
        <f t="shared" ca="1" si="41"/>
        <v>0</v>
      </c>
      <c r="CN61" s="4" t="b">
        <f t="shared" ca="1" si="96"/>
        <v>0</v>
      </c>
      <c r="CO61" s="140">
        <f t="shared" ca="1" si="42"/>
        <v>0</v>
      </c>
      <c r="CP61" s="4" t="b">
        <f t="shared" ca="1" si="97"/>
        <v>0</v>
      </c>
      <c r="CQ61" s="140">
        <f t="shared" ca="1" si="43"/>
        <v>0</v>
      </c>
      <c r="CR61" s="203" t="str">
        <f t="shared" ca="1" si="98"/>
        <v>ok</v>
      </c>
      <c r="CS61" s="4" t="str">
        <f t="shared" ca="1" si="99"/>
        <v>SI</v>
      </c>
      <c r="CT61" s="140">
        <f t="shared" ca="1" si="44"/>
        <v>10</v>
      </c>
      <c r="CU61" s="4" t="str">
        <f t="shared" ca="1" si="99"/>
        <v>SI</v>
      </c>
      <c r="CV61" s="140">
        <f t="shared" ca="1" si="45"/>
        <v>10</v>
      </c>
      <c r="CW61" s="4" t="str">
        <f t="shared" ca="1" si="99"/>
        <v>Sì, tutti</v>
      </c>
      <c r="CX61" s="140">
        <f t="shared" ca="1" si="46"/>
        <v>10</v>
      </c>
      <c r="CY61" s="4" t="str">
        <f t="shared" ca="1" si="99"/>
        <v>SI</v>
      </c>
      <c r="CZ61" s="140">
        <f t="shared" ca="1" si="47"/>
        <v>10</v>
      </c>
      <c r="DA61" s="4" t="str">
        <f t="shared" ca="1" si="99"/>
        <v>SI</v>
      </c>
      <c r="DB61" s="140">
        <f t="shared" ca="1" si="48"/>
        <v>10</v>
      </c>
      <c r="DC61" s="4" t="str">
        <f t="shared" ca="1" si="100"/>
        <v>SI</v>
      </c>
      <c r="DD61" s="140">
        <f t="shared" ca="1" si="49"/>
        <v>10</v>
      </c>
      <c r="DE61" s="4" t="str">
        <f t="shared" ca="1" si="101"/>
        <v>SI</v>
      </c>
      <c r="DF61" s="140">
        <f t="shared" ca="1" si="50"/>
        <v>10</v>
      </c>
      <c r="DG61" s="4" t="str">
        <f t="shared" ca="1" si="102"/>
        <v>SI</v>
      </c>
      <c r="DH61" s="140">
        <f t="shared" ca="1" si="51"/>
        <v>6</v>
      </c>
      <c r="DI61" s="4" t="str">
        <f t="shared" ca="1" si="103"/>
        <v>Sì</v>
      </c>
      <c r="DJ61" s="140">
        <f t="shared" ca="1" si="52"/>
        <v>4</v>
      </c>
      <c r="DK61" s="4" t="str">
        <f t="shared" ca="1" si="104"/>
        <v>Solo personale interno</v>
      </c>
      <c r="DL61" s="140">
        <f t="shared" ca="1" si="53"/>
        <v>10</v>
      </c>
      <c r="DM61" s="4" t="str">
        <f t="shared" ca="1" si="105"/>
        <v>Non previsto audit</v>
      </c>
      <c r="DN61" s="140">
        <f t="shared" ca="1" si="54"/>
        <v>0</v>
      </c>
      <c r="DO61" s="4" t="str">
        <f t="shared" ca="1" si="106"/>
        <v>--</v>
      </c>
      <c r="DP61" s="140">
        <f t="shared" ca="1" si="55"/>
        <v>0</v>
      </c>
      <c r="DQ61" s="4" t="str">
        <f t="shared" ca="1" si="107"/>
        <v>SI</v>
      </c>
      <c r="DR61" s="140">
        <f t="shared" ca="1" si="56"/>
        <v>4</v>
      </c>
      <c r="DS61" s="80" t="str">
        <f t="shared" ca="1" si="108"/>
        <v>Compresa tra 5 % e 10%</v>
      </c>
      <c r="DT61" s="140">
        <f t="shared" ca="1" si="57"/>
        <v>4</v>
      </c>
      <c r="DU61" s="4" t="str">
        <f t="shared" ca="1" si="109"/>
        <v>Sì, con copertura analisi rischi parziale</v>
      </c>
      <c r="DV61" s="140">
        <f t="shared" ca="1" si="114"/>
        <v>8</v>
      </c>
      <c r="DW61" s="4" t="str">
        <f t="shared" ca="1" si="110"/>
        <v>SI</v>
      </c>
      <c r="DX61" s="140">
        <f t="shared" ca="1" si="58"/>
        <v>10</v>
      </c>
      <c r="DY61" s="4" t="str">
        <f t="shared" ca="1" si="111"/>
        <v>NO</v>
      </c>
      <c r="DZ61" s="140">
        <f t="shared" ca="1" si="59"/>
        <v>0</v>
      </c>
      <c r="EA61" s="80" t="str">
        <f t="shared" ca="1" si="112"/>
        <v>Inferiore al 10 %</v>
      </c>
      <c r="EB61" s="140">
        <f t="shared" ca="1" si="60"/>
        <v>2</v>
      </c>
      <c r="EC61" s="4">
        <f t="shared" ca="1" si="127"/>
        <v>391</v>
      </c>
    </row>
    <row r="62" spans="1:133">
      <c r="A62" s="363" t="str">
        <f t="shared" ca="1" si="0"/>
        <v xml:space="preserve">Istituto dei postelegrafonici                                                                       </v>
      </c>
      <c r="B62" s="50">
        <f ca="1">VLOOKUP( TRIM(A62), Classificazione!$A$5:$B$71, 2, FALSE)</f>
        <v>36</v>
      </c>
      <c r="C62" s="364">
        <f ca="1">VLOOKUP(TRIM(A62), Classificazione!$A$5:$L$71, 12, FALSE)</f>
        <v>295</v>
      </c>
      <c r="D62" s="4" t="str">
        <f t="shared" ca="1" si="62"/>
        <v>Completamente centralizzato</v>
      </c>
      <c r="E62" s="140">
        <f t="shared" ca="1" si="113"/>
        <v>6</v>
      </c>
      <c r="F62" s="4" t="str">
        <f t="shared" ca="1" si="62"/>
        <v>SI</v>
      </c>
      <c r="G62" s="140">
        <f t="shared" ca="1" si="115"/>
        <v>10</v>
      </c>
      <c r="H62" s="4" t="str">
        <f t="shared" ca="1" si="62"/>
        <v>NO</v>
      </c>
      <c r="I62" s="140">
        <f t="shared" ca="1" si="63"/>
        <v>0</v>
      </c>
      <c r="J62" s="4" t="b">
        <f t="shared" ca="1" si="62"/>
        <v>0</v>
      </c>
      <c r="K62" s="140">
        <f t="shared" ca="1" si="64"/>
        <v>0</v>
      </c>
      <c r="L62" s="4" t="b">
        <f t="shared" ca="1" si="62"/>
        <v>0</v>
      </c>
      <c r="M62" s="140">
        <f t="shared" ca="1" si="2"/>
        <v>0</v>
      </c>
      <c r="N62" s="4" t="b">
        <f t="shared" ca="1" si="65"/>
        <v>0</v>
      </c>
      <c r="O62" s="140">
        <f t="shared" ca="1" si="3"/>
        <v>0</v>
      </c>
      <c r="P62" s="4" t="b">
        <f t="shared" ca="1" si="66"/>
        <v>0</v>
      </c>
      <c r="Q62" s="140">
        <f t="shared" ca="1" si="117"/>
        <v>0</v>
      </c>
      <c r="R62" s="4" t="str">
        <f t="shared" ca="1" si="67"/>
        <v>UserId/Password</v>
      </c>
      <c r="S62" s="140">
        <f t="shared" ca="1" si="118"/>
        <v>2</v>
      </c>
      <c r="T62" s="4" t="str">
        <f t="shared" ca="1" si="68"/>
        <v>SI</v>
      </c>
      <c r="U62" s="140">
        <f t="shared" ca="1" si="119"/>
        <v>2</v>
      </c>
      <c r="V62" s="4" t="str">
        <f t="shared" ca="1" si="69"/>
        <v>SI</v>
      </c>
      <c r="W62" s="140">
        <f t="shared" ca="1" si="120"/>
        <v>2</v>
      </c>
      <c r="X62" s="4" t="str">
        <f t="shared" ca="1" si="70"/>
        <v>NO</v>
      </c>
      <c r="Y62" s="140">
        <f t="shared" ca="1" si="121"/>
        <v>0</v>
      </c>
      <c r="Z62" s="4" t="str">
        <f t="shared" ca="1" si="71"/>
        <v>Automaticamente</v>
      </c>
      <c r="AA62" s="140">
        <f t="shared" ca="1" si="116"/>
        <v>10</v>
      </c>
      <c r="AB62" s="4" t="str">
        <f t="shared" ca="1" si="72"/>
        <v>SI</v>
      </c>
      <c r="AC62" s="140">
        <f t="shared" ca="1" si="122"/>
        <v>10</v>
      </c>
      <c r="AD62" s="4" t="str">
        <f t="shared" ca="1" si="73"/>
        <v>Esistono postazioni mobili o supporti dati rimuovibili con sistemi di prevenzione degli accessi</v>
      </c>
      <c r="AE62" s="140">
        <f t="shared" ca="1" si="123"/>
        <v>10</v>
      </c>
      <c r="AF62" s="4" t="str">
        <f t="shared" ca="1" si="74"/>
        <v>SI</v>
      </c>
      <c r="AG62" s="140">
        <f t="shared" ca="1" si="124"/>
        <v>6</v>
      </c>
      <c r="AH62" s="4" t="str">
        <f t="shared" ca="1" si="75"/>
        <v>SI</v>
      </c>
      <c r="AI62" s="140">
        <f t="shared" ca="1" si="125"/>
        <v>4</v>
      </c>
      <c r="AJ62" s="4" t="str">
        <f t="shared" ca="1" si="76"/>
        <v>SI</v>
      </c>
      <c r="AK62" s="140">
        <f t="shared" ca="1" si="126"/>
        <v>10</v>
      </c>
      <c r="AL62" s="203" t="str">
        <f t="shared" ca="1" si="15"/>
        <v>ok</v>
      </c>
      <c r="AM62" s="4" t="str">
        <f t="shared" ca="1" si="77"/>
        <v>SI</v>
      </c>
      <c r="AN62" s="140">
        <f t="shared" ca="1" si="16"/>
        <v>10</v>
      </c>
      <c r="AO62" s="4" t="str">
        <f t="shared" ca="1" si="77"/>
        <v>SI</v>
      </c>
      <c r="AP62" s="140">
        <f t="shared" ca="1" si="17"/>
        <v>10</v>
      </c>
      <c r="AQ62" s="4" t="str">
        <f t="shared" ca="1" si="77"/>
        <v>NO</v>
      </c>
      <c r="AR62" s="140">
        <f t="shared" ca="1" si="18"/>
        <v>0</v>
      </c>
      <c r="AS62" s="4" t="b">
        <f t="shared" ca="1" si="77"/>
        <v>1</v>
      </c>
      <c r="AT62" s="140">
        <f t="shared" ca="1" si="19"/>
        <v>5</v>
      </c>
      <c r="AU62" s="4" t="b">
        <f t="shared" ca="1" si="77"/>
        <v>1</v>
      </c>
      <c r="AV62" s="140">
        <f t="shared" ca="1" si="20"/>
        <v>5</v>
      </c>
      <c r="AW62" s="4" t="b">
        <f t="shared" ca="1" si="78"/>
        <v>0</v>
      </c>
      <c r="AX62" s="140">
        <f t="shared" ca="1" si="21"/>
        <v>0</v>
      </c>
      <c r="AY62" s="4" t="str">
        <f t="shared" ca="1" si="79"/>
        <v>NO</v>
      </c>
      <c r="AZ62" s="140">
        <f t="shared" ca="1" si="22"/>
        <v>6</v>
      </c>
      <c r="BA62" s="4" t="str">
        <f t="shared" ca="1" si="80"/>
        <v>Nessuno</v>
      </c>
      <c r="BB62" s="140">
        <f t="shared" ca="1" si="23"/>
        <v>0</v>
      </c>
      <c r="BC62" s="4" t="str">
        <f t="shared" ca="1" si="81"/>
        <v>SI</v>
      </c>
      <c r="BD62" s="140">
        <f t="shared" ca="1" si="24"/>
        <v>0</v>
      </c>
      <c r="BE62" s="4" t="str">
        <f t="shared" ca="1" si="82"/>
        <v>Accesso remoto mediante  VPN</v>
      </c>
      <c r="BF62" s="140">
        <f t="shared" ca="1" si="25"/>
        <v>10</v>
      </c>
      <c r="BG62" s="4" t="str">
        <f t="shared" ca="1" si="83"/>
        <v>SI</v>
      </c>
      <c r="BH62" s="140">
        <f t="shared" ca="1" si="26"/>
        <v>6</v>
      </c>
      <c r="BI62" s="4" t="str">
        <f t="shared" ca="1" si="84"/>
        <v>SI</v>
      </c>
      <c r="BJ62" s="140">
        <f t="shared" ca="1" si="27"/>
        <v>4</v>
      </c>
      <c r="BK62" s="4" t="str">
        <f t="shared" ca="1" si="85"/>
        <v>SI</v>
      </c>
      <c r="BL62" s="140">
        <f t="shared" ca="1" si="28"/>
        <v>10</v>
      </c>
      <c r="BM62" s="4" t="str">
        <f t="shared" ca="1" si="86"/>
        <v>Sì, centralizzato</v>
      </c>
      <c r="BN62" s="140">
        <f t="shared" ca="1" si="29"/>
        <v>10</v>
      </c>
      <c r="BO62" s="203" t="str">
        <f t="shared" ca="1" si="87"/>
        <v>ok</v>
      </c>
      <c r="BP62" s="4" t="str">
        <f t="shared" ca="1" si="88"/>
        <v>SI</v>
      </c>
      <c r="BQ62" s="140">
        <f t="shared" ca="1" si="30"/>
        <v>10</v>
      </c>
      <c r="BR62" s="4" t="str">
        <f t="shared" ca="1" si="88"/>
        <v>Sì, solo per le applicazioni più importanti</v>
      </c>
      <c r="BS62" s="140">
        <f t="shared" ca="1" si="31"/>
        <v>6</v>
      </c>
      <c r="BT62" s="4" t="str">
        <f t="shared" ca="1" si="88"/>
        <v>Sì, solo per le applicazioni più importanti</v>
      </c>
      <c r="BU62" s="140">
        <f t="shared" ca="1" si="32"/>
        <v>6</v>
      </c>
      <c r="BV62" s="4" t="str">
        <f t="shared" ca="1" si="88"/>
        <v>NO</v>
      </c>
      <c r="BW62" s="140">
        <f t="shared" ca="1" si="33"/>
        <v>0</v>
      </c>
      <c r="BX62" s="4" t="str">
        <f t="shared" ca="1" si="88"/>
        <v>SI</v>
      </c>
      <c r="BY62" s="140">
        <f t="shared" ca="1" si="34"/>
        <v>10</v>
      </c>
      <c r="BZ62" s="4" t="str">
        <f t="shared" ca="1" si="89"/>
        <v>SI</v>
      </c>
      <c r="CA62" s="140">
        <f t="shared" ca="1" si="35"/>
        <v>10</v>
      </c>
      <c r="CB62" s="4" t="str">
        <f t="shared" ca="1" si="90"/>
        <v>SI</v>
      </c>
      <c r="CC62" s="140">
        <f t="shared" ca="1" si="36"/>
        <v>10</v>
      </c>
      <c r="CD62" s="4" t="str">
        <f t="shared" ca="1" si="91"/>
        <v>SI</v>
      </c>
      <c r="CE62" s="140">
        <f t="shared" ca="1" si="37"/>
        <v>10</v>
      </c>
      <c r="CF62" s="4" t="str">
        <f t="shared" ca="1" si="92"/>
        <v>NO</v>
      </c>
      <c r="CG62" s="140">
        <f t="shared" ca="1" si="38"/>
        <v>10</v>
      </c>
      <c r="CH62" s="4" t="str">
        <f t="shared" ca="1" si="93"/>
        <v>Rilevate &lt; 10</v>
      </c>
      <c r="CI62" s="140">
        <f t="shared" ca="1" si="39"/>
        <v>2</v>
      </c>
      <c r="CJ62" s="4" t="b">
        <f t="shared" ca="1" si="94"/>
        <v>0</v>
      </c>
      <c r="CK62" s="140">
        <f t="shared" ca="1" si="40"/>
        <v>0</v>
      </c>
      <c r="CL62" s="4" t="b">
        <f t="shared" ca="1" si="95"/>
        <v>0</v>
      </c>
      <c r="CM62" s="140">
        <f t="shared" ca="1" si="41"/>
        <v>0</v>
      </c>
      <c r="CN62" s="4" t="b">
        <f t="shared" ca="1" si="96"/>
        <v>0</v>
      </c>
      <c r="CO62" s="140">
        <f t="shared" ca="1" si="42"/>
        <v>0</v>
      </c>
      <c r="CP62" s="4" t="b">
        <f t="shared" ca="1" si="97"/>
        <v>0</v>
      </c>
      <c r="CQ62" s="140">
        <f t="shared" ca="1" si="43"/>
        <v>0</v>
      </c>
      <c r="CR62" s="203" t="str">
        <f t="shared" ca="1" si="98"/>
        <v>ok</v>
      </c>
      <c r="CS62" s="4" t="str">
        <f t="shared" ca="1" si="99"/>
        <v>SI</v>
      </c>
      <c r="CT62" s="140">
        <f t="shared" ca="1" si="44"/>
        <v>10</v>
      </c>
      <c r="CU62" s="4" t="str">
        <f t="shared" ca="1" si="99"/>
        <v>SI</v>
      </c>
      <c r="CV62" s="140">
        <f t="shared" ca="1" si="45"/>
        <v>10</v>
      </c>
      <c r="CW62" s="4" t="str">
        <f t="shared" ca="1" si="99"/>
        <v>Sì, tutti</v>
      </c>
      <c r="CX62" s="140">
        <f t="shared" ca="1" si="46"/>
        <v>10</v>
      </c>
      <c r="CY62" s="4" t="str">
        <f t="shared" ca="1" si="99"/>
        <v>SI</v>
      </c>
      <c r="CZ62" s="140">
        <f t="shared" ca="1" si="47"/>
        <v>10</v>
      </c>
      <c r="DA62" s="4" t="str">
        <f t="shared" ca="1" si="99"/>
        <v>SI</v>
      </c>
      <c r="DB62" s="140">
        <f t="shared" ca="1" si="48"/>
        <v>10</v>
      </c>
      <c r="DC62" s="4" t="str">
        <f t="shared" ca="1" si="100"/>
        <v>SI</v>
      </c>
      <c r="DD62" s="140">
        <f t="shared" ca="1" si="49"/>
        <v>10</v>
      </c>
      <c r="DE62" s="4" t="str">
        <f t="shared" ca="1" si="101"/>
        <v>SI</v>
      </c>
      <c r="DF62" s="140">
        <f t="shared" ca="1" si="50"/>
        <v>10</v>
      </c>
      <c r="DG62" s="4" t="str">
        <f t="shared" ca="1" si="102"/>
        <v>SI</v>
      </c>
      <c r="DH62" s="140">
        <f t="shared" ca="1" si="51"/>
        <v>6</v>
      </c>
      <c r="DI62" s="4" t="str">
        <f t="shared" ca="1" si="103"/>
        <v>Sì</v>
      </c>
      <c r="DJ62" s="140">
        <f t="shared" ca="1" si="52"/>
        <v>4</v>
      </c>
      <c r="DK62" s="4" t="str">
        <f t="shared" ca="1" si="104"/>
        <v>Solo personale interno</v>
      </c>
      <c r="DL62" s="140">
        <f t="shared" ca="1" si="53"/>
        <v>10</v>
      </c>
      <c r="DM62" s="4" t="str">
        <f t="shared" ca="1" si="105"/>
        <v>Non previsto audit</v>
      </c>
      <c r="DN62" s="140">
        <f t="shared" ca="1" si="54"/>
        <v>0</v>
      </c>
      <c r="DO62" s="4" t="str">
        <f t="shared" ca="1" si="106"/>
        <v>NO</v>
      </c>
      <c r="DP62" s="140">
        <f t="shared" ca="1" si="55"/>
        <v>0</v>
      </c>
      <c r="DQ62" s="4" t="str">
        <f t="shared" ca="1" si="107"/>
        <v>NO</v>
      </c>
      <c r="DR62" s="140">
        <f t="shared" ca="1" si="56"/>
        <v>0</v>
      </c>
      <c r="DS62" s="80" t="str">
        <f t="shared" ca="1" si="108"/>
        <v>--</v>
      </c>
      <c r="DT62" s="140">
        <f t="shared" ca="1" si="57"/>
        <v>0</v>
      </c>
      <c r="DU62" s="4" t="str">
        <f t="shared" ca="1" si="109"/>
        <v>Sì, con copertura analisi rischi totale</v>
      </c>
      <c r="DV62" s="140">
        <f t="shared" ca="1" si="114"/>
        <v>10</v>
      </c>
      <c r="DW62" s="4" t="str">
        <f t="shared" ca="1" si="110"/>
        <v>SI</v>
      </c>
      <c r="DX62" s="140">
        <f t="shared" ca="1" si="58"/>
        <v>10</v>
      </c>
      <c r="DY62" s="4" t="str">
        <f t="shared" ca="1" si="111"/>
        <v>NO</v>
      </c>
      <c r="DZ62" s="140">
        <f t="shared" ca="1" si="59"/>
        <v>0</v>
      </c>
      <c r="EA62" s="80" t="str">
        <f t="shared" ca="1" si="112"/>
        <v>Inferiore al 10 %</v>
      </c>
      <c r="EB62" s="140">
        <f t="shared" ca="1" si="60"/>
        <v>2</v>
      </c>
      <c r="EC62" s="4">
        <f t="shared" ca="1" si="127"/>
        <v>334</v>
      </c>
    </row>
    <row r="63" spans="1:133">
      <c r="A63" s="363" t="str">
        <f t="shared" ca="1" si="0"/>
        <v xml:space="preserve">Istituto per lo sviluppo della formazione professionale dei lavoratori                              </v>
      </c>
      <c r="B63" s="50">
        <f ca="1">VLOOKUP( TRIM(A63), Classificazione!$A$5:$B$71, 2, FALSE)</f>
        <v>120</v>
      </c>
      <c r="C63" s="364">
        <f ca="1">VLOOKUP(TRIM(A63), Classificazione!$A$5:$L$71, 12, FALSE)</f>
        <v>619</v>
      </c>
      <c r="D63" s="4" t="str">
        <f t="shared" ca="1" si="62"/>
        <v>Completamente centralizzato</v>
      </c>
      <c r="E63" s="140">
        <f t="shared" ca="1" si="113"/>
        <v>6</v>
      </c>
      <c r="F63" s="4" t="str">
        <f t="shared" ca="1" si="62"/>
        <v>SI</v>
      </c>
      <c r="G63" s="140">
        <f t="shared" ca="1" si="115"/>
        <v>10</v>
      </c>
      <c r="H63" s="4" t="str">
        <f t="shared" ca="1" si="62"/>
        <v>SI</v>
      </c>
      <c r="I63" s="140">
        <f t="shared" ca="1" si="63"/>
        <v>10</v>
      </c>
      <c r="J63" s="4" t="b">
        <f t="shared" ca="1" si="62"/>
        <v>0</v>
      </c>
      <c r="K63" s="140">
        <f t="shared" ca="1" si="64"/>
        <v>0</v>
      </c>
      <c r="L63" s="4" t="b">
        <f t="shared" ca="1" si="62"/>
        <v>0</v>
      </c>
      <c r="M63" s="140">
        <f t="shared" ca="1" si="2"/>
        <v>0</v>
      </c>
      <c r="N63" s="4" t="b">
        <f t="shared" ca="1" si="65"/>
        <v>1</v>
      </c>
      <c r="O63" s="140">
        <f t="shared" ca="1" si="3"/>
        <v>3</v>
      </c>
      <c r="P63" s="4" t="b">
        <f t="shared" ca="1" si="66"/>
        <v>1</v>
      </c>
      <c r="Q63" s="140">
        <f t="shared" ca="1" si="117"/>
        <v>3</v>
      </c>
      <c r="R63" s="4" t="str">
        <f t="shared" ca="1" si="67"/>
        <v>UserId/Password</v>
      </c>
      <c r="S63" s="140">
        <f t="shared" ca="1" si="118"/>
        <v>2</v>
      </c>
      <c r="T63" s="4" t="str">
        <f t="shared" ca="1" si="68"/>
        <v>SI</v>
      </c>
      <c r="U63" s="140">
        <f t="shared" ca="1" si="119"/>
        <v>2</v>
      </c>
      <c r="V63" s="4" t="str">
        <f t="shared" ca="1" si="69"/>
        <v>SI</v>
      </c>
      <c r="W63" s="140">
        <f t="shared" ca="1" si="120"/>
        <v>2</v>
      </c>
      <c r="X63" s="4" t="str">
        <f t="shared" ca="1" si="70"/>
        <v>SI</v>
      </c>
      <c r="Y63" s="140">
        <f t="shared" ca="1" si="121"/>
        <v>4</v>
      </c>
      <c r="Z63" s="4" t="str">
        <f t="shared" ca="1" si="71"/>
        <v>Automaticamente</v>
      </c>
      <c r="AA63" s="140">
        <f t="shared" ca="1" si="116"/>
        <v>10</v>
      </c>
      <c r="AB63" s="4" t="str">
        <f t="shared" ca="1" si="72"/>
        <v>SI</v>
      </c>
      <c r="AC63" s="140">
        <f t="shared" ca="1" si="122"/>
        <v>10</v>
      </c>
      <c r="AD63" s="4" t="str">
        <f t="shared" ca="1" si="73"/>
        <v>N.R.</v>
      </c>
      <c r="AE63" s="140">
        <f t="shared" ca="1" si="123"/>
        <v>0</v>
      </c>
      <c r="AF63" s="4" t="str">
        <f t="shared" ca="1" si="74"/>
        <v>SI</v>
      </c>
      <c r="AG63" s="140">
        <f t="shared" ca="1" si="124"/>
        <v>6</v>
      </c>
      <c r="AH63" s="4" t="str">
        <f t="shared" ca="1" si="75"/>
        <v>SI</v>
      </c>
      <c r="AI63" s="140">
        <f t="shared" ca="1" si="125"/>
        <v>4</v>
      </c>
      <c r="AJ63" s="4" t="str">
        <f t="shared" ca="1" si="76"/>
        <v>SI</v>
      </c>
      <c r="AK63" s="140">
        <f t="shared" ca="1" si="126"/>
        <v>10</v>
      </c>
      <c r="AL63" s="203" t="str">
        <f t="shared" ca="1" si="15"/>
        <v>ok</v>
      </c>
      <c r="AM63" s="4" t="str">
        <f t="shared" ca="1" si="77"/>
        <v>SI</v>
      </c>
      <c r="AN63" s="140">
        <f t="shared" ca="1" si="16"/>
        <v>10</v>
      </c>
      <c r="AO63" s="4" t="str">
        <f t="shared" ca="1" si="77"/>
        <v>SI</v>
      </c>
      <c r="AP63" s="140">
        <f t="shared" ca="1" si="17"/>
        <v>10</v>
      </c>
      <c r="AQ63" s="4" t="str">
        <f t="shared" ca="1" si="77"/>
        <v>NO</v>
      </c>
      <c r="AR63" s="140">
        <f t="shared" ca="1" si="18"/>
        <v>0</v>
      </c>
      <c r="AS63" s="4" t="b">
        <f t="shared" ca="1" si="77"/>
        <v>1</v>
      </c>
      <c r="AT63" s="140">
        <f t="shared" ca="1" si="19"/>
        <v>5</v>
      </c>
      <c r="AU63" s="4" t="b">
        <f t="shared" ca="1" si="77"/>
        <v>0</v>
      </c>
      <c r="AV63" s="140">
        <f t="shared" ca="1" si="20"/>
        <v>0</v>
      </c>
      <c r="AW63" s="4" t="b">
        <f t="shared" ca="1" si="78"/>
        <v>0</v>
      </c>
      <c r="AX63" s="140">
        <f t="shared" ca="1" si="21"/>
        <v>0</v>
      </c>
      <c r="AY63" s="4" t="str">
        <f t="shared" ca="1" si="79"/>
        <v>--</v>
      </c>
      <c r="AZ63" s="140">
        <f t="shared" ca="1" si="22"/>
        <v>0</v>
      </c>
      <c r="BA63" s="4" t="str">
        <f t="shared" ca="1" si="80"/>
        <v>Nessuno</v>
      </c>
      <c r="BB63" s="140">
        <f t="shared" ca="1" si="23"/>
        <v>0</v>
      </c>
      <c r="BC63" s="4" t="str">
        <f t="shared" ca="1" si="81"/>
        <v>--</v>
      </c>
      <c r="BD63" s="140">
        <f t="shared" ca="1" si="24"/>
        <v>0</v>
      </c>
      <c r="BE63" s="4" t="str">
        <f t="shared" ca="1" si="82"/>
        <v>--</v>
      </c>
      <c r="BF63" s="140">
        <f t="shared" ca="1" si="25"/>
        <v>0</v>
      </c>
      <c r="BG63" s="4" t="str">
        <f t="shared" ca="1" si="83"/>
        <v>--</v>
      </c>
      <c r="BH63" s="140">
        <f t="shared" ca="1" si="26"/>
        <v>0</v>
      </c>
      <c r="BI63" s="4" t="str">
        <f t="shared" ca="1" si="84"/>
        <v>--</v>
      </c>
      <c r="BJ63" s="140">
        <f t="shared" ca="1" si="27"/>
        <v>0</v>
      </c>
      <c r="BK63" s="4" t="str">
        <f t="shared" ca="1" si="85"/>
        <v>--</v>
      </c>
      <c r="BL63" s="140">
        <f t="shared" ca="1" si="28"/>
        <v>0</v>
      </c>
      <c r="BM63" s="4" t="str">
        <f t="shared" ca="1" si="86"/>
        <v>Sì, centralizzato</v>
      </c>
      <c r="BN63" s="140">
        <f t="shared" ca="1" si="29"/>
        <v>10</v>
      </c>
      <c r="BO63" s="203" t="str">
        <f t="shared" ca="1" si="87"/>
        <v>ok</v>
      </c>
      <c r="BP63" s="4" t="str">
        <f t="shared" ca="1" si="88"/>
        <v>NO</v>
      </c>
      <c r="BQ63" s="140">
        <f t="shared" ca="1" si="30"/>
        <v>0</v>
      </c>
      <c r="BR63" s="4" t="str">
        <f t="shared" ca="1" si="88"/>
        <v>Sì, senza specificazione della copertura</v>
      </c>
      <c r="BS63" s="140">
        <f t="shared" ca="1" si="31"/>
        <v>10</v>
      </c>
      <c r="BT63" s="4" t="str">
        <f t="shared" ca="1" si="88"/>
        <v>No</v>
      </c>
      <c r="BU63" s="140">
        <f t="shared" ca="1" si="32"/>
        <v>0</v>
      </c>
      <c r="BV63" s="4" t="str">
        <f t="shared" ca="1" si="88"/>
        <v>--</v>
      </c>
      <c r="BW63" s="140">
        <f t="shared" ca="1" si="33"/>
        <v>0</v>
      </c>
      <c r="BX63" s="4" t="str">
        <f t="shared" ca="1" si="88"/>
        <v>SI</v>
      </c>
      <c r="BY63" s="140">
        <f t="shared" ca="1" si="34"/>
        <v>10</v>
      </c>
      <c r="BZ63" s="4" t="str">
        <f t="shared" ca="1" si="89"/>
        <v>SI</v>
      </c>
      <c r="CA63" s="140">
        <f t="shared" ca="1" si="35"/>
        <v>10</v>
      </c>
      <c r="CB63" s="4" t="str">
        <f t="shared" ca="1" si="90"/>
        <v>SI</v>
      </c>
      <c r="CC63" s="140">
        <f t="shared" ca="1" si="36"/>
        <v>10</v>
      </c>
      <c r="CD63" s="4" t="str">
        <f t="shared" ca="1" si="91"/>
        <v>SI</v>
      </c>
      <c r="CE63" s="140">
        <f t="shared" ca="1" si="37"/>
        <v>10</v>
      </c>
      <c r="CF63" s="4" t="str">
        <f t="shared" ca="1" si="92"/>
        <v>NO</v>
      </c>
      <c r="CG63" s="140">
        <f t="shared" ca="1" si="38"/>
        <v>10</v>
      </c>
      <c r="CH63" s="4" t="str">
        <f t="shared" ca="1" si="93"/>
        <v>Rilevate &lt; 10</v>
      </c>
      <c r="CI63" s="140">
        <f t="shared" ca="1" si="39"/>
        <v>2</v>
      </c>
      <c r="CJ63" s="4" t="b">
        <f t="shared" ca="1" si="94"/>
        <v>0</v>
      </c>
      <c r="CK63" s="140">
        <f t="shared" ca="1" si="40"/>
        <v>0</v>
      </c>
      <c r="CL63" s="4" t="b">
        <f t="shared" ca="1" si="95"/>
        <v>0</v>
      </c>
      <c r="CM63" s="140">
        <f t="shared" ca="1" si="41"/>
        <v>0</v>
      </c>
      <c r="CN63" s="4" t="b">
        <f t="shared" ca="1" si="96"/>
        <v>0</v>
      </c>
      <c r="CO63" s="140">
        <f t="shared" ca="1" si="42"/>
        <v>0</v>
      </c>
      <c r="CP63" s="4" t="b">
        <f t="shared" ca="1" si="97"/>
        <v>0</v>
      </c>
      <c r="CQ63" s="140">
        <f t="shared" ca="1" si="43"/>
        <v>0</v>
      </c>
      <c r="CR63" s="203" t="str">
        <f t="shared" ca="1" si="98"/>
        <v>ok</v>
      </c>
      <c r="CS63" s="4" t="str">
        <f t="shared" ca="1" si="99"/>
        <v>NO</v>
      </c>
      <c r="CT63" s="140">
        <f t="shared" ca="1" si="44"/>
        <v>0</v>
      </c>
      <c r="CU63" s="4" t="str">
        <f t="shared" ca="1" si="99"/>
        <v>NO</v>
      </c>
      <c r="CV63" s="140">
        <f t="shared" ca="1" si="45"/>
        <v>0</v>
      </c>
      <c r="CW63" s="4" t="str">
        <f t="shared" ca="1" si="99"/>
        <v>Sì, alcuni</v>
      </c>
      <c r="CX63" s="140">
        <f t="shared" ca="1" si="46"/>
        <v>6</v>
      </c>
      <c r="CY63" s="4" t="str">
        <f t="shared" ca="1" si="99"/>
        <v>NO</v>
      </c>
      <c r="CZ63" s="140">
        <f t="shared" ca="1" si="47"/>
        <v>0</v>
      </c>
      <c r="DA63" s="4" t="str">
        <f t="shared" ca="1" si="99"/>
        <v>SI</v>
      </c>
      <c r="DB63" s="140">
        <f t="shared" ca="1" si="48"/>
        <v>10</v>
      </c>
      <c r="DC63" s="4" t="str">
        <f t="shared" ca="1" si="100"/>
        <v>SI</v>
      </c>
      <c r="DD63" s="140">
        <f t="shared" ca="1" si="49"/>
        <v>10</v>
      </c>
      <c r="DE63" s="4" t="str">
        <f t="shared" ca="1" si="101"/>
        <v>SI</v>
      </c>
      <c r="DF63" s="140">
        <f t="shared" ca="1" si="50"/>
        <v>10</v>
      </c>
      <c r="DG63" s="4" t="str">
        <f t="shared" ca="1" si="102"/>
        <v>SI</v>
      </c>
      <c r="DH63" s="140">
        <f t="shared" ca="1" si="51"/>
        <v>6</v>
      </c>
      <c r="DI63" s="4" t="str">
        <f t="shared" ca="1" si="103"/>
        <v>No</v>
      </c>
      <c r="DJ63" s="140">
        <f t="shared" ca="1" si="52"/>
        <v>0</v>
      </c>
      <c r="DK63" s="4" t="str">
        <f t="shared" ca="1" si="104"/>
        <v>Personale misto</v>
      </c>
      <c r="DL63" s="140">
        <f t="shared" ca="1" si="53"/>
        <v>6</v>
      </c>
      <c r="DM63" s="4" t="str">
        <f t="shared" ca="1" si="105"/>
        <v>Non previsto audit</v>
      </c>
      <c r="DN63" s="140">
        <f t="shared" ca="1" si="54"/>
        <v>0</v>
      </c>
      <c r="DO63" s="4" t="str">
        <f t="shared" ca="1" si="106"/>
        <v>--</v>
      </c>
      <c r="DP63" s="140">
        <f t="shared" ca="1" si="55"/>
        <v>0</v>
      </c>
      <c r="DQ63" s="4" t="str">
        <f t="shared" ca="1" si="107"/>
        <v>SI</v>
      </c>
      <c r="DR63" s="140">
        <f t="shared" ca="1" si="56"/>
        <v>4</v>
      </c>
      <c r="DS63" s="80" t="str">
        <f t="shared" ca="1" si="108"/>
        <v>Inferiore al 5 %</v>
      </c>
      <c r="DT63" s="140">
        <f t="shared" ca="1" si="57"/>
        <v>2</v>
      </c>
      <c r="DU63" s="4" t="str">
        <f t="shared" ca="1" si="109"/>
        <v>No</v>
      </c>
      <c r="DV63" s="140">
        <f t="shared" ca="1" si="114"/>
        <v>0</v>
      </c>
      <c r="DW63" s="4" t="str">
        <f t="shared" ca="1" si="110"/>
        <v>SI</v>
      </c>
      <c r="DX63" s="140">
        <f t="shared" ca="1" si="58"/>
        <v>10</v>
      </c>
      <c r="DY63" s="4" t="str">
        <f t="shared" ca="1" si="111"/>
        <v>NO</v>
      </c>
      <c r="DZ63" s="140">
        <f t="shared" ca="1" si="59"/>
        <v>0</v>
      </c>
      <c r="EA63" s="80" t="str">
        <f t="shared" ca="1" si="112"/>
        <v>Inferiore al 10 %</v>
      </c>
      <c r="EB63" s="140">
        <f t="shared" ca="1" si="60"/>
        <v>2</v>
      </c>
      <c r="EC63" s="4">
        <f t="shared" ca="1" si="127"/>
        <v>245</v>
      </c>
    </row>
    <row r="64" spans="1:133">
      <c r="A64" s="363" t="str">
        <f t="shared" ca="1" si="0"/>
        <v xml:space="preserve">Istituto superiore di sanità                                                                        </v>
      </c>
      <c r="B64" s="50">
        <f ca="1">VLOOKUP( TRIM(A64), Classificazione!$A$5:$B$71, 2, FALSE)</f>
        <v>34</v>
      </c>
      <c r="C64" s="364">
        <f ca="1">VLOOKUP(TRIM(A64), Classificazione!$A$5:$L$71, 12, FALSE)</f>
        <v>1970</v>
      </c>
      <c r="D64" s="4" t="str">
        <f t="shared" ca="1" si="62"/>
        <v>Completamente centralizzato</v>
      </c>
      <c r="E64" s="140">
        <f t="shared" ca="1" si="113"/>
        <v>6</v>
      </c>
      <c r="F64" s="4" t="str">
        <f t="shared" ca="1" si="62"/>
        <v>SI</v>
      </c>
      <c r="G64" s="140">
        <f t="shared" ca="1" si="115"/>
        <v>10</v>
      </c>
      <c r="H64" s="4" t="str">
        <f t="shared" ca="1" si="62"/>
        <v>--</v>
      </c>
      <c r="I64" s="140">
        <f t="shared" ca="1" si="63"/>
        <v>0</v>
      </c>
      <c r="J64" s="4" t="b">
        <f t="shared" ca="1" si="62"/>
        <v>0</v>
      </c>
      <c r="K64" s="140">
        <f t="shared" ca="1" si="64"/>
        <v>0</v>
      </c>
      <c r="L64" s="4" t="b">
        <f t="shared" ca="1" si="62"/>
        <v>0</v>
      </c>
      <c r="M64" s="140">
        <f t="shared" ca="1" si="2"/>
        <v>0</v>
      </c>
      <c r="N64" s="4" t="b">
        <f t="shared" ca="1" si="65"/>
        <v>0</v>
      </c>
      <c r="O64" s="140">
        <f t="shared" ca="1" si="3"/>
        <v>0</v>
      </c>
      <c r="P64" s="4" t="b">
        <f t="shared" ca="1" si="66"/>
        <v>0</v>
      </c>
      <c r="Q64" s="140">
        <f t="shared" ca="1" si="117"/>
        <v>0</v>
      </c>
      <c r="R64" s="4" t="str">
        <f t="shared" ca="1" si="67"/>
        <v>UserId/Password</v>
      </c>
      <c r="S64" s="140">
        <f t="shared" ca="1" si="118"/>
        <v>2</v>
      </c>
      <c r="T64" s="4" t="str">
        <f t="shared" ca="1" si="68"/>
        <v>SI</v>
      </c>
      <c r="U64" s="140">
        <f t="shared" ca="1" si="119"/>
        <v>2</v>
      </c>
      <c r="V64" s="4" t="str">
        <f t="shared" ca="1" si="69"/>
        <v>SI</v>
      </c>
      <c r="W64" s="140">
        <f t="shared" ca="1" si="120"/>
        <v>2</v>
      </c>
      <c r="X64" s="4" t="str">
        <f t="shared" ca="1" si="70"/>
        <v>SI</v>
      </c>
      <c r="Y64" s="140">
        <f t="shared" ca="1" si="121"/>
        <v>4</v>
      </c>
      <c r="Z64" s="4" t="str">
        <f t="shared" ca="1" si="71"/>
        <v>Ogni sei mesi</v>
      </c>
      <c r="AA64" s="140">
        <f t="shared" ca="1" si="116"/>
        <v>4</v>
      </c>
      <c r="AB64" s="4" t="str">
        <f t="shared" ca="1" si="72"/>
        <v>SI</v>
      </c>
      <c r="AC64" s="140">
        <f t="shared" ca="1" si="122"/>
        <v>10</v>
      </c>
      <c r="AD64" s="4" t="str">
        <f t="shared" ca="1" si="73"/>
        <v>Esistono postazioni mobili o supporti dati rimuovibili con sistemi di prevenzione degli accessi</v>
      </c>
      <c r="AE64" s="140">
        <f t="shared" ca="1" si="123"/>
        <v>10</v>
      </c>
      <c r="AF64" s="4" t="str">
        <f t="shared" ca="1" si="74"/>
        <v>SI</v>
      </c>
      <c r="AG64" s="140">
        <f t="shared" ca="1" si="124"/>
        <v>6</v>
      </c>
      <c r="AH64" s="4" t="str">
        <f t="shared" ca="1" si="75"/>
        <v>SI</v>
      </c>
      <c r="AI64" s="140">
        <f t="shared" ca="1" si="125"/>
        <v>4</v>
      </c>
      <c r="AJ64" s="4" t="str">
        <f t="shared" ca="1" si="76"/>
        <v>SI</v>
      </c>
      <c r="AK64" s="140">
        <f t="shared" ca="1" si="126"/>
        <v>10</v>
      </c>
      <c r="AL64" s="203" t="str">
        <f t="shared" ca="1" si="15"/>
        <v>ok</v>
      </c>
      <c r="AM64" s="4" t="str">
        <f t="shared" ca="1" si="77"/>
        <v>SI</v>
      </c>
      <c r="AN64" s="140">
        <f t="shared" ca="1" si="16"/>
        <v>10</v>
      </c>
      <c r="AO64" s="4" t="str">
        <f t="shared" ca="1" si="77"/>
        <v>SI</v>
      </c>
      <c r="AP64" s="140">
        <f t="shared" ca="1" si="17"/>
        <v>10</v>
      </c>
      <c r="AQ64" s="4" t="str">
        <f t="shared" ca="1" si="77"/>
        <v>SI</v>
      </c>
      <c r="AR64" s="140">
        <f t="shared" ca="1" si="18"/>
        <v>10</v>
      </c>
      <c r="AS64" s="4" t="b">
        <f t="shared" ca="1" si="77"/>
        <v>1</v>
      </c>
      <c r="AT64" s="140">
        <f t="shared" ca="1" si="19"/>
        <v>5</v>
      </c>
      <c r="AU64" s="4" t="b">
        <f t="shared" ca="1" si="77"/>
        <v>1</v>
      </c>
      <c r="AV64" s="140">
        <f t="shared" ca="1" si="20"/>
        <v>5</v>
      </c>
      <c r="AW64" s="4" t="b">
        <f t="shared" ca="1" si="78"/>
        <v>0</v>
      </c>
      <c r="AX64" s="140">
        <f t="shared" ca="1" si="21"/>
        <v>0</v>
      </c>
      <c r="AY64" s="4" t="str">
        <f t="shared" ca="1" si="79"/>
        <v>SI</v>
      </c>
      <c r="AZ64" s="140">
        <f t="shared" ca="1" si="22"/>
        <v>0</v>
      </c>
      <c r="BA64" s="4" t="str">
        <f t="shared" ca="1" si="80"/>
        <v>WEP</v>
      </c>
      <c r="BB64" s="140">
        <f t="shared" ca="1" si="23"/>
        <v>4</v>
      </c>
      <c r="BC64" s="4" t="str">
        <f t="shared" ca="1" si="81"/>
        <v>SI</v>
      </c>
      <c r="BD64" s="140">
        <f t="shared" ca="1" si="24"/>
        <v>0</v>
      </c>
      <c r="BE64" s="4" t="str">
        <f t="shared" ca="1" si="82"/>
        <v>Accesso remoto mediante  VPN</v>
      </c>
      <c r="BF64" s="140">
        <f t="shared" ca="1" si="25"/>
        <v>10</v>
      </c>
      <c r="BG64" s="4" t="str">
        <f t="shared" ca="1" si="83"/>
        <v>SI</v>
      </c>
      <c r="BH64" s="140">
        <f t="shared" ca="1" si="26"/>
        <v>6</v>
      </c>
      <c r="BI64" s="4" t="str">
        <f t="shared" ca="1" si="84"/>
        <v>SI</v>
      </c>
      <c r="BJ64" s="140">
        <f t="shared" ca="1" si="27"/>
        <v>4</v>
      </c>
      <c r="BK64" s="4" t="str">
        <f t="shared" ca="1" si="85"/>
        <v>SI</v>
      </c>
      <c r="BL64" s="140">
        <f t="shared" ca="1" si="28"/>
        <v>10</v>
      </c>
      <c r="BM64" s="4" t="str">
        <f t="shared" ca="1" si="86"/>
        <v>Sì, centralizzato</v>
      </c>
      <c r="BN64" s="140">
        <f t="shared" ca="1" si="29"/>
        <v>10</v>
      </c>
      <c r="BO64" s="203" t="str">
        <f t="shared" ca="1" si="87"/>
        <v>ok</v>
      </c>
      <c r="BP64" s="4" t="str">
        <f t="shared" ca="1" si="88"/>
        <v>SI</v>
      </c>
      <c r="BQ64" s="140">
        <f t="shared" ca="1" si="30"/>
        <v>10</v>
      </c>
      <c r="BR64" s="4" t="str">
        <f t="shared" ca="1" si="88"/>
        <v>Sì, solo per le applicazioni più importanti</v>
      </c>
      <c r="BS64" s="140">
        <f t="shared" ca="1" si="31"/>
        <v>6</v>
      </c>
      <c r="BT64" s="4" t="str">
        <f t="shared" ca="1" si="88"/>
        <v>Sì, solo per le applicazioni più importanti</v>
      </c>
      <c r="BU64" s="140">
        <f t="shared" ca="1" si="32"/>
        <v>6</v>
      </c>
      <c r="BV64" s="4" t="str">
        <f t="shared" ca="1" si="88"/>
        <v>SI</v>
      </c>
      <c r="BW64" s="140">
        <f t="shared" ca="1" si="33"/>
        <v>10</v>
      </c>
      <c r="BX64" s="4" t="str">
        <f t="shared" ca="1" si="88"/>
        <v>SI</v>
      </c>
      <c r="BY64" s="140">
        <f t="shared" ca="1" si="34"/>
        <v>10</v>
      </c>
      <c r="BZ64" s="4" t="str">
        <f t="shared" ca="1" si="89"/>
        <v>SI</v>
      </c>
      <c r="CA64" s="140">
        <f t="shared" ca="1" si="35"/>
        <v>10</v>
      </c>
      <c r="CB64" s="4" t="str">
        <f t="shared" ca="1" si="90"/>
        <v>SI</v>
      </c>
      <c r="CC64" s="140">
        <f t="shared" ca="1" si="36"/>
        <v>10</v>
      </c>
      <c r="CD64" s="4" t="str">
        <f t="shared" ca="1" si="91"/>
        <v>SI</v>
      </c>
      <c r="CE64" s="140">
        <f t="shared" ca="1" si="37"/>
        <v>10</v>
      </c>
      <c r="CF64" s="4" t="str">
        <f t="shared" ca="1" si="92"/>
        <v>La procedura è ben documentata</v>
      </c>
      <c r="CG64" s="140">
        <f t="shared" ca="1" si="38"/>
        <v>0</v>
      </c>
      <c r="CH64" s="4" t="str">
        <f t="shared" ca="1" si="93"/>
        <v>Rilevate &lt; 10</v>
      </c>
      <c r="CI64" s="140">
        <f t="shared" ca="1" si="39"/>
        <v>2</v>
      </c>
      <c r="CJ64" s="4" t="b">
        <f t="shared" ca="1" si="94"/>
        <v>1</v>
      </c>
      <c r="CK64" s="140">
        <f t="shared" ca="1" si="40"/>
        <v>4</v>
      </c>
      <c r="CL64" s="4" t="b">
        <f t="shared" ca="1" si="95"/>
        <v>0</v>
      </c>
      <c r="CM64" s="140">
        <f t="shared" ca="1" si="41"/>
        <v>0</v>
      </c>
      <c r="CN64" s="4" t="b">
        <f t="shared" ca="1" si="96"/>
        <v>0</v>
      </c>
      <c r="CO64" s="140">
        <f t="shared" ca="1" si="42"/>
        <v>0</v>
      </c>
      <c r="CP64" s="4" t="b">
        <f t="shared" ca="1" si="97"/>
        <v>0</v>
      </c>
      <c r="CQ64" s="140">
        <f t="shared" ca="1" si="43"/>
        <v>0</v>
      </c>
      <c r="CR64" s="203" t="str">
        <f t="shared" ca="1" si="98"/>
        <v>ok</v>
      </c>
      <c r="CS64" s="4" t="str">
        <f t="shared" ca="1" si="99"/>
        <v>--</v>
      </c>
      <c r="CT64" s="140">
        <f t="shared" ca="1" si="44"/>
        <v>0</v>
      </c>
      <c r="CU64" s="4" t="str">
        <f t="shared" ca="1" si="99"/>
        <v>--</v>
      </c>
      <c r="CV64" s="140">
        <f t="shared" ca="1" si="45"/>
        <v>0</v>
      </c>
      <c r="CW64" s="4" t="str">
        <f t="shared" ca="1" si="99"/>
        <v>--</v>
      </c>
      <c r="CX64" s="140">
        <f t="shared" ca="1" si="46"/>
        <v>0</v>
      </c>
      <c r="CY64" s="4" t="str">
        <f t="shared" ca="1" si="99"/>
        <v>--</v>
      </c>
      <c r="CZ64" s="140">
        <f t="shared" ca="1" si="47"/>
        <v>0</v>
      </c>
      <c r="DA64" s="4" t="str">
        <f t="shared" ca="1" si="99"/>
        <v>--</v>
      </c>
      <c r="DB64" s="140">
        <f t="shared" ca="1" si="48"/>
        <v>0</v>
      </c>
      <c r="DC64" s="4" t="str">
        <f t="shared" ca="1" si="100"/>
        <v>SI</v>
      </c>
      <c r="DD64" s="140">
        <f t="shared" ca="1" si="49"/>
        <v>10</v>
      </c>
      <c r="DE64" s="4" t="str">
        <f t="shared" ca="1" si="101"/>
        <v>SI</v>
      </c>
      <c r="DF64" s="140">
        <f t="shared" ca="1" si="50"/>
        <v>10</v>
      </c>
      <c r="DG64" s="4" t="str">
        <f t="shared" ca="1" si="102"/>
        <v>--</v>
      </c>
      <c r="DH64" s="140">
        <f t="shared" ca="1" si="51"/>
        <v>0</v>
      </c>
      <c r="DI64" s="4" t="str">
        <f t="shared" ca="1" si="103"/>
        <v>Sì</v>
      </c>
      <c r="DJ64" s="140">
        <f t="shared" ca="1" si="52"/>
        <v>4</v>
      </c>
      <c r="DK64" s="4" t="str">
        <f t="shared" ca="1" si="104"/>
        <v>Solo personale interno</v>
      </c>
      <c r="DL64" s="140">
        <f t="shared" ca="1" si="53"/>
        <v>10</v>
      </c>
      <c r="DM64" s="4" t="str">
        <f t="shared" ca="1" si="105"/>
        <v>Non previsto audit</v>
      </c>
      <c r="DN64" s="140">
        <f t="shared" ca="1" si="54"/>
        <v>0</v>
      </c>
      <c r="DO64" s="4" t="str">
        <f t="shared" ca="1" si="106"/>
        <v>--</v>
      </c>
      <c r="DP64" s="140">
        <f t="shared" ca="1" si="55"/>
        <v>0</v>
      </c>
      <c r="DQ64" s="4" t="str">
        <f t="shared" ca="1" si="107"/>
        <v>--</v>
      </c>
      <c r="DR64" s="140">
        <f t="shared" ca="1" si="56"/>
        <v>0</v>
      </c>
      <c r="DS64" s="80" t="str">
        <f t="shared" ca="1" si="108"/>
        <v>--</v>
      </c>
      <c r="DT64" s="140">
        <f t="shared" ca="1" si="57"/>
        <v>0</v>
      </c>
      <c r="DU64" s="4" t="str">
        <f t="shared" ca="1" si="109"/>
        <v>Sì, con copertura analisi rischi minima</v>
      </c>
      <c r="DV64" s="140">
        <f t="shared" ca="1" si="114"/>
        <v>6</v>
      </c>
      <c r="DW64" s="4" t="str">
        <f t="shared" ca="1" si="110"/>
        <v>SI</v>
      </c>
      <c r="DX64" s="140">
        <f t="shared" ca="1" si="58"/>
        <v>10</v>
      </c>
      <c r="DY64" s="4" t="str">
        <f t="shared" ca="1" si="111"/>
        <v>--</v>
      </c>
      <c r="DZ64" s="140">
        <f t="shared" ca="1" si="59"/>
        <v>0</v>
      </c>
      <c r="EA64" s="80" t="str">
        <f t="shared" ca="1" si="112"/>
        <v>Inferiore al 10 %</v>
      </c>
      <c r="EB64" s="140">
        <f t="shared" ca="1" si="60"/>
        <v>2</v>
      </c>
      <c r="EC64" s="4">
        <f t="shared" ca="1" si="127"/>
        <v>284</v>
      </c>
    </row>
    <row r="65" spans="1:133">
      <c r="A65" s="363" t="str">
        <f t="shared" ca="1" si="0"/>
        <v xml:space="preserve">Istituto nazionale di statistica                                   </v>
      </c>
      <c r="B65" s="50">
        <f ca="1">VLOOKUP( TRIM(A65), Classificazione!$A$5:$B$71, 2, FALSE)</f>
        <v>14</v>
      </c>
      <c r="C65" s="364">
        <f ca="1">VLOOKUP(TRIM(A65), Classificazione!$A$5:$L$71, 12, FALSE)</f>
        <v>2120</v>
      </c>
      <c r="D65" s="4" t="str">
        <f t="shared" ca="1" si="62"/>
        <v>Parzialmente centralizzato</v>
      </c>
      <c r="E65" s="140">
        <f t="shared" ca="1" si="113"/>
        <v>8</v>
      </c>
      <c r="F65" s="4" t="str">
        <f t="shared" ca="1" si="62"/>
        <v>SI</v>
      </c>
      <c r="G65" s="140">
        <f t="shared" ca="1" si="115"/>
        <v>10</v>
      </c>
      <c r="H65" s="4" t="str">
        <f t="shared" ca="1" si="62"/>
        <v>NO</v>
      </c>
      <c r="I65" s="140">
        <f t="shared" ca="1" si="63"/>
        <v>0</v>
      </c>
      <c r="J65" s="4" t="b">
        <f t="shared" ca="1" si="62"/>
        <v>0</v>
      </c>
      <c r="K65" s="140">
        <f t="shared" ca="1" si="64"/>
        <v>0</v>
      </c>
      <c r="L65" s="4" t="b">
        <f t="shared" ca="1" si="62"/>
        <v>0</v>
      </c>
      <c r="M65" s="140">
        <f t="shared" ca="1" si="2"/>
        <v>0</v>
      </c>
      <c r="N65" s="4" t="b">
        <f t="shared" ca="1" si="65"/>
        <v>0</v>
      </c>
      <c r="O65" s="140">
        <f t="shared" ca="1" si="3"/>
        <v>0</v>
      </c>
      <c r="P65" s="4" t="b">
        <f t="shared" ca="1" si="66"/>
        <v>0</v>
      </c>
      <c r="Q65" s="140">
        <f t="shared" ca="1" si="117"/>
        <v>0</v>
      </c>
      <c r="R65" s="4" t="str">
        <f t="shared" ca="1" si="67"/>
        <v>UserId/Password</v>
      </c>
      <c r="S65" s="140">
        <f t="shared" ca="1" si="118"/>
        <v>2</v>
      </c>
      <c r="T65" s="4" t="str">
        <f t="shared" ca="1" si="68"/>
        <v>SI</v>
      </c>
      <c r="U65" s="140">
        <f t="shared" ca="1" si="119"/>
        <v>2</v>
      </c>
      <c r="V65" s="4" t="str">
        <f t="shared" ca="1" si="69"/>
        <v>SI</v>
      </c>
      <c r="W65" s="140">
        <f t="shared" ca="1" si="120"/>
        <v>2</v>
      </c>
      <c r="X65" s="4" t="str">
        <f t="shared" ca="1" si="70"/>
        <v>SI</v>
      </c>
      <c r="Y65" s="140">
        <f t="shared" ca="1" si="121"/>
        <v>4</v>
      </c>
      <c r="Z65" s="4" t="str">
        <f t="shared" ca="1" si="71"/>
        <v>Automaticamente</v>
      </c>
      <c r="AA65" s="140">
        <f t="shared" ca="1" si="116"/>
        <v>10</v>
      </c>
      <c r="AB65" s="4" t="str">
        <f t="shared" ca="1" si="72"/>
        <v>SI</v>
      </c>
      <c r="AC65" s="140">
        <f t="shared" ca="1" si="122"/>
        <v>10</v>
      </c>
      <c r="AD65" s="4" t="str">
        <f t="shared" ca="1" si="73"/>
        <v>Esistono postazioni mobili o supporti dati rimuovibili con sistemi di prevenzione degli accessi</v>
      </c>
      <c r="AE65" s="140">
        <f t="shared" ca="1" si="123"/>
        <v>10</v>
      </c>
      <c r="AF65" s="4" t="str">
        <f t="shared" ca="1" si="74"/>
        <v>SI</v>
      </c>
      <c r="AG65" s="140">
        <f t="shared" ca="1" si="124"/>
        <v>6</v>
      </c>
      <c r="AH65" s="4" t="str">
        <f t="shared" ca="1" si="75"/>
        <v>SI</v>
      </c>
      <c r="AI65" s="140">
        <f t="shared" ca="1" si="125"/>
        <v>4</v>
      </c>
      <c r="AJ65" s="4" t="str">
        <f t="shared" ca="1" si="76"/>
        <v>SI</v>
      </c>
      <c r="AK65" s="140">
        <f t="shared" ca="1" si="126"/>
        <v>10</v>
      </c>
      <c r="AL65" s="203" t="str">
        <f t="shared" ca="1" si="15"/>
        <v>ok</v>
      </c>
      <c r="AM65" s="4" t="str">
        <f t="shared" ca="1" si="77"/>
        <v>SI</v>
      </c>
      <c r="AN65" s="140">
        <f t="shared" ca="1" si="16"/>
        <v>10</v>
      </c>
      <c r="AO65" s="4" t="str">
        <f t="shared" ca="1" si="77"/>
        <v>SI</v>
      </c>
      <c r="AP65" s="140">
        <f t="shared" ca="1" si="17"/>
        <v>10</v>
      </c>
      <c r="AQ65" s="4" t="str">
        <f t="shared" ca="1" si="77"/>
        <v>NO</v>
      </c>
      <c r="AR65" s="140">
        <f t="shared" ca="1" si="18"/>
        <v>0</v>
      </c>
      <c r="AS65" s="4" t="b">
        <f t="shared" ca="1" si="77"/>
        <v>1</v>
      </c>
      <c r="AT65" s="140">
        <f t="shared" ca="1" si="19"/>
        <v>5</v>
      </c>
      <c r="AU65" s="4" t="b">
        <f t="shared" ca="1" si="77"/>
        <v>1</v>
      </c>
      <c r="AV65" s="140">
        <f t="shared" ca="1" si="20"/>
        <v>5</v>
      </c>
      <c r="AW65" s="4" t="b">
        <f t="shared" ca="1" si="78"/>
        <v>0</v>
      </c>
      <c r="AX65" s="140">
        <f t="shared" ca="1" si="21"/>
        <v>0</v>
      </c>
      <c r="AY65" s="4" t="str">
        <f t="shared" ca="1" si="79"/>
        <v>SI</v>
      </c>
      <c r="AZ65" s="140">
        <f t="shared" ca="1" si="22"/>
        <v>0</v>
      </c>
      <c r="BA65" s="4" t="str">
        <f t="shared" ca="1" si="80"/>
        <v>WPA</v>
      </c>
      <c r="BB65" s="140">
        <f t="shared" ca="1" si="23"/>
        <v>10</v>
      </c>
      <c r="BC65" s="4" t="str">
        <f t="shared" ca="1" si="81"/>
        <v>SI</v>
      </c>
      <c r="BD65" s="140">
        <f t="shared" ca="1" si="24"/>
        <v>0</v>
      </c>
      <c r="BE65" s="4" t="str">
        <f t="shared" ca="1" si="82"/>
        <v>Accesso remoto mediante  VPN</v>
      </c>
      <c r="BF65" s="140">
        <f t="shared" ca="1" si="25"/>
        <v>10</v>
      </c>
      <c r="BG65" s="4" t="str">
        <f t="shared" ca="1" si="83"/>
        <v>SI</v>
      </c>
      <c r="BH65" s="140">
        <f t="shared" ca="1" si="26"/>
        <v>6</v>
      </c>
      <c r="BI65" s="4" t="str">
        <f t="shared" ca="1" si="84"/>
        <v>SI</v>
      </c>
      <c r="BJ65" s="140">
        <f t="shared" ca="1" si="27"/>
        <v>4</v>
      </c>
      <c r="BK65" s="4" t="str">
        <f t="shared" ca="1" si="85"/>
        <v>SI</v>
      </c>
      <c r="BL65" s="140">
        <f t="shared" ca="1" si="28"/>
        <v>10</v>
      </c>
      <c r="BM65" s="4" t="str">
        <f t="shared" ca="1" si="86"/>
        <v>Sì, centralizzato</v>
      </c>
      <c r="BN65" s="140">
        <f t="shared" ca="1" si="29"/>
        <v>10</v>
      </c>
      <c r="BO65" s="203" t="str">
        <f t="shared" ca="1" si="87"/>
        <v>ok</v>
      </c>
      <c r="BP65" s="4" t="str">
        <f t="shared" ca="1" si="88"/>
        <v>NO</v>
      </c>
      <c r="BQ65" s="140">
        <f t="shared" ca="1" si="30"/>
        <v>0</v>
      </c>
      <c r="BR65" s="4" t="str">
        <f t="shared" ca="1" si="88"/>
        <v>No</v>
      </c>
      <c r="BS65" s="140">
        <f t="shared" ca="1" si="31"/>
        <v>0</v>
      </c>
      <c r="BT65" s="4" t="str">
        <f t="shared" ca="1" si="88"/>
        <v>No</v>
      </c>
      <c r="BU65" s="140">
        <f t="shared" ca="1" si="32"/>
        <v>0</v>
      </c>
      <c r="BV65" s="4" t="str">
        <f t="shared" ca="1" si="88"/>
        <v>NO</v>
      </c>
      <c r="BW65" s="140">
        <f t="shared" ca="1" si="33"/>
        <v>0</v>
      </c>
      <c r="BX65" s="4" t="str">
        <f t="shared" ca="1" si="88"/>
        <v>SI</v>
      </c>
      <c r="BY65" s="140">
        <f t="shared" ca="1" si="34"/>
        <v>10</v>
      </c>
      <c r="BZ65" s="4" t="str">
        <f t="shared" ca="1" si="89"/>
        <v>SI</v>
      </c>
      <c r="CA65" s="140">
        <f t="shared" ca="1" si="35"/>
        <v>10</v>
      </c>
      <c r="CB65" s="4" t="str">
        <f t="shared" ca="1" si="90"/>
        <v>SI</v>
      </c>
      <c r="CC65" s="140">
        <f t="shared" ca="1" si="36"/>
        <v>10</v>
      </c>
      <c r="CD65" s="4" t="str">
        <f t="shared" ca="1" si="91"/>
        <v>SI</v>
      </c>
      <c r="CE65" s="140">
        <f t="shared" ca="1" si="37"/>
        <v>10</v>
      </c>
      <c r="CF65" s="4" t="str">
        <f t="shared" ca="1" si="92"/>
        <v>NO</v>
      </c>
      <c r="CG65" s="140">
        <f t="shared" ca="1" si="38"/>
        <v>10</v>
      </c>
      <c r="CH65" s="4" t="str">
        <f t="shared" ca="1" si="93"/>
        <v>Rilevate &lt; 10</v>
      </c>
      <c r="CI65" s="140">
        <f t="shared" ca="1" si="39"/>
        <v>2</v>
      </c>
      <c r="CJ65" s="4" t="b">
        <f t="shared" ca="1" si="94"/>
        <v>0</v>
      </c>
      <c r="CK65" s="140">
        <f t="shared" ca="1" si="40"/>
        <v>0</v>
      </c>
      <c r="CL65" s="4" t="b">
        <f t="shared" ca="1" si="95"/>
        <v>0</v>
      </c>
      <c r="CM65" s="140">
        <f t="shared" ca="1" si="41"/>
        <v>0</v>
      </c>
      <c r="CN65" s="4" t="b">
        <f t="shared" ca="1" si="96"/>
        <v>0</v>
      </c>
      <c r="CO65" s="140">
        <f t="shared" ca="1" si="42"/>
        <v>0</v>
      </c>
      <c r="CP65" s="4" t="b">
        <f t="shared" ca="1" si="97"/>
        <v>0</v>
      </c>
      <c r="CQ65" s="140">
        <f t="shared" ca="1" si="43"/>
        <v>0</v>
      </c>
      <c r="CR65" s="203" t="str">
        <f t="shared" ca="1" si="98"/>
        <v>ok</v>
      </c>
      <c r="CS65" s="4" t="str">
        <f t="shared" ca="1" si="99"/>
        <v>NO</v>
      </c>
      <c r="CT65" s="140">
        <f t="shared" ca="1" si="44"/>
        <v>0</v>
      </c>
      <c r="CU65" s="4" t="str">
        <f t="shared" ca="1" si="99"/>
        <v>NO</v>
      </c>
      <c r="CV65" s="140">
        <f t="shared" ca="1" si="45"/>
        <v>0</v>
      </c>
      <c r="CW65" s="4" t="str">
        <f t="shared" ca="1" si="99"/>
        <v>Sì, alcuni</v>
      </c>
      <c r="CX65" s="140">
        <f t="shared" ca="1" si="46"/>
        <v>6</v>
      </c>
      <c r="CY65" s="4" t="str">
        <f t="shared" ca="1" si="99"/>
        <v>SI</v>
      </c>
      <c r="CZ65" s="140">
        <f t="shared" ca="1" si="47"/>
        <v>10</v>
      </c>
      <c r="DA65" s="4" t="str">
        <f t="shared" ca="1" si="99"/>
        <v>NO</v>
      </c>
      <c r="DB65" s="140">
        <f t="shared" ca="1" si="48"/>
        <v>0</v>
      </c>
      <c r="DC65" s="4" t="str">
        <f t="shared" ca="1" si="100"/>
        <v>NO</v>
      </c>
      <c r="DD65" s="140">
        <f t="shared" ca="1" si="49"/>
        <v>0</v>
      </c>
      <c r="DE65" s="4" t="str">
        <f t="shared" ca="1" si="101"/>
        <v>SI</v>
      </c>
      <c r="DF65" s="140">
        <f t="shared" ca="1" si="50"/>
        <v>10</v>
      </c>
      <c r="DG65" s="4" t="str">
        <f t="shared" ca="1" si="102"/>
        <v>SI</v>
      </c>
      <c r="DH65" s="140">
        <f t="shared" ca="1" si="51"/>
        <v>6</v>
      </c>
      <c r="DI65" s="4" t="str">
        <f t="shared" ca="1" si="103"/>
        <v>Sì</v>
      </c>
      <c r="DJ65" s="140">
        <f t="shared" ca="1" si="52"/>
        <v>4</v>
      </c>
      <c r="DK65" s="4" t="str">
        <f t="shared" ca="1" si="104"/>
        <v>Solo personale interno</v>
      </c>
      <c r="DL65" s="140">
        <f t="shared" ca="1" si="53"/>
        <v>10</v>
      </c>
      <c r="DM65" s="4" t="str">
        <f t="shared" ca="1" si="105"/>
        <v>Non previsto audit</v>
      </c>
      <c r="DN65" s="140">
        <f t="shared" ca="1" si="54"/>
        <v>0</v>
      </c>
      <c r="DO65" s="4" t="str">
        <f t="shared" ca="1" si="106"/>
        <v>--</v>
      </c>
      <c r="DP65" s="140">
        <f t="shared" ca="1" si="55"/>
        <v>0</v>
      </c>
      <c r="DQ65" s="4" t="str">
        <f t="shared" ca="1" si="107"/>
        <v>SI</v>
      </c>
      <c r="DR65" s="140">
        <f t="shared" ca="1" si="56"/>
        <v>4</v>
      </c>
      <c r="DS65" s="80" t="str">
        <f t="shared" ca="1" si="108"/>
        <v>Maggiore del 10%</v>
      </c>
      <c r="DT65" s="140">
        <f t="shared" ca="1" si="57"/>
        <v>6</v>
      </c>
      <c r="DU65" s="4" t="str">
        <f t="shared" ca="1" si="109"/>
        <v>Sì, con copertura analisi rischi minima</v>
      </c>
      <c r="DV65" s="140">
        <f t="shared" ca="1" si="114"/>
        <v>6</v>
      </c>
      <c r="DW65" s="4" t="str">
        <f t="shared" ca="1" si="110"/>
        <v>NO</v>
      </c>
      <c r="DX65" s="140">
        <f t="shared" ca="1" si="58"/>
        <v>0</v>
      </c>
      <c r="DY65" s="4" t="str">
        <f t="shared" ca="1" si="111"/>
        <v>NO</v>
      </c>
      <c r="DZ65" s="140">
        <f t="shared" ca="1" si="59"/>
        <v>0</v>
      </c>
      <c r="EA65" s="80" t="str">
        <f t="shared" ca="1" si="112"/>
        <v>Inferiore al 10 %</v>
      </c>
      <c r="EB65" s="140">
        <f t="shared" ca="1" si="60"/>
        <v>2</v>
      </c>
      <c r="EC65" s="4">
        <f t="shared" ca="1" si="127"/>
        <v>274</v>
      </c>
    </row>
    <row r="66" spans="1:133">
      <c r="A66" s="363" t="str">
        <f t="shared" ca="1" si="0"/>
        <v>Unione nazionale incremento razze equine</v>
      </c>
      <c r="B66" s="50">
        <f ca="1">VLOOKUP( TRIM(A66), Classificazione!$A$5:$B$71, 2, FALSE)</f>
        <v>64</v>
      </c>
      <c r="C66" s="364">
        <f ca="1">VLOOKUP(TRIM(A66), Classificazione!$A$5:$L$71, 12, FALSE)</f>
        <v>181</v>
      </c>
      <c r="D66" s="4" t="str">
        <f t="shared" ca="1" si="62"/>
        <v>Completamente centralizzato</v>
      </c>
      <c r="E66" s="140">
        <f t="shared" ca="1" si="113"/>
        <v>6</v>
      </c>
      <c r="F66" s="4" t="str">
        <f t="shared" ca="1" si="62"/>
        <v>SI</v>
      </c>
      <c r="G66" s="140">
        <f t="shared" ca="1" si="115"/>
        <v>10</v>
      </c>
      <c r="H66" s="4" t="str">
        <f t="shared" ca="1" si="62"/>
        <v>SI</v>
      </c>
      <c r="I66" s="140">
        <f t="shared" ca="1" si="63"/>
        <v>10</v>
      </c>
      <c r="J66" s="4" t="b">
        <f t="shared" ca="1" si="62"/>
        <v>1</v>
      </c>
      <c r="K66" s="140">
        <f t="shared" ca="1" si="64"/>
        <v>5</v>
      </c>
      <c r="L66" s="4" t="b">
        <f t="shared" ca="1" si="62"/>
        <v>0</v>
      </c>
      <c r="M66" s="140">
        <f t="shared" ca="1" si="2"/>
        <v>0</v>
      </c>
      <c r="N66" s="4" t="b">
        <f t="shared" ca="1" si="65"/>
        <v>1</v>
      </c>
      <c r="O66" s="140">
        <f t="shared" ca="1" si="3"/>
        <v>3</v>
      </c>
      <c r="P66" s="4" t="b">
        <f t="shared" ca="1" si="66"/>
        <v>0</v>
      </c>
      <c r="Q66" s="140">
        <f t="shared" ca="1" si="117"/>
        <v>0</v>
      </c>
      <c r="R66" s="4" t="str">
        <f t="shared" ca="1" si="67"/>
        <v>UserId/Password</v>
      </c>
      <c r="S66" s="140">
        <f t="shared" ca="1" si="118"/>
        <v>2</v>
      </c>
      <c r="T66" s="4" t="str">
        <f t="shared" ca="1" si="68"/>
        <v>SI</v>
      </c>
      <c r="U66" s="140">
        <f t="shared" ca="1" si="119"/>
        <v>2</v>
      </c>
      <c r="V66" s="4" t="str">
        <f t="shared" ca="1" si="69"/>
        <v>SI</v>
      </c>
      <c r="W66" s="140">
        <f t="shared" ca="1" si="120"/>
        <v>2</v>
      </c>
      <c r="X66" s="4" t="str">
        <f t="shared" ca="1" si="70"/>
        <v>SI</v>
      </c>
      <c r="Y66" s="140">
        <f t="shared" ca="1" si="121"/>
        <v>4</v>
      </c>
      <c r="Z66" s="4" t="str">
        <f t="shared" ca="1" si="71"/>
        <v>Ogni sei mesi</v>
      </c>
      <c r="AA66" s="140">
        <f t="shared" ca="1" si="116"/>
        <v>4</v>
      </c>
      <c r="AB66" s="4" t="str">
        <f t="shared" ca="1" si="72"/>
        <v>NO</v>
      </c>
      <c r="AC66" s="140">
        <f t="shared" ca="1" si="122"/>
        <v>0</v>
      </c>
      <c r="AD66" s="4" t="str">
        <f t="shared" ca="1" si="73"/>
        <v>Esistono postazioni mobili o supporti dati rimuovibili con sistemi di prevenzione degli accessi</v>
      </c>
      <c r="AE66" s="140">
        <f t="shared" ca="1" si="123"/>
        <v>10</v>
      </c>
      <c r="AF66" s="4" t="str">
        <f t="shared" ca="1" si="74"/>
        <v>SI</v>
      </c>
      <c r="AG66" s="140">
        <f t="shared" ca="1" si="124"/>
        <v>6</v>
      </c>
      <c r="AH66" s="4" t="str">
        <f t="shared" ca="1" si="75"/>
        <v>SI</v>
      </c>
      <c r="AI66" s="140">
        <f t="shared" ca="1" si="125"/>
        <v>4</v>
      </c>
      <c r="AJ66" s="4" t="str">
        <f t="shared" ca="1" si="76"/>
        <v>NO</v>
      </c>
      <c r="AK66" s="140">
        <f t="shared" ca="1" si="126"/>
        <v>0</v>
      </c>
      <c r="AL66" s="203" t="str">
        <f t="shared" ca="1" si="15"/>
        <v>ok</v>
      </c>
      <c r="AM66" s="4" t="str">
        <f t="shared" ca="1" si="77"/>
        <v>SI</v>
      </c>
      <c r="AN66" s="140">
        <f t="shared" ca="1" si="16"/>
        <v>10</v>
      </c>
      <c r="AO66" s="4" t="str">
        <f t="shared" ca="1" si="77"/>
        <v>NO</v>
      </c>
      <c r="AP66" s="140">
        <f t="shared" ca="1" si="17"/>
        <v>0</v>
      </c>
      <c r="AQ66" s="4" t="str">
        <f t="shared" ca="1" si="77"/>
        <v>--</v>
      </c>
      <c r="AR66" s="140">
        <f t="shared" ca="1" si="18"/>
        <v>0</v>
      </c>
      <c r="AS66" s="4" t="b">
        <f t="shared" ca="1" si="77"/>
        <v>1</v>
      </c>
      <c r="AT66" s="140">
        <f t="shared" ca="1" si="19"/>
        <v>5</v>
      </c>
      <c r="AU66" s="4" t="b">
        <f t="shared" ca="1" si="77"/>
        <v>0</v>
      </c>
      <c r="AV66" s="140">
        <f t="shared" ca="1" si="20"/>
        <v>0</v>
      </c>
      <c r="AW66" s="4" t="b">
        <f t="shared" ca="1" si="78"/>
        <v>0</v>
      </c>
      <c r="AX66" s="140">
        <f t="shared" ca="1" si="21"/>
        <v>0</v>
      </c>
      <c r="AY66" s="4" t="str">
        <f t="shared" ca="1" si="79"/>
        <v>NO</v>
      </c>
      <c r="AZ66" s="140">
        <f t="shared" ca="1" si="22"/>
        <v>6</v>
      </c>
      <c r="BA66" s="4" t="str">
        <f t="shared" ca="1" si="80"/>
        <v>Nessuno</v>
      </c>
      <c r="BB66" s="140">
        <f t="shared" ca="1" si="23"/>
        <v>0</v>
      </c>
      <c r="BC66" s="4" t="str">
        <f t="shared" ca="1" si="81"/>
        <v>SI</v>
      </c>
      <c r="BD66" s="140">
        <f t="shared" ca="1" si="24"/>
        <v>0</v>
      </c>
      <c r="BE66" s="4" t="str">
        <f t="shared" ca="1" si="82"/>
        <v>Accesso remoto senza  VPN</v>
      </c>
      <c r="BF66" s="140">
        <f t="shared" ca="1" si="25"/>
        <v>0</v>
      </c>
      <c r="BG66" s="4" t="str">
        <f t="shared" ca="1" si="83"/>
        <v>SI</v>
      </c>
      <c r="BH66" s="140">
        <f t="shared" ca="1" si="26"/>
        <v>6</v>
      </c>
      <c r="BI66" s="4" t="str">
        <f t="shared" ca="1" si="84"/>
        <v>NO</v>
      </c>
      <c r="BJ66" s="140">
        <f t="shared" ca="1" si="27"/>
        <v>0</v>
      </c>
      <c r="BK66" s="4" t="str">
        <f t="shared" ca="1" si="85"/>
        <v>NO</v>
      </c>
      <c r="BL66" s="140">
        <f t="shared" ca="1" si="28"/>
        <v>0</v>
      </c>
      <c r="BM66" s="4" t="str">
        <f t="shared" ca="1" si="86"/>
        <v>Sì, non centralizzato</v>
      </c>
      <c r="BN66" s="140">
        <f t="shared" ca="1" si="29"/>
        <v>6</v>
      </c>
      <c r="BO66" s="203" t="str">
        <f t="shared" ca="1" si="87"/>
        <v>ok</v>
      </c>
      <c r="BP66" s="4" t="str">
        <f t="shared" ca="1" si="88"/>
        <v>NO</v>
      </c>
      <c r="BQ66" s="140">
        <f t="shared" ca="1" si="30"/>
        <v>0</v>
      </c>
      <c r="BR66" s="4" t="str">
        <f t="shared" ca="1" si="88"/>
        <v>No</v>
      </c>
      <c r="BS66" s="140">
        <f t="shared" ca="1" si="31"/>
        <v>0</v>
      </c>
      <c r="BT66" s="4" t="str">
        <f t="shared" ca="1" si="88"/>
        <v>No</v>
      </c>
      <c r="BU66" s="140">
        <f t="shared" ca="1" si="32"/>
        <v>0</v>
      </c>
      <c r="BV66" s="4" t="str">
        <f t="shared" ca="1" si="88"/>
        <v>SI</v>
      </c>
      <c r="BW66" s="140">
        <f t="shared" ca="1" si="33"/>
        <v>10</v>
      </c>
      <c r="BX66" s="4" t="str">
        <f t="shared" ca="1" si="88"/>
        <v>--</v>
      </c>
      <c r="BY66" s="140">
        <f t="shared" ca="1" si="34"/>
        <v>0</v>
      </c>
      <c r="BZ66" s="4" t="str">
        <f t="shared" ca="1" si="89"/>
        <v>--</v>
      </c>
      <c r="CA66" s="140">
        <f t="shared" ca="1" si="35"/>
        <v>0</v>
      </c>
      <c r="CB66" s="4" t="str">
        <f t="shared" ca="1" si="90"/>
        <v>NO</v>
      </c>
      <c r="CC66" s="140">
        <f t="shared" ca="1" si="36"/>
        <v>0</v>
      </c>
      <c r="CD66" s="4" t="str">
        <f t="shared" ca="1" si="91"/>
        <v>SI</v>
      </c>
      <c r="CE66" s="140">
        <f t="shared" ca="1" si="37"/>
        <v>10</v>
      </c>
      <c r="CF66" s="4" t="str">
        <f t="shared" ca="1" si="92"/>
        <v>NO</v>
      </c>
      <c r="CG66" s="140">
        <f t="shared" ca="1" si="38"/>
        <v>10</v>
      </c>
      <c r="CH66" s="4" t="str">
        <f t="shared" ca="1" si="93"/>
        <v>Rilevate &lt; 10</v>
      </c>
      <c r="CI66" s="140">
        <f t="shared" ca="1" si="39"/>
        <v>2</v>
      </c>
      <c r="CJ66" s="4" t="b">
        <f t="shared" ca="1" si="94"/>
        <v>0</v>
      </c>
      <c r="CK66" s="140">
        <f t="shared" ca="1" si="40"/>
        <v>0</v>
      </c>
      <c r="CL66" s="4" t="b">
        <f t="shared" ca="1" si="95"/>
        <v>0</v>
      </c>
      <c r="CM66" s="140">
        <f t="shared" ca="1" si="41"/>
        <v>0</v>
      </c>
      <c r="CN66" s="4" t="b">
        <f t="shared" ca="1" si="96"/>
        <v>0</v>
      </c>
      <c r="CO66" s="140">
        <f t="shared" ca="1" si="42"/>
        <v>0</v>
      </c>
      <c r="CP66" s="4" t="b">
        <f t="shared" ca="1" si="97"/>
        <v>0</v>
      </c>
      <c r="CQ66" s="140">
        <f t="shared" ca="1" si="43"/>
        <v>0</v>
      </c>
      <c r="CR66" s="203" t="str">
        <f t="shared" ca="1" si="98"/>
        <v>ok</v>
      </c>
      <c r="CS66" s="4" t="str">
        <f t="shared" ca="1" si="99"/>
        <v>NO</v>
      </c>
      <c r="CT66" s="140">
        <f t="shared" ca="1" si="44"/>
        <v>0</v>
      </c>
      <c r="CU66" s="4" t="str">
        <f t="shared" ca="1" si="99"/>
        <v>SI</v>
      </c>
      <c r="CV66" s="140">
        <f t="shared" ca="1" si="45"/>
        <v>10</v>
      </c>
      <c r="CW66" s="4" t="str">
        <f t="shared" ca="1" si="99"/>
        <v>No</v>
      </c>
      <c r="CX66" s="140">
        <f t="shared" ca="1" si="46"/>
        <v>0</v>
      </c>
      <c r="CY66" s="4" t="str">
        <f t="shared" ca="1" si="99"/>
        <v>NO</v>
      </c>
      <c r="CZ66" s="140">
        <f t="shared" ca="1" si="47"/>
        <v>0</v>
      </c>
      <c r="DA66" s="4" t="str">
        <f t="shared" ca="1" si="99"/>
        <v>NO</v>
      </c>
      <c r="DB66" s="140">
        <f t="shared" ca="1" si="48"/>
        <v>0</v>
      </c>
      <c r="DC66" s="4" t="str">
        <f t="shared" ca="1" si="100"/>
        <v>SI</v>
      </c>
      <c r="DD66" s="140">
        <f t="shared" ca="1" si="49"/>
        <v>10</v>
      </c>
      <c r="DE66" s="4" t="str">
        <f t="shared" ca="1" si="101"/>
        <v>SI</v>
      </c>
      <c r="DF66" s="140">
        <f t="shared" ca="1" si="50"/>
        <v>10</v>
      </c>
      <c r="DG66" s="4" t="str">
        <f t="shared" ca="1" si="102"/>
        <v>SI</v>
      </c>
      <c r="DH66" s="140">
        <f t="shared" ca="1" si="51"/>
        <v>6</v>
      </c>
      <c r="DI66" s="4" t="str">
        <f t="shared" ca="1" si="103"/>
        <v>No</v>
      </c>
      <c r="DJ66" s="140">
        <f t="shared" ca="1" si="52"/>
        <v>0</v>
      </c>
      <c r="DK66" s="4" t="str">
        <f t="shared" ca="1" si="104"/>
        <v>Personale misto</v>
      </c>
      <c r="DL66" s="140">
        <f t="shared" ca="1" si="53"/>
        <v>6</v>
      </c>
      <c r="DM66" s="4" t="str">
        <f t="shared" ca="1" si="105"/>
        <v>Non previsto audit</v>
      </c>
      <c r="DN66" s="140">
        <f t="shared" ca="1" si="54"/>
        <v>0</v>
      </c>
      <c r="DO66" s="4" t="str">
        <f t="shared" ca="1" si="106"/>
        <v>--</v>
      </c>
      <c r="DP66" s="140">
        <f t="shared" ca="1" si="55"/>
        <v>0</v>
      </c>
      <c r="DQ66" s="4" t="str">
        <f t="shared" ca="1" si="107"/>
        <v>NO</v>
      </c>
      <c r="DR66" s="140">
        <f t="shared" ca="1" si="56"/>
        <v>0</v>
      </c>
      <c r="DS66" s="80" t="str">
        <f t="shared" ca="1" si="108"/>
        <v>--</v>
      </c>
      <c r="DT66" s="140">
        <f t="shared" ca="1" si="57"/>
        <v>0</v>
      </c>
      <c r="DU66" s="4" t="str">
        <f t="shared" ca="1" si="109"/>
        <v>Sì, con copertura analisi rischi parziale</v>
      </c>
      <c r="DV66" s="140">
        <f t="shared" ca="1" si="114"/>
        <v>8</v>
      </c>
      <c r="DW66" s="4" t="str">
        <f t="shared" ca="1" si="110"/>
        <v>SI</v>
      </c>
      <c r="DX66" s="140">
        <f t="shared" ca="1" si="58"/>
        <v>10</v>
      </c>
      <c r="DY66" s="4" t="str">
        <f t="shared" ca="1" si="111"/>
        <v>SI</v>
      </c>
      <c r="DZ66" s="140">
        <f t="shared" ca="1" si="59"/>
        <v>4</v>
      </c>
      <c r="EA66" s="80" t="str">
        <f t="shared" ca="1" si="112"/>
        <v>Maggiore del 50%</v>
      </c>
      <c r="EB66" s="140">
        <f t="shared" ca="1" si="60"/>
        <v>8</v>
      </c>
      <c r="EC66" s="4">
        <f t="shared" ca="1" si="127"/>
        <v>205</v>
      </c>
    </row>
    <row r="67" spans="1:133">
      <c r="A67" s="48"/>
      <c r="B67" s="50"/>
      <c r="C67" s="108"/>
      <c r="D67" s="4"/>
      <c r="E67" s="140"/>
      <c r="F67" s="340"/>
      <c r="G67" s="140"/>
      <c r="H67" s="340"/>
      <c r="I67" s="140">
        <f ca="1">AVERAGE(I21:I66)</f>
        <v>7.1739130434782608</v>
      </c>
      <c r="J67" s="140"/>
      <c r="K67" s="140"/>
      <c r="L67" s="140"/>
      <c r="M67" s="140"/>
      <c r="N67" s="140"/>
      <c r="O67" s="140"/>
      <c r="P67" s="140"/>
      <c r="Q67" s="140"/>
      <c r="R67" s="598">
        <f>44/46</f>
        <v>0.95652173913043481</v>
      </c>
      <c r="S67" s="140"/>
      <c r="T67" s="140"/>
      <c r="U67" s="140"/>
      <c r="V67" s="140"/>
      <c r="W67" s="140"/>
      <c r="X67" s="140"/>
      <c r="Y67" s="140"/>
      <c r="Z67" s="216"/>
      <c r="AA67" s="140"/>
      <c r="AB67" s="140"/>
      <c r="AC67" s="140"/>
      <c r="AD67" s="216"/>
      <c r="AE67" s="140"/>
      <c r="AF67" s="140"/>
      <c r="AG67" s="140"/>
      <c r="AH67" s="140"/>
      <c r="AI67" s="140"/>
      <c r="AJ67" s="140"/>
      <c r="AK67" s="140"/>
      <c r="AL67" s="203"/>
      <c r="AM67" s="140"/>
      <c r="AN67" s="140"/>
      <c r="AO67" s="140"/>
      <c r="AP67" s="140"/>
      <c r="AQ67" s="140"/>
      <c r="AR67" s="140"/>
      <c r="AS67" s="140"/>
      <c r="AT67" s="140"/>
      <c r="AU67" s="140"/>
      <c r="AV67" s="140"/>
      <c r="AW67" s="140"/>
      <c r="AX67" s="140"/>
      <c r="AY67" s="140"/>
      <c r="AZ67" s="140">
        <f ca="1">COUNTIF(AZ21:AZ66, "=0")</f>
        <v>26</v>
      </c>
      <c r="BA67" s="140"/>
      <c r="BB67" s="140">
        <f ca="1">COUNTIF(BB21:BB66, "=4")</f>
        <v>4</v>
      </c>
      <c r="BC67" s="140"/>
      <c r="BD67" s="140"/>
      <c r="BE67" s="216"/>
      <c r="BF67" s="140"/>
      <c r="BG67" s="140"/>
      <c r="BH67" s="140"/>
      <c r="BI67" s="140"/>
      <c r="BJ67" s="140"/>
      <c r="BK67" s="140"/>
      <c r="BL67" s="140"/>
      <c r="BM67" s="216"/>
      <c r="BN67" s="140"/>
      <c r="BO67" s="203"/>
      <c r="BP67" s="140"/>
      <c r="BQ67" s="140"/>
      <c r="BR67" s="216"/>
      <c r="BS67" s="140"/>
      <c r="BT67" s="216"/>
      <c r="BU67" s="140"/>
      <c r="BV67" s="140"/>
      <c r="BW67" s="140"/>
      <c r="BX67" s="140"/>
      <c r="BY67" s="140"/>
      <c r="BZ67" s="140"/>
      <c r="CA67" s="140"/>
      <c r="CB67" s="140"/>
      <c r="CC67" s="140"/>
      <c r="CD67" s="140"/>
      <c r="CE67" s="140"/>
      <c r="CF67" s="216"/>
      <c r="CG67" s="140"/>
      <c r="CH67" s="216"/>
      <c r="CI67" s="140"/>
      <c r="CJ67" s="140"/>
      <c r="CK67" s="140"/>
      <c r="CL67" s="140"/>
      <c r="CM67" s="140"/>
      <c r="CN67" s="140"/>
      <c r="CO67" s="140"/>
      <c r="CP67" s="140"/>
      <c r="CQ67" s="140"/>
      <c r="CR67" s="203"/>
      <c r="CS67" s="140"/>
      <c r="CT67" s="140"/>
      <c r="CU67" s="140"/>
      <c r="CV67" s="140"/>
      <c r="CW67" s="216"/>
      <c r="CX67" s="140"/>
      <c r="CY67" s="140"/>
      <c r="CZ67" s="140"/>
      <c r="DA67" s="140"/>
      <c r="DB67" s="140"/>
      <c r="DC67" s="140"/>
      <c r="DD67" s="140"/>
      <c r="DE67" s="140"/>
      <c r="DF67" s="140"/>
      <c r="DG67" s="140"/>
      <c r="DH67" s="140"/>
      <c r="DI67" s="140"/>
      <c r="DJ67" s="140"/>
      <c r="DK67" s="216"/>
      <c r="DL67" s="140"/>
      <c r="DM67" s="216"/>
      <c r="DN67" s="140"/>
      <c r="DO67" s="140"/>
      <c r="DP67" s="140"/>
      <c r="DQ67" s="140"/>
      <c r="DR67" s="140">
        <f ca="1">COUNTIF(DR21:DR66, "&gt;0")</f>
        <v>19</v>
      </c>
      <c r="DS67" s="532"/>
      <c r="DT67" s="140">
        <f ca="1">COUNTIF(DT21:DT66, "=6")</f>
        <v>1</v>
      </c>
      <c r="DU67" s="216"/>
      <c r="DV67" s="140"/>
      <c r="DW67" s="140"/>
      <c r="DX67" s="140"/>
      <c r="DY67" s="140"/>
      <c r="DZ67" s="140"/>
      <c r="EA67" s="532"/>
      <c r="EB67" s="140"/>
      <c r="EC67" s="4"/>
    </row>
    <row r="68" spans="1:133">
      <c r="A68" s="48"/>
      <c r="B68" s="50"/>
      <c r="C68" s="339">
        <f>76-21+1</f>
        <v>56</v>
      </c>
      <c r="D68" s="4"/>
      <c r="E68" s="140"/>
      <c r="F68" s="340"/>
      <c r="G68" s="140"/>
      <c r="H68" s="340"/>
      <c r="I68" s="140"/>
      <c r="J68" s="140"/>
      <c r="K68" s="140"/>
      <c r="L68" s="140"/>
      <c r="M68" s="140"/>
      <c r="N68" s="140"/>
      <c r="O68" s="140"/>
      <c r="P68" s="140"/>
      <c r="Q68" s="140"/>
      <c r="R68" s="216"/>
      <c r="S68" s="140"/>
      <c r="T68" s="140"/>
      <c r="U68" s="140"/>
      <c r="V68" s="140"/>
      <c r="W68" s="140"/>
      <c r="X68" s="140"/>
      <c r="Y68" s="140"/>
      <c r="Z68" s="216"/>
      <c r="AA68" s="140"/>
      <c r="AB68" s="140"/>
      <c r="AC68" s="140"/>
      <c r="AD68" s="216"/>
      <c r="AE68" s="140"/>
      <c r="AF68" s="140"/>
      <c r="AG68" s="140"/>
      <c r="AH68" s="140"/>
      <c r="AI68" s="140"/>
      <c r="AJ68" s="140"/>
      <c r="AK68" s="140"/>
      <c r="AL68" s="203"/>
      <c r="AM68" s="140"/>
      <c r="AN68" s="140"/>
      <c r="AO68" s="140"/>
      <c r="AP68" s="140"/>
      <c r="AQ68" s="140"/>
      <c r="AR68" s="140"/>
      <c r="AS68" s="140"/>
      <c r="AT68" s="140"/>
      <c r="AU68" s="140"/>
      <c r="AV68" s="140"/>
      <c r="AW68" s="140"/>
      <c r="AX68" s="140"/>
      <c r="AY68" s="140"/>
      <c r="AZ68" s="140"/>
      <c r="BA68" s="140"/>
      <c r="BB68" s="140"/>
      <c r="BC68" s="140"/>
      <c r="BD68" s="140"/>
      <c r="BE68" s="216"/>
      <c r="BF68" s="140"/>
      <c r="BG68" s="140"/>
      <c r="BH68" s="140"/>
      <c r="BI68" s="140"/>
      <c r="BJ68" s="140"/>
      <c r="BK68" s="140"/>
      <c r="BL68" s="140"/>
      <c r="BM68" s="216"/>
      <c r="BN68" s="140"/>
      <c r="BO68" s="203"/>
      <c r="BP68" s="140"/>
      <c r="BQ68" s="140"/>
      <c r="BR68" s="216"/>
      <c r="BS68" s="140"/>
      <c r="BT68" s="216"/>
      <c r="BU68" s="140"/>
      <c r="BV68" s="140"/>
      <c r="BW68" s="140"/>
      <c r="BX68" s="140"/>
      <c r="BY68" s="140"/>
      <c r="BZ68" s="140"/>
      <c r="CA68" s="140"/>
      <c r="CB68" s="140"/>
      <c r="CC68" s="140"/>
      <c r="CD68" s="140"/>
      <c r="CE68" s="140"/>
      <c r="CF68" s="216"/>
      <c r="CG68" s="140"/>
      <c r="CH68" s="216"/>
      <c r="CI68" s="140"/>
      <c r="CJ68" s="140"/>
      <c r="CK68" s="140"/>
      <c r="CL68" s="140"/>
      <c r="CM68" s="140"/>
      <c r="CN68" s="140"/>
      <c r="CO68" s="140"/>
      <c r="CP68" s="140"/>
      <c r="CQ68" s="140"/>
      <c r="CR68" s="203"/>
      <c r="CS68" s="140"/>
      <c r="CT68" s="140"/>
      <c r="CU68" s="140"/>
      <c r="CV68" s="140"/>
      <c r="CW68" s="216"/>
      <c r="CX68" s="140"/>
      <c r="CY68" s="140"/>
      <c r="CZ68" s="140"/>
      <c r="DA68" s="140"/>
      <c r="DB68" s="140"/>
      <c r="DC68" s="140"/>
      <c r="DD68" s="140"/>
      <c r="DE68" s="140"/>
      <c r="DF68" s="140"/>
      <c r="DG68" s="140"/>
      <c r="DH68" s="140"/>
      <c r="DI68" s="140"/>
      <c r="DJ68" s="140"/>
      <c r="DK68" s="216"/>
      <c r="DL68" s="140"/>
      <c r="DM68" s="216"/>
      <c r="DN68" s="140"/>
      <c r="DO68" s="140"/>
      <c r="DP68" s="140"/>
      <c r="DQ68" s="140"/>
      <c r="DR68" s="140"/>
      <c r="DS68" s="532">
        <v>7</v>
      </c>
      <c r="DT68" s="715" t="s">
        <v>569</v>
      </c>
      <c r="DU68" s="216"/>
      <c r="DV68" s="140"/>
      <c r="DW68" s="140"/>
      <c r="DX68" s="140"/>
      <c r="DY68" s="140"/>
      <c r="DZ68" s="140"/>
      <c r="EA68" s="532"/>
      <c r="EB68" s="140"/>
      <c r="EC68" s="4"/>
    </row>
    <row r="69" spans="1:133">
      <c r="A69" s="526"/>
      <c r="B69" s="50"/>
      <c r="C69" s="339"/>
      <c r="D69" s="4"/>
      <c r="E69" s="140"/>
      <c r="F69" s="340"/>
      <c r="G69" s="140"/>
      <c r="H69" s="340"/>
      <c r="I69" s="140"/>
      <c r="J69" s="140"/>
      <c r="K69" s="140"/>
      <c r="L69" s="140"/>
      <c r="M69" s="140"/>
      <c r="N69" s="140"/>
      <c r="O69" s="140"/>
      <c r="P69" s="140"/>
      <c r="Q69" s="140"/>
      <c r="R69" s="216"/>
      <c r="S69" s="140"/>
      <c r="T69" s="140"/>
      <c r="U69" s="140"/>
      <c r="V69" s="140"/>
      <c r="W69" s="140"/>
      <c r="X69" s="140"/>
      <c r="Y69" s="140"/>
      <c r="Z69" s="216"/>
      <c r="AA69" s="140"/>
      <c r="AB69" s="140"/>
      <c r="AC69" s="140"/>
      <c r="AD69" s="216"/>
      <c r="AE69" s="140"/>
      <c r="AF69" s="140"/>
      <c r="AG69" s="140"/>
      <c r="AH69" s="140"/>
      <c r="AI69" s="140"/>
      <c r="AJ69" s="140"/>
      <c r="AK69" s="140"/>
      <c r="AL69" s="203"/>
      <c r="AM69" s="140"/>
      <c r="AN69" s="140"/>
      <c r="AO69" s="140"/>
      <c r="AP69" s="140"/>
      <c r="AQ69" s="140"/>
      <c r="AR69" s="140"/>
      <c r="AS69" s="140"/>
      <c r="AT69" s="140"/>
      <c r="AU69" s="140"/>
      <c r="AV69" s="140"/>
      <c r="AW69" s="140"/>
      <c r="AX69" s="140"/>
      <c r="AY69" s="140"/>
      <c r="AZ69" s="140"/>
      <c r="BA69" s="140"/>
      <c r="BB69" s="140"/>
      <c r="BC69" s="140"/>
      <c r="BD69" s="140"/>
      <c r="BE69" s="216"/>
      <c r="BF69" s="140"/>
      <c r="BG69" s="140"/>
      <c r="BH69" s="140"/>
      <c r="BI69" s="140"/>
      <c r="BJ69" s="140"/>
      <c r="BK69" s="140"/>
      <c r="BL69" s="140"/>
      <c r="BM69" s="216"/>
      <c r="BN69" s="140"/>
      <c r="BO69" s="203"/>
      <c r="BP69" s="140"/>
      <c r="BQ69" s="140"/>
      <c r="BR69" s="216"/>
      <c r="BS69" s="140"/>
      <c r="BT69" s="216"/>
      <c r="BU69" s="140"/>
      <c r="BV69" s="140"/>
      <c r="BW69" s="140"/>
      <c r="BX69" s="140"/>
      <c r="BY69" s="140"/>
      <c r="BZ69" s="140"/>
      <c r="CA69" s="140"/>
      <c r="CB69" s="140"/>
      <c r="CC69" s="140"/>
      <c r="CD69" s="140"/>
      <c r="CE69" s="140"/>
      <c r="CF69" s="216"/>
      <c r="CG69" s="140"/>
      <c r="CH69" s="216"/>
      <c r="CI69" s="140"/>
      <c r="CJ69" s="140"/>
      <c r="CK69" s="140"/>
      <c r="CL69" s="140"/>
      <c r="CM69" s="140"/>
      <c r="CN69" s="140"/>
      <c r="CO69" s="140"/>
      <c r="CP69" s="140"/>
      <c r="CQ69" s="140"/>
      <c r="CR69" s="203"/>
      <c r="CS69" s="140"/>
      <c r="CT69" s="140"/>
      <c r="CU69" s="140"/>
      <c r="CV69" s="140"/>
      <c r="CW69" s="216"/>
      <c r="CX69" s="140"/>
      <c r="CY69" s="140"/>
      <c r="CZ69" s="140"/>
      <c r="DA69" s="140"/>
      <c r="DB69" s="140"/>
      <c r="DC69" s="140"/>
      <c r="DD69" s="140"/>
      <c r="DE69" s="140"/>
      <c r="DF69" s="140"/>
      <c r="DG69" s="140"/>
      <c r="DH69" s="140"/>
      <c r="DI69" s="140"/>
      <c r="DJ69" s="140"/>
      <c r="DK69" s="216"/>
      <c r="DL69" s="140"/>
      <c r="DM69" s="216"/>
      <c r="DN69" s="140"/>
      <c r="DO69" s="140"/>
      <c r="DP69" s="140"/>
      <c r="DQ69" s="140"/>
      <c r="DR69" s="140"/>
      <c r="DS69" s="532">
        <v>8</v>
      </c>
      <c r="DT69" s="715" t="s">
        <v>570</v>
      </c>
      <c r="DU69" s="216"/>
      <c r="DV69" s="140"/>
      <c r="DW69" s="140"/>
      <c r="DX69" s="140"/>
      <c r="DY69" s="140"/>
      <c r="DZ69" s="140"/>
      <c r="EA69" s="532"/>
      <c r="EB69" s="140"/>
      <c r="EC69" s="4"/>
    </row>
    <row r="70" spans="1:133">
      <c r="A70" s="48"/>
      <c r="B70" s="50"/>
      <c r="C70" s="108"/>
      <c r="D70" s="4"/>
      <c r="E70" s="140"/>
      <c r="F70" s="340"/>
      <c r="G70" s="140"/>
      <c r="H70" s="340"/>
      <c r="I70" s="140"/>
      <c r="J70" s="140"/>
      <c r="K70" s="140"/>
      <c r="L70" s="140"/>
      <c r="M70" s="140"/>
      <c r="N70" s="140"/>
      <c r="O70" s="140"/>
      <c r="P70" s="140"/>
      <c r="Q70" s="140"/>
      <c r="R70" s="216"/>
      <c r="S70" s="140"/>
      <c r="T70" s="140"/>
      <c r="U70" s="140"/>
      <c r="V70" s="140"/>
      <c r="W70" s="140"/>
      <c r="X70" s="140"/>
      <c r="Y70" s="140"/>
      <c r="Z70" s="216"/>
      <c r="AA70" s="140"/>
      <c r="AB70" s="140"/>
      <c r="AC70" s="140"/>
      <c r="AD70" s="216"/>
      <c r="AE70" s="140"/>
      <c r="AF70" s="140"/>
      <c r="AG70" s="140"/>
      <c r="AH70" s="140"/>
      <c r="AI70" s="140"/>
      <c r="AJ70" s="140"/>
      <c r="AK70" s="140"/>
      <c r="AL70" s="203"/>
      <c r="AM70" s="140"/>
      <c r="AN70" s="140"/>
      <c r="AO70" s="140"/>
      <c r="AP70" s="140"/>
      <c r="AQ70" s="140"/>
      <c r="AR70" s="140"/>
      <c r="AS70" s="140"/>
      <c r="AT70" s="140"/>
      <c r="AU70" s="140"/>
      <c r="AV70" s="140"/>
      <c r="AW70" s="140"/>
      <c r="AX70" s="140"/>
      <c r="AY70" s="140"/>
      <c r="AZ70" s="140"/>
      <c r="BA70" s="140"/>
      <c r="BB70" s="140"/>
      <c r="BC70" s="140"/>
      <c r="BD70" s="140"/>
      <c r="BE70" s="216"/>
      <c r="BF70" s="140"/>
      <c r="BG70" s="140"/>
      <c r="BH70" s="140"/>
      <c r="BI70" s="140"/>
      <c r="BJ70" s="140"/>
      <c r="BK70" s="140"/>
      <c r="BL70" s="140"/>
      <c r="BM70" s="216"/>
      <c r="BN70" s="140"/>
      <c r="BO70" s="203"/>
      <c r="BP70" s="140"/>
      <c r="BQ70" s="140"/>
      <c r="BR70" s="216"/>
      <c r="BS70" s="140"/>
      <c r="BT70" s="216"/>
      <c r="BU70" s="140"/>
      <c r="BV70" s="140"/>
      <c r="BW70" s="140"/>
      <c r="BX70" s="140"/>
      <c r="BY70" s="140"/>
      <c r="BZ70" s="140"/>
      <c r="CA70" s="140"/>
      <c r="CB70" s="140"/>
      <c r="CC70" s="140"/>
      <c r="CD70" s="140"/>
      <c r="CE70" s="140"/>
      <c r="CF70" s="216"/>
      <c r="CG70" s="140"/>
      <c r="CH70" s="216"/>
      <c r="CI70" s="140"/>
      <c r="CJ70" s="140"/>
      <c r="CK70" s="140"/>
      <c r="CL70" s="140"/>
      <c r="CM70" s="140"/>
      <c r="CN70" s="140"/>
      <c r="CO70" s="140"/>
      <c r="CP70" s="140"/>
      <c r="CQ70" s="140"/>
      <c r="CR70" s="203"/>
      <c r="CS70" s="140"/>
      <c r="CT70" s="140"/>
      <c r="CU70" s="140"/>
      <c r="CV70" s="140"/>
      <c r="CW70" s="216"/>
      <c r="CX70" s="140"/>
      <c r="CY70" s="140"/>
      <c r="CZ70" s="140"/>
      <c r="DA70" s="140"/>
      <c r="DB70" s="140"/>
      <c r="DC70" s="140"/>
      <c r="DD70" s="140"/>
      <c r="DE70" s="140"/>
      <c r="DF70" s="140"/>
      <c r="DG70" s="140"/>
      <c r="DH70" s="140"/>
      <c r="DI70" s="140"/>
      <c r="DJ70" s="140"/>
      <c r="DK70" s="216"/>
      <c r="DL70" s="140"/>
      <c r="DM70" s="216"/>
      <c r="DN70" s="140"/>
      <c r="DO70" s="140"/>
      <c r="DP70" s="140"/>
      <c r="DQ70" s="140"/>
      <c r="DR70" s="140"/>
      <c r="DS70" s="532">
        <v>1</v>
      </c>
      <c r="DT70" s="715" t="s">
        <v>571</v>
      </c>
      <c r="DU70" s="216"/>
      <c r="DV70" s="140"/>
      <c r="DW70" s="140"/>
      <c r="DX70" s="140"/>
      <c r="DY70" s="140"/>
      <c r="DZ70" s="140"/>
      <c r="EA70" s="532"/>
      <c r="EB70" s="140"/>
      <c r="EC70" s="4"/>
    </row>
    <row r="71" spans="1:133">
      <c r="AD71" s="224"/>
      <c r="BE71" s="225"/>
      <c r="BR71" s="224"/>
      <c r="CH71" s="225"/>
      <c r="CW71" s="224"/>
      <c r="DK71" s="224"/>
      <c r="DM71" s="224"/>
      <c r="DS71" s="533"/>
      <c r="DU71" s="224"/>
      <c r="EA71" s="533"/>
    </row>
    <row r="72" spans="1:133">
      <c r="A72" s="35"/>
      <c r="B72" s="35"/>
      <c r="AD72" s="224"/>
      <c r="BE72" s="225"/>
      <c r="CH72" s="225"/>
      <c r="CW72" s="224"/>
      <c r="DK72" s="224"/>
      <c r="DM72" s="224"/>
      <c r="DS72" s="533"/>
      <c r="DU72" s="224"/>
      <c r="EA72" s="533"/>
    </row>
    <row r="73" spans="1:133">
      <c r="AD73" s="224"/>
      <c r="BE73" s="225"/>
      <c r="CH73" s="225"/>
      <c r="CW73" s="224"/>
      <c r="DK73" s="224"/>
      <c r="DM73" s="224"/>
      <c r="DS73" s="533"/>
      <c r="DU73" s="224"/>
      <c r="EA73" s="533"/>
    </row>
    <row r="74" spans="1:133">
      <c r="G74" s="34"/>
      <c r="AD74" s="224"/>
      <c r="BE74" s="225"/>
      <c r="CH74" s="225"/>
      <c r="CW74" s="224"/>
      <c r="DK74" s="224"/>
      <c r="DM74" s="224"/>
      <c r="DS74" s="533"/>
      <c r="DU74" s="224"/>
      <c r="EA74" s="533"/>
    </row>
    <row r="75" spans="1:133">
      <c r="AD75" s="224"/>
      <c r="BE75" s="225"/>
      <c r="CH75" s="225"/>
      <c r="CW75" s="224"/>
      <c r="DK75" s="224"/>
      <c r="DM75" s="224"/>
      <c r="DS75" s="533"/>
      <c r="DU75" s="224"/>
      <c r="EA75" s="533"/>
    </row>
    <row r="76" spans="1:133">
      <c r="AD76" s="224"/>
      <c r="BE76" s="225"/>
      <c r="CH76" s="225"/>
      <c r="CW76" s="224"/>
      <c r="DK76" s="224"/>
      <c r="DM76" s="224"/>
      <c r="DS76" s="533"/>
      <c r="DU76" s="224"/>
      <c r="EA76" s="533"/>
    </row>
    <row r="77" spans="1:133">
      <c r="AD77" s="224"/>
      <c r="BE77" s="225"/>
      <c r="CH77" s="225"/>
      <c r="CW77" s="224"/>
      <c r="DK77" s="224"/>
      <c r="DM77" s="224"/>
      <c r="DS77" s="533"/>
      <c r="DU77" s="224"/>
      <c r="EA77" s="533"/>
    </row>
    <row r="78" spans="1:133">
      <c r="AD78" s="224"/>
      <c r="BE78" s="225"/>
      <c r="CH78" s="225"/>
      <c r="CW78" s="224"/>
      <c r="DK78" s="224"/>
      <c r="DM78" s="224"/>
      <c r="DS78" s="533"/>
      <c r="DU78" s="224"/>
      <c r="EA78" s="533"/>
    </row>
    <row r="79" spans="1:133">
      <c r="AD79" s="224"/>
      <c r="BE79" s="225"/>
      <c r="CH79" s="225"/>
      <c r="CW79" s="224"/>
      <c r="DK79" s="224"/>
      <c r="DM79" s="224"/>
      <c r="DS79" s="533"/>
      <c r="DU79" s="224"/>
      <c r="EA79" s="533"/>
    </row>
    <row r="80" spans="1:133">
      <c r="DS80" s="80"/>
      <c r="EA80" s="80"/>
    </row>
    <row r="81" spans="123:131">
      <c r="DS81" s="80"/>
      <c r="EA81" s="80"/>
    </row>
    <row r="82" spans="123:131">
      <c r="DS82" s="80"/>
      <c r="EA82" s="80"/>
    </row>
    <row r="83" spans="123:131">
      <c r="DS83" s="80"/>
      <c r="EA83" s="80"/>
    </row>
    <row r="84" spans="123:131">
      <c r="EA84" s="80"/>
    </row>
  </sheetData>
  <mergeCells count="202">
    <mergeCell ref="BG15:BH15"/>
    <mergeCell ref="BI15:BJ15"/>
    <mergeCell ref="BK15:BL15"/>
    <mergeCell ref="BG16:BH16"/>
    <mergeCell ref="BE16:BF16"/>
    <mergeCell ref="BC16:BD16"/>
    <mergeCell ref="BM15:BN15"/>
    <mergeCell ref="BC15:BD15"/>
    <mergeCell ref="BE15:BF15"/>
    <mergeCell ref="BK16:BL16"/>
    <mergeCell ref="H20:Q20"/>
    <mergeCell ref="DY20:EB20"/>
    <mergeCell ref="DQ20:DV20"/>
    <mergeCell ref="BG20:BJ20"/>
    <mergeCell ref="CF20:CQ20"/>
    <mergeCell ref="DK20:DP20"/>
    <mergeCell ref="BC20:BF20"/>
    <mergeCell ref="AY20:BB20"/>
    <mergeCell ref="AS20:AX20"/>
    <mergeCell ref="R20:Y20"/>
    <mergeCell ref="AF20:AI20"/>
    <mergeCell ref="AQ16:AR16"/>
    <mergeCell ref="AJ16:AK16"/>
    <mergeCell ref="AO16:AP16"/>
    <mergeCell ref="DQ16:DR16"/>
    <mergeCell ref="DO16:DP16"/>
    <mergeCell ref="DM16:DN16"/>
    <mergeCell ref="DM15:DN15"/>
    <mergeCell ref="DO15:DP15"/>
    <mergeCell ref="D16:E16"/>
    <mergeCell ref="H16:I16"/>
    <mergeCell ref="D15:E15"/>
    <mergeCell ref="F15:G15"/>
    <mergeCell ref="F16:G16"/>
    <mergeCell ref="H15:I15"/>
    <mergeCell ref="BA16:BB16"/>
    <mergeCell ref="R16:S16"/>
    <mergeCell ref="T16:U16"/>
    <mergeCell ref="AB16:AC16"/>
    <mergeCell ref="J16:Q16"/>
    <mergeCell ref="AS16:AX16"/>
    <mergeCell ref="V16:W16"/>
    <mergeCell ref="AY16:AZ16"/>
    <mergeCell ref="AH16:AI16"/>
    <mergeCell ref="AF16:AG16"/>
    <mergeCell ref="Z16:AA16"/>
    <mergeCell ref="X16:Y16"/>
    <mergeCell ref="AD16:AE16"/>
    <mergeCell ref="Z15:AA15"/>
    <mergeCell ref="AF15:AG15"/>
    <mergeCell ref="AO15:AP15"/>
    <mergeCell ref="AM15:AN15"/>
    <mergeCell ref="AM16:AN16"/>
    <mergeCell ref="A1:A10"/>
    <mergeCell ref="D11:E11"/>
    <mergeCell ref="F11:G11"/>
    <mergeCell ref="H11:I11"/>
    <mergeCell ref="J15:Q15"/>
    <mergeCell ref="Z11:AA11"/>
    <mergeCell ref="X13:Y13"/>
    <mergeCell ref="J11:K11"/>
    <mergeCell ref="J13:Q13"/>
    <mergeCell ref="AD11:AE11"/>
    <mergeCell ref="L11:M11"/>
    <mergeCell ref="N11:O11"/>
    <mergeCell ref="AD13:AE13"/>
    <mergeCell ref="AF11:AG11"/>
    <mergeCell ref="X11:Y11"/>
    <mergeCell ref="Z13:AA13"/>
    <mergeCell ref="AY15:AZ15"/>
    <mergeCell ref="BA15:BB15"/>
    <mergeCell ref="P11:Q11"/>
    <mergeCell ref="AH13:AI13"/>
    <mergeCell ref="R13:S13"/>
    <mergeCell ref="T15:U15"/>
    <mergeCell ref="R11:S11"/>
    <mergeCell ref="T13:U13"/>
    <mergeCell ref="T11:U11"/>
    <mergeCell ref="AS15:AX15"/>
    <mergeCell ref="AH15:AI15"/>
    <mergeCell ref="AB15:AC15"/>
    <mergeCell ref="R15:S15"/>
    <mergeCell ref="X15:Y15"/>
    <mergeCell ref="V15:W15"/>
    <mergeCell ref="AD15:AE15"/>
    <mergeCell ref="AJ13:AK13"/>
    <mergeCell ref="AJ15:AK15"/>
    <mergeCell ref="AQ15:AR15"/>
    <mergeCell ref="AH11:AI11"/>
    <mergeCell ref="F14:AK14"/>
    <mergeCell ref="V11:W11"/>
    <mergeCell ref="V13:W13"/>
    <mergeCell ref="AJ11:AK11"/>
    <mergeCell ref="AB11:AC11"/>
    <mergeCell ref="AF13:AG13"/>
    <mergeCell ref="AB13:AC13"/>
    <mergeCell ref="AM11:AN11"/>
    <mergeCell ref="AO11:AP11"/>
    <mergeCell ref="AQ11:AR11"/>
    <mergeCell ref="AS11:AT11"/>
    <mergeCell ref="AO14:BN14"/>
    <mergeCell ref="BK11:BL11"/>
    <mergeCell ref="BM11:BN11"/>
    <mergeCell ref="AS13:AX13"/>
    <mergeCell ref="AU11:AV11"/>
    <mergeCell ref="BZ11:CA11"/>
    <mergeCell ref="BA11:BB11"/>
    <mergeCell ref="BC11:BD11"/>
    <mergeCell ref="BE11:BF11"/>
    <mergeCell ref="BG11:BH11"/>
    <mergeCell ref="BV11:BW11"/>
    <mergeCell ref="BT11:BU11"/>
    <mergeCell ref="BR11:BS11"/>
    <mergeCell ref="AW11:AX11"/>
    <mergeCell ref="AY11:AZ11"/>
    <mergeCell ref="BR14:CQ14"/>
    <mergeCell ref="CP11:CQ11"/>
    <mergeCell ref="CN11:CO11"/>
    <mergeCell ref="CL11:CM11"/>
    <mergeCell ref="CJ11:CK11"/>
    <mergeCell ref="BI11:BJ11"/>
    <mergeCell ref="BP16:BQ16"/>
    <mergeCell ref="BR16:BS16"/>
    <mergeCell ref="BP15:BQ15"/>
    <mergeCell ref="BR15:BS15"/>
    <mergeCell ref="BP11:BQ11"/>
    <mergeCell ref="CH11:CI11"/>
    <mergeCell ref="CF11:CG11"/>
    <mergeCell ref="CD11:CE11"/>
    <mergeCell ref="CB11:CC11"/>
    <mergeCell ref="BX11:BY11"/>
    <mergeCell ref="BV15:BW15"/>
    <mergeCell ref="BX15:BY15"/>
    <mergeCell ref="BZ15:CA15"/>
    <mergeCell ref="BI16:BJ16"/>
    <mergeCell ref="CJ13:CQ13"/>
    <mergeCell ref="CJ15:CQ15"/>
    <mergeCell ref="BT15:BU15"/>
    <mergeCell ref="BM16:BN16"/>
    <mergeCell ref="DK16:DL16"/>
    <mergeCell ref="CB15:CC15"/>
    <mergeCell ref="CD15:CE15"/>
    <mergeCell ref="CF15:CG15"/>
    <mergeCell ref="CH15:CI15"/>
    <mergeCell ref="CB16:CC16"/>
    <mergeCell ref="CD16:CE16"/>
    <mergeCell ref="DK15:DL15"/>
    <mergeCell ref="CF16:CG16"/>
    <mergeCell ref="CH16:CI16"/>
    <mergeCell ref="CJ16:CQ16"/>
    <mergeCell ref="DI16:DJ16"/>
    <mergeCell ref="DG16:DH16"/>
    <mergeCell ref="DI15:DJ15"/>
    <mergeCell ref="CY16:CZ16"/>
    <mergeCell ref="BT16:BU16"/>
    <mergeCell ref="BV16:BW16"/>
    <mergeCell ref="BX16:BY16"/>
    <mergeCell ref="BZ16:CA16"/>
    <mergeCell ref="EA11:EB11"/>
    <mergeCell ref="DY16:DZ16"/>
    <mergeCell ref="DW16:DX16"/>
    <mergeCell ref="DU16:DV16"/>
    <mergeCell ref="DY11:DZ11"/>
    <mergeCell ref="DY15:DZ15"/>
    <mergeCell ref="EA16:EB16"/>
    <mergeCell ref="EA15:EB15"/>
    <mergeCell ref="CU14:EB14"/>
    <mergeCell ref="DS16:DT16"/>
    <mergeCell ref="DU15:DV15"/>
    <mergeCell ref="DW15:DX15"/>
    <mergeCell ref="DQ11:DR11"/>
    <mergeCell ref="DS11:DT11"/>
    <mergeCell ref="DU11:DV11"/>
    <mergeCell ref="DW11:DX11"/>
    <mergeCell ref="DS15:DT15"/>
    <mergeCell ref="DI11:DJ11"/>
    <mergeCell ref="DG11:DH11"/>
    <mergeCell ref="DG15:DH15"/>
    <mergeCell ref="DQ15:DR15"/>
    <mergeCell ref="DK11:DL11"/>
    <mergeCell ref="DM11:DN11"/>
    <mergeCell ref="DO11:DP11"/>
    <mergeCell ref="DC11:DD11"/>
    <mergeCell ref="CS15:CT15"/>
    <mergeCell ref="CS16:CT16"/>
    <mergeCell ref="CS11:CT11"/>
    <mergeCell ref="CU11:CV11"/>
    <mergeCell ref="CW16:CX16"/>
    <mergeCell ref="CU16:CV16"/>
    <mergeCell ref="DE11:DF11"/>
    <mergeCell ref="CU15:CV15"/>
    <mergeCell ref="CW15:CX15"/>
    <mergeCell ref="CY15:CZ15"/>
    <mergeCell ref="DA15:DB15"/>
    <mergeCell ref="DC15:DD15"/>
    <mergeCell ref="DE15:DF15"/>
    <mergeCell ref="CW11:CX11"/>
    <mergeCell ref="CY11:CZ11"/>
    <mergeCell ref="DA11:DB11"/>
    <mergeCell ref="DE16:DF16"/>
    <mergeCell ref="DC16:DD16"/>
    <mergeCell ref="DA16:DB16"/>
  </mergeCells>
  <phoneticPr fontId="3" type="noConversion"/>
  <conditionalFormatting sqref="BO21:BO70 AL21:AL70 CR21:CR70">
    <cfRule type="cellIs" dxfId="0" priority="1" stopIfTrue="1" operator="equal">
      <formula>"no"</formula>
    </cfRule>
  </conditionalFormatting>
  <pageMargins left="0.39000000000000007" right="0.39000000000000007" top="0.59" bottom="0.59" header="0.31" footer="0.31"/>
  <pageSetup paperSize="9"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 enableFormatConditionsCalculation="0">
    <pageSetUpPr fitToPage="1"/>
  </sheetPr>
  <dimension ref="A2:N87"/>
  <sheetViews>
    <sheetView workbookViewId="0">
      <selection activeCell="A45" sqref="A45"/>
    </sheetView>
  </sheetViews>
  <sheetFormatPr baseColWidth="10" defaultColWidth="8.83203125" defaultRowHeight="12" x14ac:dyDescent="0"/>
  <cols>
    <col min="1" max="1" width="49.33203125" customWidth="1"/>
    <col min="3" max="3" width="38" customWidth="1"/>
    <col min="10" max="10" width="27.1640625" customWidth="1"/>
  </cols>
  <sheetData>
    <row r="2" spans="1:14">
      <c r="C2" t="s">
        <v>508</v>
      </c>
    </row>
    <row r="3" spans="1:14" s="279" customFormat="1" ht="21" customHeight="1">
      <c r="A3" s="588"/>
      <c r="B3" s="588"/>
      <c r="C3" s="588"/>
      <c r="D3" s="588" t="s">
        <v>149</v>
      </c>
      <c r="E3" s="588"/>
      <c r="F3" s="588" t="s">
        <v>11</v>
      </c>
      <c r="G3" s="588"/>
      <c r="H3" s="588" t="s">
        <v>148</v>
      </c>
      <c r="I3" s="588"/>
      <c r="J3" s="575"/>
      <c r="K3" s="711" t="s">
        <v>509</v>
      </c>
      <c r="L3" s="711"/>
      <c r="M3" s="711" t="s">
        <v>510</v>
      </c>
      <c r="N3" s="711"/>
    </row>
    <row r="4" spans="1:14" s="279" customFormat="1" ht="22" customHeight="1">
      <c r="A4" s="588" t="s">
        <v>525</v>
      </c>
      <c r="B4" s="588" t="s">
        <v>428</v>
      </c>
      <c r="C4" s="588" t="s">
        <v>10</v>
      </c>
      <c r="D4" s="588">
        <v>2005</v>
      </c>
      <c r="E4" s="588">
        <v>2006</v>
      </c>
      <c r="F4" s="588">
        <v>2005</v>
      </c>
      <c r="G4" s="588">
        <v>2006</v>
      </c>
      <c r="H4" s="588">
        <v>2005</v>
      </c>
      <c r="I4" s="588">
        <v>2006</v>
      </c>
      <c r="J4" s="576" t="s">
        <v>217</v>
      </c>
      <c r="K4" s="577">
        <v>2008</v>
      </c>
      <c r="L4" s="577">
        <v>2009</v>
      </c>
      <c r="M4" s="577">
        <v>2008</v>
      </c>
      <c r="N4" s="577">
        <v>2009</v>
      </c>
    </row>
    <row r="5" spans="1:14" ht="13" customHeight="1">
      <c r="A5" s="445" t="s">
        <v>411</v>
      </c>
      <c r="B5" s="445">
        <v>108</v>
      </c>
      <c r="C5" s="584" t="s">
        <v>137</v>
      </c>
      <c r="D5" s="281">
        <v>11066</v>
      </c>
      <c r="E5" s="281">
        <v>11066</v>
      </c>
      <c r="F5" s="281">
        <v>10800</v>
      </c>
      <c r="G5" s="281">
        <v>10800</v>
      </c>
      <c r="H5" s="281">
        <v>10300</v>
      </c>
      <c r="I5" s="569">
        <v>10300</v>
      </c>
      <c r="J5" s="572" t="s">
        <v>137</v>
      </c>
      <c r="K5" s="580">
        <v>10103</v>
      </c>
      <c r="L5" s="580">
        <v>9646</v>
      </c>
      <c r="M5" s="580">
        <v>9626</v>
      </c>
      <c r="N5" s="580">
        <v>9182</v>
      </c>
    </row>
    <row r="6" spans="1:14" ht="13" customHeight="1">
      <c r="A6" s="445" t="s">
        <v>409</v>
      </c>
      <c r="B6" s="445">
        <v>106</v>
      </c>
      <c r="C6" s="584" t="s">
        <v>135</v>
      </c>
      <c r="D6" s="281">
        <v>9623</v>
      </c>
      <c r="E6" s="281">
        <v>9743</v>
      </c>
      <c r="F6" s="281">
        <v>8826</v>
      </c>
      <c r="G6" s="281">
        <v>9736</v>
      </c>
      <c r="H6" s="281">
        <v>8056</v>
      </c>
      <c r="I6" s="569">
        <v>8821</v>
      </c>
      <c r="J6" s="572" t="s">
        <v>135</v>
      </c>
      <c r="K6" s="580">
        <v>10792</v>
      </c>
      <c r="L6" s="580">
        <v>9779</v>
      </c>
      <c r="M6" s="580">
        <v>9836</v>
      </c>
      <c r="N6" s="580">
        <v>8910</v>
      </c>
    </row>
    <row r="7" spans="1:14" ht="13" customHeight="1">
      <c r="A7" s="445" t="s">
        <v>410</v>
      </c>
      <c r="B7" s="445">
        <v>107</v>
      </c>
      <c r="C7" s="584" t="s">
        <v>136</v>
      </c>
      <c r="D7" s="281">
        <v>36213</v>
      </c>
      <c r="E7" s="281">
        <v>36578</v>
      </c>
      <c r="F7" s="281">
        <v>36213</v>
      </c>
      <c r="G7" s="281">
        <v>36578</v>
      </c>
      <c r="H7" s="281">
        <v>34808</v>
      </c>
      <c r="I7" s="569">
        <v>35116</v>
      </c>
      <c r="J7" s="572" t="s">
        <v>136</v>
      </c>
      <c r="K7" s="580">
        <v>35568</v>
      </c>
      <c r="L7" s="580">
        <v>33584</v>
      </c>
      <c r="M7" s="580">
        <v>34166</v>
      </c>
      <c r="N7" s="580">
        <v>32218</v>
      </c>
    </row>
    <row r="8" spans="1:14" ht="13" customHeight="1">
      <c r="A8" s="445" t="s">
        <v>461</v>
      </c>
      <c r="B8" s="445">
        <v>202</v>
      </c>
      <c r="C8" s="582" t="s">
        <v>461</v>
      </c>
      <c r="D8" s="445"/>
      <c r="E8" s="445">
        <v>1000</v>
      </c>
      <c r="F8" s="445"/>
      <c r="G8" s="445"/>
      <c r="H8" s="445"/>
      <c r="I8" s="300"/>
      <c r="J8" s="572"/>
      <c r="K8" s="580"/>
      <c r="L8" s="445">
        <v>1000</v>
      </c>
      <c r="M8" s="580"/>
      <c r="N8" s="580"/>
    </row>
    <row r="9" spans="1:14" ht="13" customHeight="1">
      <c r="A9" s="445" t="s">
        <v>555</v>
      </c>
      <c r="B9" s="445">
        <v>113</v>
      </c>
      <c r="C9" s="584" t="s">
        <v>226</v>
      </c>
      <c r="D9" s="280">
        <v>361</v>
      </c>
      <c r="E9" s="280">
        <v>361</v>
      </c>
      <c r="F9" s="280">
        <v>351</v>
      </c>
      <c r="G9" s="280">
        <v>351</v>
      </c>
      <c r="H9" s="280" t="s">
        <v>15</v>
      </c>
      <c r="I9" s="570" t="s">
        <v>15</v>
      </c>
      <c r="J9" s="572" t="s">
        <v>226</v>
      </c>
      <c r="K9" s="580">
        <v>295</v>
      </c>
      <c r="L9" s="580">
        <v>283</v>
      </c>
      <c r="M9" s="580" t="s">
        <v>15</v>
      </c>
      <c r="N9" s="580" t="s">
        <v>15</v>
      </c>
    </row>
    <row r="10" spans="1:14" ht="13" customHeight="1">
      <c r="A10" s="445" t="s">
        <v>84</v>
      </c>
      <c r="B10" s="445">
        <v>200</v>
      </c>
      <c r="C10" s="572" t="s">
        <v>515</v>
      </c>
      <c r="D10" s="445"/>
      <c r="E10" s="445">
        <v>1000</v>
      </c>
      <c r="F10" s="445"/>
      <c r="G10" s="445"/>
      <c r="H10" s="445"/>
      <c r="I10" s="300"/>
      <c r="J10" s="572" t="s">
        <v>515</v>
      </c>
      <c r="K10" s="580">
        <v>1345</v>
      </c>
      <c r="L10" s="580">
        <v>1326</v>
      </c>
      <c r="M10" s="580">
        <v>893</v>
      </c>
      <c r="N10" s="580">
        <v>875</v>
      </c>
    </row>
    <row r="11" spans="1:14" ht="13" customHeight="1">
      <c r="A11" s="445" t="s">
        <v>542</v>
      </c>
      <c r="B11" s="445">
        <v>52</v>
      </c>
      <c r="C11" s="584" t="s">
        <v>145</v>
      </c>
      <c r="D11" s="281">
        <v>111338</v>
      </c>
      <c r="E11" s="281">
        <v>111437</v>
      </c>
      <c r="F11" s="281">
        <v>83952</v>
      </c>
      <c r="G11" s="281">
        <v>84288</v>
      </c>
      <c r="H11" s="281">
        <v>82218</v>
      </c>
      <c r="I11" s="569">
        <v>82496</v>
      </c>
      <c r="J11" s="572" t="s">
        <v>145</v>
      </c>
      <c r="K11" s="580">
        <v>109229</v>
      </c>
      <c r="L11" s="580">
        <v>110070</v>
      </c>
      <c r="M11" s="580">
        <v>107646</v>
      </c>
      <c r="N11" s="580">
        <v>108654</v>
      </c>
    </row>
    <row r="12" spans="1:14" ht="13" customHeight="1">
      <c r="A12" s="445" t="s">
        <v>537</v>
      </c>
      <c r="B12" s="445">
        <v>37</v>
      </c>
      <c r="C12" s="584" t="s">
        <v>225</v>
      </c>
      <c r="D12" s="281">
        <v>3384</v>
      </c>
      <c r="E12" s="281">
        <v>3319</v>
      </c>
      <c r="F12" s="281">
        <v>3384</v>
      </c>
      <c r="G12" s="281">
        <v>3319</v>
      </c>
      <c r="H12" s="281">
        <v>2714</v>
      </c>
      <c r="I12" s="569">
        <v>2672</v>
      </c>
      <c r="J12" s="572" t="s">
        <v>225</v>
      </c>
      <c r="K12" s="580">
        <v>3257</v>
      </c>
      <c r="L12" s="580">
        <v>3190</v>
      </c>
      <c r="M12" s="580">
        <v>2646</v>
      </c>
      <c r="N12" s="580">
        <v>2591</v>
      </c>
    </row>
    <row r="13" spans="1:14" ht="13" customHeight="1">
      <c r="A13" s="445" t="s">
        <v>457</v>
      </c>
      <c r="B13" s="445">
        <v>57</v>
      </c>
      <c r="C13" s="584" t="s">
        <v>12</v>
      </c>
      <c r="D13" s="281">
        <v>1239</v>
      </c>
      <c r="E13" s="281">
        <v>1221</v>
      </c>
      <c r="F13" s="281">
        <v>1084</v>
      </c>
      <c r="G13" s="281">
        <v>1083</v>
      </c>
      <c r="H13" s="280">
        <v>767</v>
      </c>
      <c r="I13" s="570">
        <v>759</v>
      </c>
      <c r="J13" s="572" t="s">
        <v>12</v>
      </c>
      <c r="K13" s="580">
        <v>1266</v>
      </c>
      <c r="L13" s="580">
        <v>1274</v>
      </c>
      <c r="M13" s="580">
        <v>865</v>
      </c>
      <c r="N13" s="580">
        <v>850</v>
      </c>
    </row>
    <row r="14" spans="1:14" ht="13" customHeight="1">
      <c r="A14" s="445" t="s">
        <v>551</v>
      </c>
      <c r="B14" s="445">
        <v>109</v>
      </c>
      <c r="C14" s="584" t="s">
        <v>138</v>
      </c>
      <c r="D14" s="281">
        <v>65206</v>
      </c>
      <c r="E14" s="281">
        <v>62011</v>
      </c>
      <c r="F14" s="281">
        <v>27592</v>
      </c>
      <c r="G14" s="281">
        <v>27666</v>
      </c>
      <c r="H14" s="281">
        <v>26000</v>
      </c>
      <c r="I14" s="569">
        <v>26000</v>
      </c>
      <c r="J14" s="572" t="s">
        <v>516</v>
      </c>
      <c r="K14" s="580">
        <v>63754</v>
      </c>
      <c r="L14" s="580">
        <v>62978</v>
      </c>
      <c r="M14" s="580">
        <v>62230</v>
      </c>
      <c r="N14" s="580">
        <v>61485</v>
      </c>
    </row>
    <row r="15" spans="1:14" ht="13" customHeight="1">
      <c r="A15" s="445" t="s">
        <v>13</v>
      </c>
      <c r="B15" s="445">
        <v>101</v>
      </c>
      <c r="C15" s="584" t="s">
        <v>13</v>
      </c>
      <c r="D15" s="280">
        <v>934</v>
      </c>
      <c r="E15" s="280">
        <v>907</v>
      </c>
      <c r="F15" s="280">
        <v>880</v>
      </c>
      <c r="G15" s="280">
        <v>907</v>
      </c>
      <c r="H15" s="280">
        <v>620</v>
      </c>
      <c r="I15" s="570">
        <v>691</v>
      </c>
      <c r="J15" s="572" t="s">
        <v>13</v>
      </c>
      <c r="K15" s="580">
        <v>914</v>
      </c>
      <c r="L15" s="580">
        <v>839</v>
      </c>
      <c r="M15" s="580">
        <v>593</v>
      </c>
      <c r="N15" s="580">
        <v>565</v>
      </c>
    </row>
    <row r="16" spans="1:14" ht="13" customHeight="1">
      <c r="A16" s="445" t="s">
        <v>556</v>
      </c>
      <c r="B16" s="445">
        <v>114</v>
      </c>
      <c r="C16" s="584" t="s">
        <v>227</v>
      </c>
      <c r="D16" s="281">
        <v>7494</v>
      </c>
      <c r="E16" s="281">
        <v>7461</v>
      </c>
      <c r="F16" s="281">
        <v>7494</v>
      </c>
      <c r="G16" s="281">
        <v>7461</v>
      </c>
      <c r="H16" s="281">
        <v>6741</v>
      </c>
      <c r="I16" s="569">
        <v>6692</v>
      </c>
      <c r="J16" s="572" t="s">
        <v>227</v>
      </c>
      <c r="K16" s="580">
        <v>7542</v>
      </c>
      <c r="L16" s="580">
        <v>7559</v>
      </c>
      <c r="M16" s="580">
        <v>6765</v>
      </c>
      <c r="N16" s="580">
        <v>6797</v>
      </c>
    </row>
    <row r="17" spans="1:14" ht="13" customHeight="1">
      <c r="A17" s="445" t="s">
        <v>554</v>
      </c>
      <c r="B17" s="445">
        <v>112</v>
      </c>
      <c r="C17" s="584" t="s">
        <v>223</v>
      </c>
      <c r="D17" s="281">
        <v>8250</v>
      </c>
      <c r="E17" s="281">
        <v>8443</v>
      </c>
      <c r="F17" s="281">
        <v>5720</v>
      </c>
      <c r="G17" s="281">
        <v>6450</v>
      </c>
      <c r="H17" s="281">
        <v>4800</v>
      </c>
      <c r="I17" s="569">
        <v>5500</v>
      </c>
      <c r="J17" s="572" t="s">
        <v>223</v>
      </c>
      <c r="K17" s="580">
        <v>8836</v>
      </c>
      <c r="L17" s="580">
        <v>8836</v>
      </c>
      <c r="M17" s="580">
        <v>7810</v>
      </c>
      <c r="N17" s="580">
        <v>7810</v>
      </c>
    </row>
    <row r="18" spans="1:14" ht="13" customHeight="1">
      <c r="A18" s="445" t="s">
        <v>459</v>
      </c>
      <c r="B18" s="445">
        <v>33</v>
      </c>
      <c r="C18" s="584" t="s">
        <v>459</v>
      </c>
      <c r="D18" s="281">
        <v>3186</v>
      </c>
      <c r="E18" s="281">
        <v>3119</v>
      </c>
      <c r="F18" s="281">
        <v>2950</v>
      </c>
      <c r="G18" s="281">
        <v>2814</v>
      </c>
      <c r="H18" s="281">
        <v>1250</v>
      </c>
      <c r="I18" s="569">
        <v>1454</v>
      </c>
      <c r="J18" s="572" t="s">
        <v>459</v>
      </c>
      <c r="K18" s="580">
        <v>3426</v>
      </c>
      <c r="L18" s="580">
        <v>3155</v>
      </c>
      <c r="M18" s="580">
        <v>1778</v>
      </c>
      <c r="N18" s="580">
        <v>1533</v>
      </c>
    </row>
    <row r="19" spans="1:14" ht="13" customHeight="1">
      <c r="A19" s="445" t="s">
        <v>557</v>
      </c>
      <c r="B19" s="445">
        <v>115</v>
      </c>
      <c r="C19" s="584" t="s">
        <v>228</v>
      </c>
      <c r="D19" s="281">
        <v>1690</v>
      </c>
      <c r="E19" s="281">
        <v>1580</v>
      </c>
      <c r="F19" s="281">
        <v>1080</v>
      </c>
      <c r="G19" s="280">
        <v>950</v>
      </c>
      <c r="H19" s="280">
        <v>680</v>
      </c>
      <c r="I19" s="570">
        <v>600</v>
      </c>
      <c r="J19" s="572" t="s">
        <v>228</v>
      </c>
      <c r="K19" s="580">
        <v>1500</v>
      </c>
      <c r="L19" s="580">
        <v>1562</v>
      </c>
      <c r="M19" s="580">
        <v>1080</v>
      </c>
      <c r="N19" s="580">
        <v>1150</v>
      </c>
    </row>
    <row r="20" spans="1:14" ht="13" customHeight="1">
      <c r="A20" s="445" t="s">
        <v>408</v>
      </c>
      <c r="B20" s="445">
        <v>105</v>
      </c>
      <c r="C20" s="584" t="s">
        <v>134</v>
      </c>
      <c r="D20" s="281">
        <v>5435</v>
      </c>
      <c r="E20" s="281">
        <v>5151</v>
      </c>
      <c r="F20" s="281">
        <v>5067</v>
      </c>
      <c r="G20" s="281">
        <v>4917</v>
      </c>
      <c r="H20" s="281">
        <v>3201</v>
      </c>
      <c r="I20" s="569">
        <v>3269</v>
      </c>
      <c r="J20" s="572"/>
      <c r="K20" s="580"/>
      <c r="L20" s="580"/>
      <c r="M20" s="580"/>
      <c r="N20" s="580"/>
    </row>
    <row r="21" spans="1:14" ht="13" customHeight="1">
      <c r="A21" s="445" t="s">
        <v>544</v>
      </c>
      <c r="B21" s="445">
        <v>61</v>
      </c>
      <c r="C21" s="584" t="s">
        <v>346</v>
      </c>
      <c r="D21" s="280">
        <v>73</v>
      </c>
      <c r="E21" s="280">
        <v>73</v>
      </c>
      <c r="F21" s="280">
        <v>67</v>
      </c>
      <c r="G21" s="280">
        <v>67</v>
      </c>
      <c r="H21" s="280">
        <v>7</v>
      </c>
      <c r="I21" s="570">
        <v>7</v>
      </c>
      <c r="J21" s="572"/>
      <c r="K21" s="580"/>
      <c r="L21" s="580"/>
      <c r="M21" s="580"/>
      <c r="N21" s="580"/>
    </row>
    <row r="22" spans="1:14" ht="13" customHeight="1">
      <c r="A22" s="445" t="s">
        <v>545</v>
      </c>
      <c r="B22" s="445">
        <v>68</v>
      </c>
      <c r="C22" s="584" t="s">
        <v>230</v>
      </c>
      <c r="D22" s="280">
        <v>251</v>
      </c>
      <c r="E22" s="280">
        <v>237</v>
      </c>
      <c r="F22" s="280">
        <v>251</v>
      </c>
      <c r="G22" s="280">
        <v>237</v>
      </c>
      <c r="H22" s="280">
        <v>137</v>
      </c>
      <c r="I22" s="570">
        <v>131</v>
      </c>
      <c r="J22" s="572" t="s">
        <v>230</v>
      </c>
      <c r="K22" s="580">
        <v>240</v>
      </c>
      <c r="L22" s="580">
        <v>229</v>
      </c>
      <c r="M22" s="580">
        <v>139</v>
      </c>
      <c r="N22" s="580">
        <v>137</v>
      </c>
    </row>
    <row r="23" spans="1:14" ht="13" customHeight="1">
      <c r="A23" s="445" t="s">
        <v>172</v>
      </c>
      <c r="B23" s="445">
        <v>116</v>
      </c>
      <c r="C23" s="584" t="s">
        <v>345</v>
      </c>
      <c r="D23" s="281">
        <v>1089</v>
      </c>
      <c r="E23" s="281">
        <v>1085</v>
      </c>
      <c r="F23" s="281">
        <v>1089</v>
      </c>
      <c r="G23" s="281">
        <v>1085</v>
      </c>
      <c r="H23" s="280">
        <v>639</v>
      </c>
      <c r="I23" s="570">
        <v>630</v>
      </c>
      <c r="J23" s="572" t="s">
        <v>345</v>
      </c>
      <c r="K23" s="580">
        <v>1085</v>
      </c>
      <c r="L23" s="580">
        <v>1015</v>
      </c>
      <c r="M23" s="580">
        <v>630</v>
      </c>
      <c r="N23" s="580">
        <v>620</v>
      </c>
    </row>
    <row r="24" spans="1:14" ht="13" customHeight="1">
      <c r="A24" s="445" t="s">
        <v>488</v>
      </c>
      <c r="B24" s="445">
        <v>62</v>
      </c>
      <c r="C24" s="584" t="s">
        <v>231</v>
      </c>
      <c r="D24" s="280">
        <v>405</v>
      </c>
      <c r="E24" s="280">
        <v>413</v>
      </c>
      <c r="F24" s="280">
        <v>405</v>
      </c>
      <c r="G24" s="280">
        <v>413</v>
      </c>
      <c r="H24" s="280">
        <v>183</v>
      </c>
      <c r="I24" s="570">
        <v>189</v>
      </c>
      <c r="J24" s="572" t="s">
        <v>231</v>
      </c>
      <c r="K24" s="580">
        <v>393</v>
      </c>
      <c r="L24" s="580">
        <v>383</v>
      </c>
      <c r="M24" s="580">
        <v>188</v>
      </c>
      <c r="N24" s="580">
        <v>164</v>
      </c>
    </row>
    <row r="25" spans="1:14" ht="13" customHeight="1">
      <c r="A25" s="445" t="s">
        <v>538</v>
      </c>
      <c r="B25" s="445">
        <v>44</v>
      </c>
      <c r="C25" s="584" t="s">
        <v>229</v>
      </c>
      <c r="D25" s="281">
        <v>3253</v>
      </c>
      <c r="E25" s="281">
        <v>3173</v>
      </c>
      <c r="F25" s="281">
        <v>3253</v>
      </c>
      <c r="G25" s="281">
        <v>3173</v>
      </c>
      <c r="H25" s="281">
        <v>2954</v>
      </c>
      <c r="I25" s="569">
        <v>2872</v>
      </c>
      <c r="J25" s="572" t="s">
        <v>229</v>
      </c>
      <c r="K25" s="580">
        <v>2888</v>
      </c>
      <c r="L25" s="580">
        <v>2888</v>
      </c>
      <c r="M25" s="580">
        <v>2611</v>
      </c>
      <c r="N25" s="580">
        <v>2611</v>
      </c>
    </row>
    <row r="26" spans="1:14" ht="13" customHeight="1">
      <c r="A26" s="445" t="s">
        <v>536</v>
      </c>
      <c r="B26" s="445">
        <v>36</v>
      </c>
      <c r="C26" s="584" t="s">
        <v>239</v>
      </c>
      <c r="D26" s="280">
        <v>387</v>
      </c>
      <c r="E26" s="280">
        <v>387</v>
      </c>
      <c r="F26" s="280">
        <v>387</v>
      </c>
      <c r="G26" s="280">
        <v>387</v>
      </c>
      <c r="H26" s="280">
        <v>37</v>
      </c>
      <c r="I26" s="570">
        <v>37</v>
      </c>
      <c r="J26" s="572" t="s">
        <v>239</v>
      </c>
      <c r="K26" s="580">
        <v>320</v>
      </c>
      <c r="L26" s="580">
        <v>295</v>
      </c>
      <c r="M26" s="580">
        <v>15</v>
      </c>
      <c r="N26" s="580">
        <v>13</v>
      </c>
    </row>
    <row r="27" spans="1:14" ht="13" customHeight="1">
      <c r="A27" s="445" t="s">
        <v>560</v>
      </c>
      <c r="B27" s="445">
        <v>119</v>
      </c>
      <c r="C27" s="584" t="s">
        <v>240</v>
      </c>
      <c r="D27" s="280">
        <v>235</v>
      </c>
      <c r="E27" s="280">
        <v>233</v>
      </c>
      <c r="F27" s="280">
        <v>225</v>
      </c>
      <c r="G27" s="280">
        <v>226</v>
      </c>
      <c r="H27" s="280">
        <v>180</v>
      </c>
      <c r="I27" s="570">
        <v>180</v>
      </c>
      <c r="J27" s="572" t="s">
        <v>240</v>
      </c>
      <c r="K27" s="580">
        <v>219</v>
      </c>
      <c r="L27" s="580">
        <v>214</v>
      </c>
      <c r="M27" s="580">
        <v>175</v>
      </c>
      <c r="N27" s="580">
        <v>169</v>
      </c>
    </row>
    <row r="28" spans="1:14" ht="13" customHeight="1">
      <c r="A28" s="445" t="s">
        <v>548</v>
      </c>
      <c r="B28" s="445">
        <v>77</v>
      </c>
      <c r="C28" s="584" t="s">
        <v>266</v>
      </c>
      <c r="D28" s="280">
        <v>126</v>
      </c>
      <c r="E28" s="280">
        <v>128</v>
      </c>
      <c r="F28" s="280">
        <v>126</v>
      </c>
      <c r="G28" s="280">
        <v>128</v>
      </c>
      <c r="H28" s="280" t="s">
        <v>15</v>
      </c>
      <c r="I28" s="570" t="s">
        <v>15</v>
      </c>
      <c r="J28" s="572" t="s">
        <v>266</v>
      </c>
      <c r="K28" s="580">
        <v>132</v>
      </c>
      <c r="L28" s="580">
        <v>119</v>
      </c>
      <c r="M28" s="580" t="s">
        <v>15</v>
      </c>
      <c r="N28" s="580" t="s">
        <v>15</v>
      </c>
    </row>
    <row r="29" spans="1:14" ht="13" customHeight="1">
      <c r="A29" s="445" t="s">
        <v>558</v>
      </c>
      <c r="B29" s="445">
        <v>117</v>
      </c>
      <c r="C29" s="584" t="s">
        <v>233</v>
      </c>
      <c r="D29" s="280">
        <v>41</v>
      </c>
      <c r="E29" s="280">
        <v>40</v>
      </c>
      <c r="F29" s="280">
        <v>37</v>
      </c>
      <c r="G29" s="280">
        <v>38</v>
      </c>
      <c r="H29" s="280" t="s">
        <v>15</v>
      </c>
      <c r="I29" s="570" t="s">
        <v>15</v>
      </c>
      <c r="J29" s="572"/>
      <c r="K29" s="580"/>
      <c r="L29" s="580"/>
      <c r="M29" s="580"/>
      <c r="N29" s="580"/>
    </row>
    <row r="30" spans="1:14" ht="13" customHeight="1">
      <c r="A30" s="445" t="s">
        <v>543</v>
      </c>
      <c r="B30" s="445">
        <v>60</v>
      </c>
      <c r="C30" s="584" t="s">
        <v>236</v>
      </c>
      <c r="D30" s="280">
        <v>165</v>
      </c>
      <c r="E30" s="280">
        <v>174</v>
      </c>
      <c r="F30" s="280">
        <v>163</v>
      </c>
      <c r="G30" s="280">
        <v>174</v>
      </c>
      <c r="H30" s="280">
        <v>46</v>
      </c>
      <c r="I30" s="570">
        <v>54</v>
      </c>
      <c r="J30" s="572" t="s">
        <v>236</v>
      </c>
      <c r="K30" s="580">
        <v>237</v>
      </c>
      <c r="L30" s="580">
        <v>237</v>
      </c>
      <c r="M30" s="580">
        <v>67</v>
      </c>
      <c r="N30" s="580">
        <v>67</v>
      </c>
    </row>
    <row r="31" spans="1:14" ht="13" customHeight="1">
      <c r="A31" s="445" t="s">
        <v>493</v>
      </c>
      <c r="B31" s="445">
        <v>48</v>
      </c>
      <c r="C31" s="584" t="s">
        <v>237</v>
      </c>
      <c r="D31" s="281">
        <v>8264</v>
      </c>
      <c r="E31" s="281">
        <v>8000</v>
      </c>
      <c r="F31" s="281">
        <v>7536</v>
      </c>
      <c r="G31" s="281">
        <v>7294</v>
      </c>
      <c r="H31" s="281">
        <v>5826</v>
      </c>
      <c r="I31" s="569">
        <v>5639</v>
      </c>
      <c r="J31" s="572" t="s">
        <v>237</v>
      </c>
      <c r="K31" s="580">
        <v>7736</v>
      </c>
      <c r="L31" s="580">
        <v>7665</v>
      </c>
      <c r="M31" s="580">
        <v>5718</v>
      </c>
      <c r="N31" s="580">
        <v>6163</v>
      </c>
    </row>
    <row r="32" spans="1:14" ht="13" customHeight="1">
      <c r="A32" s="445" t="s">
        <v>531</v>
      </c>
      <c r="B32" s="445">
        <v>14</v>
      </c>
      <c r="C32" s="584" t="s">
        <v>244</v>
      </c>
      <c r="D32" s="281">
        <v>2453</v>
      </c>
      <c r="E32" s="281">
        <v>2364</v>
      </c>
      <c r="F32" s="281">
        <v>2413</v>
      </c>
      <c r="G32" s="281">
        <v>2330</v>
      </c>
      <c r="H32" s="280">
        <v>263</v>
      </c>
      <c r="I32" s="570">
        <v>270</v>
      </c>
      <c r="J32" s="572" t="s">
        <v>244</v>
      </c>
      <c r="K32" s="580">
        <v>2163</v>
      </c>
      <c r="L32" s="580">
        <v>2120</v>
      </c>
      <c r="M32" s="580">
        <v>285</v>
      </c>
      <c r="N32" s="580">
        <v>283</v>
      </c>
    </row>
    <row r="33" spans="1:14" ht="13" customHeight="1">
      <c r="A33" s="445" t="s">
        <v>539</v>
      </c>
      <c r="B33" s="445">
        <v>45</v>
      </c>
      <c r="C33" s="584" t="s">
        <v>232</v>
      </c>
      <c r="D33" s="281">
        <v>1385</v>
      </c>
      <c r="E33" s="281">
        <v>1335</v>
      </c>
      <c r="F33" s="281">
        <v>1385</v>
      </c>
      <c r="G33" s="281">
        <v>1335</v>
      </c>
      <c r="H33" s="280">
        <v>826</v>
      </c>
      <c r="I33" s="570">
        <v>812</v>
      </c>
      <c r="J33" s="572" t="s">
        <v>232</v>
      </c>
      <c r="K33" s="580">
        <v>1255</v>
      </c>
      <c r="L33" s="580">
        <v>1106</v>
      </c>
      <c r="M33" s="580">
        <v>816</v>
      </c>
      <c r="N33" s="580">
        <v>678</v>
      </c>
    </row>
    <row r="34" spans="1:14" ht="13" customHeight="1">
      <c r="A34" s="445" t="s">
        <v>540</v>
      </c>
      <c r="B34" s="445">
        <v>46</v>
      </c>
      <c r="C34" s="584" t="s">
        <v>234</v>
      </c>
      <c r="D34" s="281">
        <v>12352</v>
      </c>
      <c r="E34" s="281">
        <v>12047</v>
      </c>
      <c r="F34" s="281">
        <v>12352</v>
      </c>
      <c r="G34" s="281">
        <v>12047</v>
      </c>
      <c r="H34" s="281">
        <v>10879</v>
      </c>
      <c r="I34" s="569">
        <v>10630</v>
      </c>
      <c r="J34" s="572" t="s">
        <v>234</v>
      </c>
      <c r="K34" s="580">
        <v>10341</v>
      </c>
      <c r="L34" s="580">
        <v>9993</v>
      </c>
      <c r="M34" s="580">
        <v>8811</v>
      </c>
      <c r="N34" s="580">
        <v>8548</v>
      </c>
    </row>
    <row r="35" spans="1:14" ht="13" customHeight="1">
      <c r="A35" s="445" t="s">
        <v>541</v>
      </c>
      <c r="B35" s="445">
        <v>50</v>
      </c>
      <c r="C35" s="584" t="s">
        <v>238</v>
      </c>
      <c r="D35" s="281">
        <v>33272</v>
      </c>
      <c r="E35" s="281">
        <v>31923</v>
      </c>
      <c r="F35" s="281">
        <v>33272</v>
      </c>
      <c r="G35" s="281">
        <v>31923</v>
      </c>
      <c r="H35" s="281">
        <v>30864</v>
      </c>
      <c r="I35" s="569">
        <v>29626</v>
      </c>
      <c r="J35" s="572" t="s">
        <v>238</v>
      </c>
      <c r="K35" s="580">
        <v>30261</v>
      </c>
      <c r="L35" s="580">
        <v>28257</v>
      </c>
      <c r="M35" s="580">
        <v>28049</v>
      </c>
      <c r="N35" s="580">
        <v>26173</v>
      </c>
    </row>
    <row r="36" spans="1:14" ht="13" customHeight="1">
      <c r="A36" s="445" t="s">
        <v>559</v>
      </c>
      <c r="B36" s="445">
        <v>118</v>
      </c>
      <c r="C36" s="584" t="s">
        <v>235</v>
      </c>
      <c r="D36" s="280">
        <v>22</v>
      </c>
      <c r="E36" s="280">
        <v>22</v>
      </c>
      <c r="F36" s="280">
        <v>22</v>
      </c>
      <c r="G36" s="280">
        <v>22</v>
      </c>
      <c r="H36" s="280">
        <v>15</v>
      </c>
      <c r="I36" s="570">
        <v>15</v>
      </c>
      <c r="J36" s="572" t="s">
        <v>235</v>
      </c>
      <c r="K36" s="580">
        <v>22</v>
      </c>
      <c r="L36" s="580">
        <v>18</v>
      </c>
      <c r="M36" s="580">
        <v>15</v>
      </c>
      <c r="N36" s="580">
        <v>14</v>
      </c>
    </row>
    <row r="37" spans="1:14" ht="13" customHeight="1">
      <c r="A37" s="445" t="s">
        <v>463</v>
      </c>
      <c r="B37" s="445">
        <v>201</v>
      </c>
      <c r="C37" s="583" t="s">
        <v>521</v>
      </c>
      <c r="D37" s="445"/>
      <c r="E37" s="445">
        <v>1000</v>
      </c>
      <c r="F37" s="445"/>
      <c r="G37" s="445"/>
      <c r="H37" s="445"/>
      <c r="I37" s="300"/>
      <c r="J37" s="572" t="s">
        <v>521</v>
      </c>
      <c r="K37" s="580">
        <v>40</v>
      </c>
      <c r="L37" s="580">
        <v>36</v>
      </c>
      <c r="M37" s="580" t="s">
        <v>15</v>
      </c>
      <c r="N37" s="580" t="s">
        <v>15</v>
      </c>
    </row>
    <row r="38" spans="1:14" ht="13" customHeight="1">
      <c r="A38" s="445" t="s">
        <v>561</v>
      </c>
      <c r="B38" s="445">
        <v>120</v>
      </c>
      <c r="C38" s="584" t="s">
        <v>241</v>
      </c>
      <c r="D38" s="280">
        <v>380</v>
      </c>
      <c r="E38" s="280">
        <v>375</v>
      </c>
      <c r="F38" s="280">
        <v>380</v>
      </c>
      <c r="G38" s="280">
        <v>375</v>
      </c>
      <c r="H38" s="280" t="s">
        <v>15</v>
      </c>
      <c r="I38" s="570" t="s">
        <v>15</v>
      </c>
      <c r="J38" s="572" t="s">
        <v>241</v>
      </c>
      <c r="K38" s="580">
        <v>619</v>
      </c>
      <c r="L38" s="580">
        <v>619</v>
      </c>
      <c r="M38" s="580">
        <v>24</v>
      </c>
      <c r="N38" s="580">
        <v>24</v>
      </c>
    </row>
    <row r="39" spans="1:14" ht="13" customHeight="1">
      <c r="A39" s="445" t="s">
        <v>535</v>
      </c>
      <c r="B39" s="445">
        <v>34</v>
      </c>
      <c r="C39" s="584" t="s">
        <v>243</v>
      </c>
      <c r="D39" s="281">
        <v>1809</v>
      </c>
      <c r="E39" s="281">
        <v>1875</v>
      </c>
      <c r="F39" s="281">
        <v>1809</v>
      </c>
      <c r="G39" s="281">
        <v>1875</v>
      </c>
      <c r="H39" s="280" t="s">
        <v>15</v>
      </c>
      <c r="I39" s="570" t="s">
        <v>15</v>
      </c>
      <c r="J39" s="572" t="s">
        <v>243</v>
      </c>
      <c r="K39" s="580">
        <v>1913</v>
      </c>
      <c r="L39" s="580">
        <v>1970</v>
      </c>
      <c r="M39" s="580" t="s">
        <v>15</v>
      </c>
      <c r="N39" s="580" t="s">
        <v>15</v>
      </c>
    </row>
    <row r="40" spans="1:14" ht="13" customHeight="1">
      <c r="A40" s="445" t="s">
        <v>562</v>
      </c>
      <c r="B40" s="445">
        <v>121</v>
      </c>
      <c r="C40" s="584" t="s">
        <v>242</v>
      </c>
      <c r="D40" s="280">
        <v>986</v>
      </c>
      <c r="E40" s="280">
        <v>965</v>
      </c>
      <c r="F40" s="280">
        <v>659</v>
      </c>
      <c r="G40" s="280">
        <v>965</v>
      </c>
      <c r="H40" s="280">
        <v>396</v>
      </c>
      <c r="I40" s="570">
        <v>457</v>
      </c>
      <c r="J40" s="572" t="s">
        <v>242</v>
      </c>
      <c r="K40" s="580">
        <v>1122</v>
      </c>
      <c r="L40" s="580">
        <v>1122</v>
      </c>
      <c r="M40" s="580">
        <v>519</v>
      </c>
      <c r="N40" s="580">
        <v>519</v>
      </c>
    </row>
    <row r="41" spans="1:14" ht="13" customHeight="1">
      <c r="A41" s="445" t="s">
        <v>529</v>
      </c>
      <c r="B41" s="445">
        <v>8</v>
      </c>
      <c r="C41" s="584" t="s">
        <v>17</v>
      </c>
      <c r="D41" s="281">
        <v>5041</v>
      </c>
      <c r="E41" s="281">
        <v>5166</v>
      </c>
      <c r="F41" s="281">
        <v>5041</v>
      </c>
      <c r="G41" s="281">
        <v>5166</v>
      </c>
      <c r="H41" s="281">
        <v>2636</v>
      </c>
      <c r="I41" s="569">
        <v>2668</v>
      </c>
      <c r="J41" s="572" t="s">
        <v>511</v>
      </c>
      <c r="K41" s="580">
        <v>8678</v>
      </c>
      <c r="L41" s="580">
        <v>8678</v>
      </c>
      <c r="M41" s="580">
        <v>5627</v>
      </c>
      <c r="N41" s="580">
        <v>5627</v>
      </c>
    </row>
    <row r="42" spans="1:14" ht="13" customHeight="1">
      <c r="A42" s="445" t="s">
        <v>550</v>
      </c>
      <c r="B42" s="445">
        <v>104</v>
      </c>
      <c r="C42" s="586" t="s">
        <v>21</v>
      </c>
      <c r="D42" s="282"/>
      <c r="E42" s="282">
        <v>425</v>
      </c>
      <c r="F42" s="282">
        <v>425</v>
      </c>
      <c r="G42" s="282" t="s">
        <v>20</v>
      </c>
      <c r="H42" s="282">
        <v>400</v>
      </c>
      <c r="I42" s="571" t="s">
        <v>20</v>
      </c>
      <c r="J42" s="572"/>
      <c r="K42" s="580"/>
      <c r="L42" s="580"/>
      <c r="M42" s="580"/>
      <c r="N42" s="580"/>
    </row>
    <row r="43" spans="1:14" ht="13" customHeight="1">
      <c r="A43" s="445" t="s">
        <v>527</v>
      </c>
      <c r="B43" s="445">
        <v>1</v>
      </c>
      <c r="C43" s="584" t="s">
        <v>221</v>
      </c>
      <c r="D43" s="281">
        <v>7175</v>
      </c>
      <c r="E43" s="281">
        <v>7893</v>
      </c>
      <c r="F43" s="281">
        <v>6400</v>
      </c>
      <c r="G43" s="281">
        <v>6800</v>
      </c>
      <c r="H43" s="281">
        <v>5400</v>
      </c>
      <c r="I43" s="569">
        <v>5800</v>
      </c>
      <c r="J43" s="572" t="s">
        <v>519</v>
      </c>
      <c r="K43" s="580">
        <v>7914</v>
      </c>
      <c r="L43" s="580">
        <v>7940</v>
      </c>
      <c r="M43" s="580">
        <v>6838</v>
      </c>
      <c r="N43" s="580">
        <v>6848</v>
      </c>
    </row>
    <row r="44" spans="1:14" ht="13" customHeight="1">
      <c r="A44" s="445" t="s">
        <v>1</v>
      </c>
      <c r="B44" s="445">
        <v>102</v>
      </c>
      <c r="C44" s="584" t="s">
        <v>18</v>
      </c>
      <c r="D44" s="280">
        <v>653</v>
      </c>
      <c r="E44" s="280">
        <v>661</v>
      </c>
      <c r="F44" s="280">
        <v>628</v>
      </c>
      <c r="G44" s="280">
        <v>636</v>
      </c>
      <c r="H44" s="280" t="s">
        <v>15</v>
      </c>
      <c r="I44" s="570" t="s">
        <v>15</v>
      </c>
      <c r="J44" s="572" t="s">
        <v>18</v>
      </c>
      <c r="K44" s="580">
        <v>698</v>
      </c>
      <c r="L44" s="580">
        <v>708</v>
      </c>
      <c r="M44" s="580" t="s">
        <v>15</v>
      </c>
      <c r="N44" s="580" t="s">
        <v>15</v>
      </c>
    </row>
    <row r="45" spans="1:14" ht="13" customHeight="1">
      <c r="A45" s="445" t="s">
        <v>563</v>
      </c>
      <c r="B45" s="259">
        <v>72</v>
      </c>
      <c r="C45" s="572" t="s">
        <v>513</v>
      </c>
      <c r="D45" s="445"/>
      <c r="E45" s="259">
        <v>1000</v>
      </c>
      <c r="F45" s="445"/>
      <c r="G45" s="445"/>
      <c r="H45" s="445"/>
      <c r="I45" s="300"/>
      <c r="J45" s="572" t="s">
        <v>513</v>
      </c>
      <c r="K45" s="580">
        <v>3483</v>
      </c>
      <c r="L45" s="580">
        <v>3271</v>
      </c>
      <c r="M45" s="580">
        <v>2372</v>
      </c>
      <c r="N45" s="580">
        <v>2307</v>
      </c>
    </row>
    <row r="46" spans="1:14" ht="13" customHeight="1">
      <c r="A46" s="445" t="s">
        <v>546</v>
      </c>
      <c r="B46" s="445">
        <v>71</v>
      </c>
      <c r="C46" s="572" t="s">
        <v>514</v>
      </c>
      <c r="D46" s="281">
        <v>12795</v>
      </c>
      <c r="E46" s="281">
        <v>12795</v>
      </c>
      <c r="F46" s="281">
        <v>12125</v>
      </c>
      <c r="G46" s="281">
        <v>12125</v>
      </c>
      <c r="H46" s="281">
        <v>6833</v>
      </c>
      <c r="I46" s="569">
        <v>6833</v>
      </c>
      <c r="J46" s="572" t="s">
        <v>514</v>
      </c>
      <c r="K46" s="580">
        <v>11393</v>
      </c>
      <c r="L46" s="580">
        <v>11332</v>
      </c>
      <c r="M46" s="580">
        <v>6517</v>
      </c>
      <c r="N46" s="580">
        <v>6264</v>
      </c>
    </row>
    <row r="47" spans="1:14" ht="13" customHeight="1">
      <c r="A47" s="445" t="s">
        <v>552</v>
      </c>
      <c r="B47" s="445">
        <v>110</v>
      </c>
      <c r="C47" s="584" t="s">
        <v>140</v>
      </c>
      <c r="D47" s="281">
        <v>175267</v>
      </c>
      <c r="E47" s="281">
        <v>165702</v>
      </c>
      <c r="F47" s="281">
        <v>59000</v>
      </c>
      <c r="G47" s="281">
        <v>59300</v>
      </c>
      <c r="H47" s="281">
        <v>45776</v>
      </c>
      <c r="I47" s="569">
        <v>46000</v>
      </c>
      <c r="J47" s="572" t="s">
        <v>140</v>
      </c>
      <c r="K47" s="580">
        <v>162516</v>
      </c>
      <c r="L47" s="580">
        <v>159971</v>
      </c>
      <c r="M47" s="580">
        <v>151420</v>
      </c>
      <c r="N47" s="580">
        <v>146485</v>
      </c>
    </row>
    <row r="48" spans="1:14" ht="13" customHeight="1">
      <c r="A48" s="445" t="s">
        <v>82</v>
      </c>
      <c r="B48" s="445">
        <v>703</v>
      </c>
      <c r="C48" s="582" t="s">
        <v>82</v>
      </c>
      <c r="D48" s="445"/>
      <c r="E48" s="445">
        <v>1000</v>
      </c>
      <c r="F48" s="445"/>
      <c r="G48" s="445"/>
      <c r="H48" s="445"/>
      <c r="I48" s="300"/>
      <c r="J48" s="445"/>
      <c r="K48" s="581"/>
      <c r="L48" s="445">
        <v>1000</v>
      </c>
      <c r="M48" s="581"/>
      <c r="N48" s="581"/>
    </row>
    <row r="49" spans="1:14" ht="13" customHeight="1">
      <c r="A49" s="445" t="s">
        <v>169</v>
      </c>
      <c r="B49" s="445">
        <v>707</v>
      </c>
      <c r="C49" s="582" t="s">
        <v>169</v>
      </c>
      <c r="D49" s="445"/>
      <c r="E49" s="445">
        <v>1000</v>
      </c>
      <c r="F49" s="445"/>
      <c r="G49" s="445"/>
      <c r="H49" s="445"/>
      <c r="I49" s="300"/>
      <c r="J49" s="445"/>
      <c r="K49" s="581"/>
      <c r="L49" s="445">
        <v>1000</v>
      </c>
      <c r="M49" s="581"/>
      <c r="N49" s="581"/>
    </row>
    <row r="50" spans="1:14" ht="13" customHeight="1">
      <c r="A50" s="445" t="s">
        <v>170</v>
      </c>
      <c r="B50" s="445">
        <v>705</v>
      </c>
      <c r="C50" s="582" t="s">
        <v>170</v>
      </c>
      <c r="D50" s="445"/>
      <c r="E50" s="445">
        <v>1000</v>
      </c>
      <c r="F50" s="445"/>
      <c r="G50" s="445"/>
      <c r="H50" s="445"/>
      <c r="I50" s="300"/>
      <c r="J50" s="445"/>
      <c r="K50" s="581"/>
      <c r="L50" s="445">
        <v>1000</v>
      </c>
      <c r="M50" s="581"/>
      <c r="N50" s="581"/>
    </row>
    <row r="51" spans="1:14" ht="13" customHeight="1">
      <c r="A51" s="445" t="s">
        <v>171</v>
      </c>
      <c r="B51" s="259">
        <v>710</v>
      </c>
      <c r="C51" s="582" t="s">
        <v>171</v>
      </c>
      <c r="D51" s="445"/>
      <c r="E51" s="445">
        <v>1000</v>
      </c>
      <c r="F51" s="445"/>
      <c r="G51" s="445"/>
      <c r="H51" s="445"/>
      <c r="I51" s="300"/>
      <c r="J51" s="445"/>
      <c r="K51" s="581"/>
      <c r="L51" s="445">
        <v>1000</v>
      </c>
      <c r="M51" s="581"/>
      <c r="N51" s="581"/>
    </row>
    <row r="52" spans="1:14" ht="13" customHeight="1">
      <c r="A52" s="445" t="s">
        <v>501</v>
      </c>
      <c r="B52" s="259">
        <v>712</v>
      </c>
      <c r="C52" s="583" t="s">
        <v>501</v>
      </c>
      <c r="D52" s="445"/>
      <c r="E52" s="259">
        <v>1000</v>
      </c>
      <c r="F52" s="445"/>
      <c r="G52" s="445"/>
      <c r="H52" s="445"/>
      <c r="I52" s="300"/>
      <c r="J52" s="445"/>
      <c r="K52" s="581"/>
      <c r="L52" s="259">
        <v>1000</v>
      </c>
      <c r="M52" s="581"/>
      <c r="N52" s="581"/>
    </row>
    <row r="53" spans="1:14" ht="13" customHeight="1">
      <c r="A53" s="445" t="s">
        <v>462</v>
      </c>
      <c r="B53" s="445">
        <v>711</v>
      </c>
      <c r="C53" s="582" t="s">
        <v>462</v>
      </c>
      <c r="D53" s="445"/>
      <c r="E53" s="445">
        <v>1000</v>
      </c>
      <c r="F53" s="445"/>
      <c r="G53" s="445"/>
      <c r="H53" s="445"/>
      <c r="I53" s="300"/>
      <c r="J53" s="445"/>
      <c r="K53" s="581"/>
      <c r="L53" s="445">
        <v>1000</v>
      </c>
      <c r="M53" s="581"/>
      <c r="N53" s="581"/>
    </row>
    <row r="54" spans="1:14" ht="13" customHeight="1">
      <c r="A54" s="445" t="s">
        <v>532</v>
      </c>
      <c r="B54" s="445">
        <v>17</v>
      </c>
      <c r="C54" s="584" t="s">
        <v>220</v>
      </c>
      <c r="D54" s="281">
        <v>7851</v>
      </c>
      <c r="E54" s="281">
        <v>7414</v>
      </c>
      <c r="F54" s="281">
        <v>7403</v>
      </c>
      <c r="G54" s="281">
        <v>7036</v>
      </c>
      <c r="H54" s="281">
        <v>5853</v>
      </c>
      <c r="I54" s="569">
        <v>5589</v>
      </c>
      <c r="J54" s="572" t="s">
        <v>518</v>
      </c>
      <c r="K54" s="580">
        <v>6738</v>
      </c>
      <c r="L54" s="580">
        <v>6082</v>
      </c>
      <c r="M54" s="580">
        <v>5398</v>
      </c>
      <c r="N54" s="580">
        <v>4824</v>
      </c>
    </row>
    <row r="55" spans="1:14" ht="13" customHeight="1">
      <c r="A55" s="445" t="s">
        <v>479</v>
      </c>
      <c r="B55" s="445">
        <v>7</v>
      </c>
      <c r="C55" s="584" t="s">
        <v>144</v>
      </c>
      <c r="D55" s="281">
        <v>207339</v>
      </c>
      <c r="E55" s="281">
        <v>227722</v>
      </c>
      <c r="F55" s="281">
        <v>67000</v>
      </c>
      <c r="G55" s="281">
        <v>79612</v>
      </c>
      <c r="H55" s="281">
        <v>49566</v>
      </c>
      <c r="I55" s="569">
        <v>65410</v>
      </c>
      <c r="J55" s="572" t="s">
        <v>144</v>
      </c>
      <c r="K55" s="580">
        <v>212511</v>
      </c>
      <c r="L55" s="580">
        <v>221631</v>
      </c>
      <c r="M55" s="580">
        <v>188176</v>
      </c>
      <c r="N55" s="580">
        <v>197381</v>
      </c>
    </row>
    <row r="56" spans="1:14" ht="13" customHeight="1">
      <c r="A56" s="445" t="s">
        <v>530</v>
      </c>
      <c r="B56" s="445">
        <v>11</v>
      </c>
      <c r="C56" s="584" t="s">
        <v>139</v>
      </c>
      <c r="D56" s="281">
        <v>104307</v>
      </c>
      <c r="E56" s="281">
        <v>94942</v>
      </c>
      <c r="F56" s="281">
        <v>83088</v>
      </c>
      <c r="G56" s="281">
        <v>75953</v>
      </c>
      <c r="H56" s="281">
        <v>78991</v>
      </c>
      <c r="I56" s="569">
        <v>72030</v>
      </c>
      <c r="J56" s="572" t="s">
        <v>139</v>
      </c>
      <c r="K56" s="580">
        <v>93014</v>
      </c>
      <c r="L56" s="580">
        <v>92515</v>
      </c>
      <c r="M56" s="580">
        <v>88693</v>
      </c>
      <c r="N56" s="580">
        <v>88239</v>
      </c>
    </row>
    <row r="57" spans="1:14" ht="13">
      <c r="A57" s="445" t="s">
        <v>533</v>
      </c>
      <c r="B57" s="445">
        <v>20</v>
      </c>
      <c r="C57" s="584" t="s">
        <v>224</v>
      </c>
      <c r="D57" s="281">
        <v>2427</v>
      </c>
      <c r="E57" s="281">
        <v>2261</v>
      </c>
      <c r="F57" s="281">
        <v>2272</v>
      </c>
      <c r="G57" s="281">
        <v>1660</v>
      </c>
      <c r="H57" s="280">
        <v>885</v>
      </c>
      <c r="I57" s="570">
        <v>595</v>
      </c>
      <c r="J57" s="572" t="s">
        <v>224</v>
      </c>
      <c r="K57" s="580">
        <v>2364</v>
      </c>
      <c r="L57" s="580">
        <v>2287</v>
      </c>
      <c r="M57" s="580">
        <v>980</v>
      </c>
      <c r="N57" s="580">
        <v>947</v>
      </c>
    </row>
    <row r="58" spans="1:14" ht="13">
      <c r="A58" s="445" t="s">
        <v>534</v>
      </c>
      <c r="B58" s="445">
        <v>21</v>
      </c>
      <c r="C58" s="587" t="s">
        <v>143</v>
      </c>
      <c r="D58" s="281">
        <v>1848</v>
      </c>
      <c r="E58" s="281">
        <v>1848</v>
      </c>
      <c r="F58" s="281">
        <v>1720</v>
      </c>
      <c r="G58" s="281">
        <v>1848</v>
      </c>
      <c r="H58" s="280">
        <v>920</v>
      </c>
      <c r="I58" s="280">
        <v>990</v>
      </c>
      <c r="J58" s="572"/>
      <c r="K58" s="580"/>
      <c r="L58" s="580"/>
      <c r="M58" s="580"/>
      <c r="N58" s="580"/>
    </row>
    <row r="59" spans="1:14" ht="13">
      <c r="A59" s="445" t="s">
        <v>547</v>
      </c>
      <c r="B59" s="445">
        <v>75</v>
      </c>
      <c r="C59" s="584" t="s">
        <v>141</v>
      </c>
      <c r="D59" s="281">
        <v>20218</v>
      </c>
      <c r="E59" s="281">
        <v>20218</v>
      </c>
      <c r="F59" s="281">
        <v>20218</v>
      </c>
      <c r="G59" s="281">
        <v>20218</v>
      </c>
      <c r="H59" s="281">
        <v>17102</v>
      </c>
      <c r="I59" s="281">
        <v>17102</v>
      </c>
      <c r="J59" s="572" t="s">
        <v>517</v>
      </c>
      <c r="K59" s="580">
        <v>8581</v>
      </c>
      <c r="L59" s="580">
        <v>9032</v>
      </c>
      <c r="M59" s="580">
        <v>6790</v>
      </c>
      <c r="N59" s="580">
        <v>6774</v>
      </c>
    </row>
    <row r="60" spans="1:14" ht="13">
      <c r="A60" s="445" t="s">
        <v>553</v>
      </c>
      <c r="B60" s="445">
        <v>111</v>
      </c>
      <c r="C60" s="584" t="s">
        <v>222</v>
      </c>
      <c r="D60" s="281">
        <v>2630</v>
      </c>
      <c r="E60" s="281">
        <v>1708</v>
      </c>
      <c r="F60" s="281">
        <v>2050</v>
      </c>
      <c r="G60" s="281">
        <v>1708</v>
      </c>
      <c r="H60" s="281">
        <v>1400</v>
      </c>
      <c r="I60" s="280">
        <v>776</v>
      </c>
      <c r="J60" s="572" t="s">
        <v>520</v>
      </c>
      <c r="K60" s="580">
        <v>1378</v>
      </c>
      <c r="L60" s="580">
        <v>1612</v>
      </c>
      <c r="M60" s="580">
        <v>614</v>
      </c>
      <c r="N60" s="580">
        <v>747</v>
      </c>
    </row>
    <row r="61" spans="1:14" ht="13">
      <c r="A61" s="355" t="s">
        <v>35</v>
      </c>
      <c r="B61" s="445">
        <v>103</v>
      </c>
      <c r="C61" s="585" t="s">
        <v>526</v>
      </c>
      <c r="D61" s="281">
        <v>1797</v>
      </c>
      <c r="E61" s="281">
        <v>1928</v>
      </c>
      <c r="F61" s="281">
        <v>1797</v>
      </c>
      <c r="G61" s="281">
        <v>1903</v>
      </c>
      <c r="H61" s="280">
        <v>130</v>
      </c>
      <c r="I61" s="280">
        <v>130</v>
      </c>
      <c r="J61" s="572" t="s">
        <v>19</v>
      </c>
      <c r="K61" s="580">
        <v>3896</v>
      </c>
      <c r="L61" s="580">
        <v>3314</v>
      </c>
      <c r="M61" s="580">
        <v>1060</v>
      </c>
      <c r="N61" s="580">
        <v>968</v>
      </c>
    </row>
    <row r="62" spans="1:14" ht="13">
      <c r="A62" s="445" t="s">
        <v>528</v>
      </c>
      <c r="B62" s="445">
        <v>3</v>
      </c>
      <c r="C62" s="584" t="s">
        <v>142</v>
      </c>
      <c r="D62" s="281">
        <v>21195</v>
      </c>
      <c r="E62" s="281">
        <v>19996</v>
      </c>
      <c r="F62" s="281">
        <v>18060</v>
      </c>
      <c r="G62" s="281">
        <v>17600</v>
      </c>
      <c r="H62" s="281">
        <v>16100</v>
      </c>
      <c r="I62" s="281">
        <v>15900</v>
      </c>
      <c r="J62" s="572" t="s">
        <v>512</v>
      </c>
      <c r="K62" s="580">
        <v>21284</v>
      </c>
      <c r="L62" s="580">
        <v>26652</v>
      </c>
      <c r="M62" s="580">
        <v>19495</v>
      </c>
      <c r="N62" s="580">
        <v>20858</v>
      </c>
    </row>
    <row r="63" spans="1:14" ht="13">
      <c r="A63" s="445" t="s">
        <v>458</v>
      </c>
      <c r="B63" s="445">
        <v>22</v>
      </c>
      <c r="C63" s="584" t="s">
        <v>14</v>
      </c>
      <c r="D63" s="281">
        <v>1907</v>
      </c>
      <c r="E63" s="281">
        <v>1977</v>
      </c>
      <c r="F63" s="281">
        <v>1907</v>
      </c>
      <c r="G63" s="281">
        <v>1977</v>
      </c>
      <c r="H63" s="280" t="s">
        <v>15</v>
      </c>
      <c r="I63" s="280" t="s">
        <v>15</v>
      </c>
      <c r="J63" s="572" t="s">
        <v>14</v>
      </c>
      <c r="K63" s="580">
        <v>2340</v>
      </c>
      <c r="L63" s="580">
        <v>2246</v>
      </c>
      <c r="M63" s="580" t="s">
        <v>15</v>
      </c>
      <c r="N63" s="580" t="s">
        <v>15</v>
      </c>
    </row>
    <row r="64" spans="1:14" ht="13">
      <c r="A64" s="445" t="s">
        <v>549</v>
      </c>
      <c r="B64" s="445">
        <v>82</v>
      </c>
      <c r="C64" s="585" t="s">
        <v>16</v>
      </c>
      <c r="D64" s="280">
        <v>199</v>
      </c>
      <c r="E64" s="280">
        <v>193</v>
      </c>
      <c r="F64" s="280">
        <v>193</v>
      </c>
      <c r="G64" s="280">
        <v>193</v>
      </c>
      <c r="H64" s="280">
        <v>105</v>
      </c>
      <c r="I64" s="280">
        <v>105</v>
      </c>
      <c r="J64" s="572" t="s">
        <v>16</v>
      </c>
      <c r="K64" s="580">
        <v>185</v>
      </c>
      <c r="L64" s="580">
        <v>182</v>
      </c>
      <c r="M64" s="580">
        <v>111</v>
      </c>
      <c r="N64" s="580">
        <v>109</v>
      </c>
    </row>
    <row r="65" spans="1:14">
      <c r="A65" s="445" t="s">
        <v>159</v>
      </c>
      <c r="B65" s="445">
        <v>300</v>
      </c>
      <c r="C65" s="582" t="s">
        <v>159</v>
      </c>
      <c r="D65" s="445"/>
      <c r="E65" s="445">
        <v>1000</v>
      </c>
      <c r="F65" s="445"/>
      <c r="G65" s="445"/>
      <c r="H65" s="445"/>
      <c r="I65" s="445"/>
      <c r="J65" s="572"/>
      <c r="K65" s="580"/>
      <c r="L65" s="445">
        <v>1000</v>
      </c>
      <c r="M65" s="580"/>
      <c r="N65" s="580"/>
    </row>
    <row r="66" spans="1:14">
      <c r="A66" s="259" t="s">
        <v>500</v>
      </c>
      <c r="B66" s="259">
        <v>303</v>
      </c>
      <c r="C66" s="583" t="s">
        <v>500</v>
      </c>
      <c r="D66" s="445"/>
      <c r="E66" s="259">
        <v>1000</v>
      </c>
      <c r="F66" s="445"/>
      <c r="G66" s="445"/>
      <c r="H66" s="445"/>
      <c r="I66" s="445"/>
      <c r="J66" s="572"/>
      <c r="K66" s="580"/>
      <c r="L66" s="259">
        <v>1000</v>
      </c>
      <c r="M66" s="580"/>
      <c r="N66" s="580"/>
    </row>
    <row r="67" spans="1:14">
      <c r="A67" s="445" t="s">
        <v>157</v>
      </c>
      <c r="B67" s="445">
        <v>301</v>
      </c>
      <c r="C67" s="582" t="s">
        <v>157</v>
      </c>
      <c r="D67" s="445"/>
      <c r="E67" s="445">
        <v>1000</v>
      </c>
      <c r="F67" s="445"/>
      <c r="G67" s="445"/>
      <c r="H67" s="445"/>
      <c r="I67" s="445"/>
      <c r="J67" s="572"/>
      <c r="K67" s="580"/>
      <c r="L67" s="445">
        <v>1000</v>
      </c>
      <c r="M67" s="580"/>
      <c r="N67" s="580"/>
    </row>
    <row r="68" spans="1:14">
      <c r="A68" s="445" t="s">
        <v>158</v>
      </c>
      <c r="B68" s="445">
        <v>302</v>
      </c>
      <c r="C68" s="582" t="s">
        <v>158</v>
      </c>
      <c r="D68" s="445"/>
      <c r="E68" s="445">
        <v>1000</v>
      </c>
      <c r="F68" s="445"/>
      <c r="G68" s="445"/>
      <c r="H68" s="445"/>
      <c r="I68" s="445"/>
      <c r="J68" s="445"/>
      <c r="K68" s="581"/>
      <c r="L68" s="445">
        <v>1000</v>
      </c>
      <c r="M68" s="581"/>
      <c r="N68" s="581"/>
    </row>
    <row r="69" spans="1:14" ht="13">
      <c r="A69" s="445" t="s">
        <v>497</v>
      </c>
      <c r="B69" s="445">
        <v>64</v>
      </c>
      <c r="C69" s="584" t="s">
        <v>245</v>
      </c>
      <c r="D69" s="280">
        <v>311</v>
      </c>
      <c r="E69" s="280">
        <v>316</v>
      </c>
      <c r="F69" s="280">
        <v>307</v>
      </c>
      <c r="G69" s="280">
        <v>312</v>
      </c>
      <c r="H69" s="280">
        <v>2</v>
      </c>
      <c r="I69" s="280">
        <v>2</v>
      </c>
      <c r="J69" s="572" t="s">
        <v>245</v>
      </c>
      <c r="K69" s="580">
        <v>180</v>
      </c>
      <c r="L69" s="580">
        <v>181</v>
      </c>
      <c r="M69" s="580">
        <v>2</v>
      </c>
      <c r="N69" s="580">
        <v>2</v>
      </c>
    </row>
    <row r="70" spans="1:14" s="435" customFormat="1">
      <c r="A70"/>
      <c r="B70"/>
      <c r="C70"/>
      <c r="D70"/>
      <c r="E70"/>
      <c r="F70"/>
      <c r="G70"/>
      <c r="H70"/>
      <c r="I70"/>
      <c r="J70" s="578"/>
      <c r="K70" s="579"/>
      <c r="L70" s="579"/>
      <c r="M70" s="579"/>
      <c r="N70" s="579"/>
    </row>
    <row r="71" spans="1:14" ht="13">
      <c r="C71" s="283" t="s">
        <v>150</v>
      </c>
      <c r="D71" s="284">
        <v>825139</v>
      </c>
      <c r="E71" s="284">
        <v>822100</v>
      </c>
      <c r="F71" s="284">
        <v>471986</v>
      </c>
      <c r="G71" s="284">
        <v>478974</v>
      </c>
      <c r="H71" s="284">
        <v>403717</v>
      </c>
      <c r="I71" s="284">
        <v>414334</v>
      </c>
      <c r="J71" s="573" t="s">
        <v>522</v>
      </c>
      <c r="K71" s="574">
        <v>792206</v>
      </c>
      <c r="L71" s="574">
        <v>798940</v>
      </c>
      <c r="M71" s="574">
        <v>719534</v>
      </c>
      <c r="N71" s="574">
        <v>720460</v>
      </c>
    </row>
    <row r="72" spans="1:14" ht="13">
      <c r="C72" s="283" t="s">
        <v>146</v>
      </c>
      <c r="D72" s="284">
        <v>80188</v>
      </c>
      <c r="E72" s="284">
        <v>77886</v>
      </c>
      <c r="F72" s="284">
        <v>78447</v>
      </c>
      <c r="G72" s="284">
        <v>76487</v>
      </c>
      <c r="H72" s="284">
        <v>63389</v>
      </c>
      <c r="I72" s="284">
        <v>61515</v>
      </c>
      <c r="J72" s="573" t="s">
        <v>523</v>
      </c>
      <c r="K72" s="574">
        <v>73760</v>
      </c>
      <c r="L72" s="574">
        <v>71061</v>
      </c>
      <c r="M72" s="574">
        <v>58555</v>
      </c>
      <c r="N72" s="574">
        <v>56723</v>
      </c>
    </row>
    <row r="73" spans="1:14" ht="13">
      <c r="C73" s="283" t="s">
        <v>147</v>
      </c>
      <c r="D73" s="284">
        <v>905327</v>
      </c>
      <c r="E73" s="283"/>
      <c r="F73" s="284">
        <v>550433</v>
      </c>
      <c r="G73" s="284">
        <v>555461</v>
      </c>
      <c r="H73" s="284">
        <v>467106</v>
      </c>
      <c r="I73" s="284">
        <v>475849</v>
      </c>
      <c r="J73" s="573" t="s">
        <v>524</v>
      </c>
      <c r="K73" s="574">
        <v>865966</v>
      </c>
      <c r="L73" s="574">
        <v>870001</v>
      </c>
      <c r="M73" s="574">
        <v>778089</v>
      </c>
      <c r="N73" s="574">
        <v>777183</v>
      </c>
    </row>
    <row r="74" spans="1:14">
      <c r="J74" s="34"/>
      <c r="K74" s="34"/>
      <c r="L74" s="34"/>
      <c r="M74" s="34"/>
      <c r="N74" s="34"/>
    </row>
    <row r="87" spans="10:14">
      <c r="J87" s="435"/>
      <c r="K87" s="435"/>
      <c r="L87" s="435"/>
      <c r="M87" s="435"/>
      <c r="N87" s="435"/>
    </row>
  </sheetData>
  <sortState ref="A5:N69">
    <sortCondition ref="A5:A69"/>
  </sortState>
  <mergeCells count="2">
    <mergeCell ref="K3:L3"/>
    <mergeCell ref="M3:N3"/>
  </mergeCells>
  <phoneticPr fontId="3" type="noConversion"/>
  <pageMargins left="0.41" right="0.41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 enableFormatConditionsCalculation="0"/>
  <dimension ref="A2:Q8"/>
  <sheetViews>
    <sheetView topLeftCell="A4" workbookViewId="0">
      <selection activeCell="G43" sqref="G43"/>
    </sheetView>
  </sheetViews>
  <sheetFormatPr baseColWidth="10" defaultColWidth="8.83203125" defaultRowHeight="12" x14ac:dyDescent="0"/>
  <cols>
    <col min="1" max="1" width="22.33203125" customWidth="1"/>
    <col min="2" max="5" width="12.6640625" bestFit="1" customWidth="1"/>
    <col min="6" max="8" width="13.83203125" bestFit="1" customWidth="1"/>
    <col min="10" max="10" width="16.83203125" bestFit="1" customWidth="1"/>
  </cols>
  <sheetData>
    <row r="2" spans="1:17">
      <c r="G2" s="332">
        <v>1000000</v>
      </c>
      <c r="H2" s="332">
        <v>1000000000</v>
      </c>
    </row>
    <row r="4" spans="1:17">
      <c r="B4" s="333">
        <v>2001</v>
      </c>
      <c r="C4" s="333">
        <v>2002</v>
      </c>
      <c r="D4" s="333">
        <v>2003</v>
      </c>
      <c r="E4" s="333">
        <v>2004</v>
      </c>
      <c r="F4" s="333">
        <v>2005</v>
      </c>
      <c r="G4" s="333">
        <v>2006</v>
      </c>
      <c r="H4" s="333">
        <v>2007</v>
      </c>
      <c r="K4" s="333">
        <v>2001</v>
      </c>
      <c r="L4" s="333">
        <v>2002</v>
      </c>
      <c r="M4" s="333">
        <v>2003</v>
      </c>
      <c r="N4" s="333">
        <v>2004</v>
      </c>
      <c r="O4" s="333">
        <v>2005</v>
      </c>
      <c r="P4" s="333">
        <v>2006</v>
      </c>
      <c r="Q4" s="333">
        <v>2007</v>
      </c>
    </row>
    <row r="5" spans="1:17">
      <c r="A5" t="s">
        <v>45</v>
      </c>
      <c r="C5">
        <v>15</v>
      </c>
      <c r="D5">
        <v>8</v>
      </c>
      <c r="E5">
        <v>5</v>
      </c>
      <c r="F5">
        <v>7</v>
      </c>
      <c r="G5">
        <v>5</v>
      </c>
      <c r="H5">
        <v>4</v>
      </c>
      <c r="J5" t="s">
        <v>45</v>
      </c>
      <c r="L5">
        <v>15</v>
      </c>
      <c r="M5">
        <v>8</v>
      </c>
      <c r="N5">
        <v>5</v>
      </c>
      <c r="O5">
        <v>7</v>
      </c>
      <c r="P5">
        <v>5</v>
      </c>
      <c r="Q5">
        <v>4</v>
      </c>
    </row>
    <row r="6" spans="1:17">
      <c r="A6" t="s">
        <v>46</v>
      </c>
      <c r="B6" s="332">
        <v>104125</v>
      </c>
      <c r="C6" s="332">
        <v>225587</v>
      </c>
      <c r="D6" s="332">
        <v>1054397</v>
      </c>
      <c r="E6" s="332">
        <v>18089571</v>
      </c>
      <c r="F6" s="332">
        <v>11947217</v>
      </c>
      <c r="G6" s="332">
        <v>2658865</v>
      </c>
      <c r="H6" s="332">
        <v>3339610</v>
      </c>
      <c r="J6" s="335" t="s">
        <v>120</v>
      </c>
      <c r="K6" s="334">
        <f>B6/$G$2</f>
        <v>0.104125</v>
      </c>
      <c r="L6" s="334">
        <f t="shared" ref="L6:Q8" si="0">C6/$G$2</f>
        <v>0.22558700000000001</v>
      </c>
      <c r="M6" s="334">
        <f t="shared" si="0"/>
        <v>1.054397</v>
      </c>
      <c r="N6" s="334">
        <f t="shared" si="0"/>
        <v>18.089570999999999</v>
      </c>
      <c r="O6" s="334">
        <f t="shared" si="0"/>
        <v>11.947217</v>
      </c>
      <c r="P6" s="334">
        <f t="shared" si="0"/>
        <v>2.658865</v>
      </c>
      <c r="Q6" s="334">
        <f t="shared" si="0"/>
        <v>3.33961</v>
      </c>
    </row>
    <row r="7" spans="1:17">
      <c r="A7" t="s">
        <v>47</v>
      </c>
      <c r="B7" s="332">
        <v>1884349709</v>
      </c>
      <c r="C7" s="332">
        <v>4467059396</v>
      </c>
      <c r="D7" s="332">
        <v>7296546706</v>
      </c>
      <c r="E7" s="332">
        <v>9237397010</v>
      </c>
      <c r="F7" s="332">
        <v>11664427562</v>
      </c>
      <c r="G7" s="332">
        <v>16396052233</v>
      </c>
      <c r="H7" s="332">
        <v>18097282235</v>
      </c>
      <c r="J7" s="335" t="s">
        <v>49</v>
      </c>
      <c r="K7" s="334">
        <f>B7/$H$2</f>
        <v>1.8843497090000001</v>
      </c>
      <c r="L7" s="334">
        <f t="shared" ref="L7:Q7" si="1">C7/$H$2</f>
        <v>4.4670593959999998</v>
      </c>
      <c r="M7" s="334">
        <f t="shared" si="1"/>
        <v>7.296546706</v>
      </c>
      <c r="N7" s="334">
        <f t="shared" si="1"/>
        <v>9.2373970100000005</v>
      </c>
      <c r="O7" s="334">
        <f t="shared" si="1"/>
        <v>11.664427562</v>
      </c>
      <c r="P7" s="334">
        <f t="shared" si="1"/>
        <v>16.396052232999999</v>
      </c>
      <c r="Q7" s="334">
        <f t="shared" si="1"/>
        <v>18.097282235000002</v>
      </c>
    </row>
    <row r="8" spans="1:17">
      <c r="A8" t="s">
        <v>48</v>
      </c>
      <c r="B8" s="332">
        <v>4771357</v>
      </c>
      <c r="C8" s="332">
        <v>14676455</v>
      </c>
      <c r="D8" s="332">
        <v>31169130</v>
      </c>
      <c r="E8" s="332">
        <v>81650487</v>
      </c>
      <c r="F8" s="332">
        <v>92684076</v>
      </c>
      <c r="G8" s="332">
        <v>378938840</v>
      </c>
      <c r="H8" s="332">
        <v>1209640320</v>
      </c>
      <c r="J8" s="335" t="s">
        <v>50</v>
      </c>
      <c r="K8" s="334">
        <f>B8/$G$2</f>
        <v>4.7713570000000001</v>
      </c>
      <c r="L8" s="334">
        <f t="shared" si="0"/>
        <v>14.676455000000001</v>
      </c>
      <c r="M8" s="334">
        <f t="shared" si="0"/>
        <v>31.169129999999999</v>
      </c>
      <c r="N8" s="334">
        <f t="shared" si="0"/>
        <v>81.650486999999998</v>
      </c>
      <c r="O8" s="334">
        <f t="shared" si="0"/>
        <v>92.684076000000005</v>
      </c>
      <c r="P8" s="334">
        <f t="shared" si="0"/>
        <v>378.93884000000003</v>
      </c>
      <c r="Q8" s="334">
        <f t="shared" si="0"/>
        <v>1209.64032</v>
      </c>
    </row>
  </sheetData>
  <phoneticPr fontId="50" type="noConversion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15</vt:i4>
      </vt:variant>
    </vt:vector>
  </HeadingPairs>
  <TitlesOfParts>
    <vt:vector size="15" baseType="lpstr">
      <vt:lpstr>Risultati 2005</vt:lpstr>
      <vt:lpstr>Risultati 2006</vt:lpstr>
      <vt:lpstr>Risultati 2007</vt:lpstr>
      <vt:lpstr>Risultati 2008</vt:lpstr>
      <vt:lpstr>Risultati 2009</vt:lpstr>
      <vt:lpstr>Sintesi</vt:lpstr>
      <vt:lpstr>Quesiti x SI</vt:lpstr>
      <vt:lpstr>Risultati x Quesito</vt:lpstr>
      <vt:lpstr>KPI4</vt:lpstr>
      <vt:lpstr>KPI3</vt:lpstr>
      <vt:lpstr>KPI2</vt:lpstr>
      <vt:lpstr>KPI1</vt:lpstr>
      <vt:lpstr>Dati</vt:lpstr>
      <vt:lpstr>Classificazione</vt:lpstr>
      <vt:lpstr>Dati RUPA</vt:lpstr>
    </vt:vector>
  </TitlesOfParts>
  <Company>Cnipa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Giuseppe Cattaneo</cp:lastModifiedBy>
  <cp:lastPrinted>2010-09-14T13:59:37Z</cp:lastPrinted>
  <dcterms:created xsi:type="dcterms:W3CDTF">2006-02-08T10:15:00Z</dcterms:created>
  <dcterms:modified xsi:type="dcterms:W3CDTF">2012-04-05T19:07:21Z</dcterms:modified>
</cp:coreProperties>
</file>